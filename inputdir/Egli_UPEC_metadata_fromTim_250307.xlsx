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sabettacacace/Documents/ETH/Ecoli_capsules/Ecoli_capsules_analysis/250216_ncbi_skani_derep/inputdir/"/>
    </mc:Choice>
  </mc:AlternateContent>
  <xr:revisionPtr revIDLastSave="0" documentId="8_{594BC42A-12C9-644D-832B-552B06B8CCFC}" xr6:coauthVersionLast="47" xr6:coauthVersionMax="47" xr10:uidLastSave="{00000000-0000-0000-0000-000000000000}"/>
  <bookViews>
    <workbookView xWindow="0" yWindow="500" windowWidth="28800" windowHeight="17500" activeTab="3" xr2:uid="{B4049F88-15A5-4A2D-9E99-4F47D9155233}"/>
  </bookViews>
  <sheets>
    <sheet name="seq-metadata_constructed" sheetId="4" r:id="rId1"/>
    <sheet name="accession_map_downloaded" sheetId="3" r:id="rId2"/>
    <sheet name="Egli_UPEC_metadata_provided" sheetId="1" r:id="rId3"/>
    <sheet name="NOTES" sheetId="2" r:id="rId4"/>
  </sheets>
  <definedNames>
    <definedName name="_xlnm._FilterDatabase" localSheetId="2" hidden="1">Egli_UPEC_metadata_provided!$B$1:$N$826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0" i="4" l="1"/>
  <c r="E320" i="4"/>
  <c r="F320" i="4"/>
  <c r="G320" i="4"/>
  <c r="H320" i="4"/>
  <c r="I320" i="4"/>
  <c r="J320" i="4"/>
  <c r="K320" i="4"/>
  <c r="L320" i="4"/>
  <c r="M320" i="4"/>
  <c r="N320" i="4"/>
  <c r="O320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D724" i="4"/>
  <c r="E724" i="4"/>
  <c r="F724" i="4"/>
  <c r="G724" i="4"/>
  <c r="H724" i="4"/>
  <c r="I724" i="4"/>
  <c r="J724" i="4"/>
  <c r="K724" i="4"/>
  <c r="L724" i="4"/>
  <c r="M724" i="4"/>
  <c r="N724" i="4"/>
  <c r="O724" i="4"/>
  <c r="D725" i="4"/>
  <c r="E725" i="4"/>
  <c r="F725" i="4"/>
  <c r="G725" i="4"/>
  <c r="H725" i="4"/>
  <c r="I725" i="4"/>
  <c r="J725" i="4"/>
  <c r="K725" i="4"/>
  <c r="L725" i="4"/>
  <c r="M725" i="4"/>
  <c r="N725" i="4"/>
  <c r="O725" i="4"/>
  <c r="D858" i="4"/>
  <c r="E858" i="4"/>
  <c r="F858" i="4"/>
  <c r="G858" i="4"/>
  <c r="H858" i="4"/>
  <c r="I858" i="4"/>
  <c r="J858" i="4"/>
  <c r="K858" i="4"/>
  <c r="L858" i="4"/>
  <c r="M858" i="4"/>
  <c r="N858" i="4"/>
  <c r="O858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D726" i="4"/>
  <c r="E726" i="4"/>
  <c r="F726" i="4"/>
  <c r="G726" i="4"/>
  <c r="H726" i="4"/>
  <c r="I726" i="4"/>
  <c r="J726" i="4"/>
  <c r="K726" i="4"/>
  <c r="L726" i="4"/>
  <c r="M726" i="4"/>
  <c r="N726" i="4"/>
  <c r="O726" i="4"/>
  <c r="D727" i="4"/>
  <c r="E727" i="4"/>
  <c r="F727" i="4"/>
  <c r="G727" i="4"/>
  <c r="H727" i="4"/>
  <c r="I727" i="4"/>
  <c r="J727" i="4"/>
  <c r="K727" i="4"/>
  <c r="L727" i="4"/>
  <c r="M727" i="4"/>
  <c r="N727" i="4"/>
  <c r="O727" i="4"/>
  <c r="D859" i="4"/>
  <c r="E859" i="4"/>
  <c r="F859" i="4"/>
  <c r="G859" i="4"/>
  <c r="H859" i="4"/>
  <c r="I859" i="4"/>
  <c r="J859" i="4"/>
  <c r="K859" i="4"/>
  <c r="L859" i="4"/>
  <c r="M859" i="4"/>
  <c r="N859" i="4"/>
  <c r="O859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D728" i="4"/>
  <c r="E728" i="4"/>
  <c r="F728" i="4"/>
  <c r="G728" i="4"/>
  <c r="H728" i="4"/>
  <c r="I728" i="4"/>
  <c r="J728" i="4"/>
  <c r="K728" i="4"/>
  <c r="L728" i="4"/>
  <c r="M728" i="4"/>
  <c r="N728" i="4"/>
  <c r="O728" i="4"/>
  <c r="D729" i="4"/>
  <c r="E729" i="4"/>
  <c r="F729" i="4"/>
  <c r="G729" i="4"/>
  <c r="H729" i="4"/>
  <c r="I729" i="4"/>
  <c r="J729" i="4"/>
  <c r="K729" i="4"/>
  <c r="L729" i="4"/>
  <c r="M729" i="4"/>
  <c r="N729" i="4"/>
  <c r="O729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D730" i="4"/>
  <c r="E730" i="4"/>
  <c r="F730" i="4"/>
  <c r="G730" i="4"/>
  <c r="H730" i="4"/>
  <c r="I730" i="4"/>
  <c r="J730" i="4"/>
  <c r="K730" i="4"/>
  <c r="L730" i="4"/>
  <c r="M730" i="4"/>
  <c r="N730" i="4"/>
  <c r="O730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D731" i="4"/>
  <c r="E731" i="4"/>
  <c r="F731" i="4"/>
  <c r="G731" i="4"/>
  <c r="H731" i="4"/>
  <c r="I731" i="4"/>
  <c r="J731" i="4"/>
  <c r="K731" i="4"/>
  <c r="L731" i="4"/>
  <c r="M731" i="4"/>
  <c r="N731" i="4"/>
  <c r="O731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D732" i="4"/>
  <c r="E732" i="4"/>
  <c r="F732" i="4"/>
  <c r="G732" i="4"/>
  <c r="H732" i="4"/>
  <c r="I732" i="4"/>
  <c r="J732" i="4"/>
  <c r="K732" i="4"/>
  <c r="L732" i="4"/>
  <c r="M732" i="4"/>
  <c r="N732" i="4"/>
  <c r="O732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D733" i="4"/>
  <c r="E733" i="4"/>
  <c r="F733" i="4"/>
  <c r="G733" i="4"/>
  <c r="H733" i="4"/>
  <c r="I733" i="4"/>
  <c r="J733" i="4"/>
  <c r="K733" i="4"/>
  <c r="L733" i="4"/>
  <c r="M733" i="4"/>
  <c r="N733" i="4"/>
  <c r="O733" i="4"/>
  <c r="D734" i="4"/>
  <c r="E734" i="4"/>
  <c r="F734" i="4"/>
  <c r="G734" i="4"/>
  <c r="H734" i="4"/>
  <c r="I734" i="4"/>
  <c r="J734" i="4"/>
  <c r="K734" i="4"/>
  <c r="L734" i="4"/>
  <c r="M734" i="4"/>
  <c r="N734" i="4"/>
  <c r="O734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D860" i="4"/>
  <c r="E860" i="4"/>
  <c r="F860" i="4"/>
  <c r="G860" i="4"/>
  <c r="H860" i="4"/>
  <c r="I860" i="4"/>
  <c r="J860" i="4"/>
  <c r="K860" i="4"/>
  <c r="L860" i="4"/>
  <c r="M860" i="4"/>
  <c r="N860" i="4"/>
  <c r="O860" i="4"/>
  <c r="D735" i="4"/>
  <c r="E735" i="4"/>
  <c r="F735" i="4"/>
  <c r="G735" i="4"/>
  <c r="H735" i="4"/>
  <c r="I735" i="4"/>
  <c r="J735" i="4"/>
  <c r="K735" i="4"/>
  <c r="L735" i="4"/>
  <c r="M735" i="4"/>
  <c r="N735" i="4"/>
  <c r="O735" i="4"/>
  <c r="D861" i="4"/>
  <c r="E861" i="4"/>
  <c r="F861" i="4"/>
  <c r="G861" i="4"/>
  <c r="H861" i="4"/>
  <c r="I861" i="4"/>
  <c r="J861" i="4"/>
  <c r="K861" i="4"/>
  <c r="L861" i="4"/>
  <c r="M861" i="4"/>
  <c r="N861" i="4"/>
  <c r="O861" i="4"/>
  <c r="D736" i="4"/>
  <c r="E736" i="4"/>
  <c r="F736" i="4"/>
  <c r="G736" i="4"/>
  <c r="H736" i="4"/>
  <c r="I736" i="4"/>
  <c r="J736" i="4"/>
  <c r="K736" i="4"/>
  <c r="L736" i="4"/>
  <c r="M736" i="4"/>
  <c r="N736" i="4"/>
  <c r="O736" i="4"/>
  <c r="D737" i="4"/>
  <c r="E737" i="4"/>
  <c r="F737" i="4"/>
  <c r="G737" i="4"/>
  <c r="H737" i="4"/>
  <c r="I737" i="4"/>
  <c r="J737" i="4"/>
  <c r="K737" i="4"/>
  <c r="L737" i="4"/>
  <c r="M737" i="4"/>
  <c r="N737" i="4"/>
  <c r="O73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D862" i="4"/>
  <c r="E862" i="4"/>
  <c r="F862" i="4"/>
  <c r="G862" i="4"/>
  <c r="H862" i="4"/>
  <c r="I862" i="4"/>
  <c r="J862" i="4"/>
  <c r="K862" i="4"/>
  <c r="L862" i="4"/>
  <c r="M862" i="4"/>
  <c r="N862" i="4"/>
  <c r="O862" i="4"/>
  <c r="D738" i="4"/>
  <c r="E738" i="4"/>
  <c r="F738" i="4"/>
  <c r="G738" i="4"/>
  <c r="H738" i="4"/>
  <c r="I738" i="4"/>
  <c r="J738" i="4"/>
  <c r="K738" i="4"/>
  <c r="L738" i="4"/>
  <c r="M738" i="4"/>
  <c r="N738" i="4"/>
  <c r="O738" i="4"/>
  <c r="D863" i="4"/>
  <c r="E863" i="4"/>
  <c r="F863" i="4"/>
  <c r="G863" i="4"/>
  <c r="H863" i="4"/>
  <c r="I863" i="4"/>
  <c r="J863" i="4"/>
  <c r="K863" i="4"/>
  <c r="L863" i="4"/>
  <c r="M863" i="4"/>
  <c r="N863" i="4"/>
  <c r="O863" i="4"/>
  <c r="D739" i="4"/>
  <c r="E739" i="4"/>
  <c r="F739" i="4"/>
  <c r="G739" i="4"/>
  <c r="H739" i="4"/>
  <c r="I739" i="4"/>
  <c r="J739" i="4"/>
  <c r="K739" i="4"/>
  <c r="L739" i="4"/>
  <c r="M739" i="4"/>
  <c r="N739" i="4"/>
  <c r="O73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D360" i="4"/>
  <c r="E360" i="4"/>
  <c r="F360" i="4"/>
  <c r="G360" i="4"/>
  <c r="H360" i="4"/>
  <c r="I360" i="4"/>
  <c r="J360" i="4"/>
  <c r="K360" i="4"/>
  <c r="L360" i="4"/>
  <c r="M360" i="4"/>
  <c r="N360" i="4"/>
  <c r="O360" i="4"/>
  <c r="D361" i="4"/>
  <c r="E361" i="4"/>
  <c r="F361" i="4"/>
  <c r="G361" i="4"/>
  <c r="H361" i="4"/>
  <c r="I361" i="4"/>
  <c r="J361" i="4"/>
  <c r="K361" i="4"/>
  <c r="L361" i="4"/>
  <c r="M361" i="4"/>
  <c r="N361" i="4"/>
  <c r="O361" i="4"/>
  <c r="D362" i="4"/>
  <c r="E362" i="4"/>
  <c r="F362" i="4"/>
  <c r="G362" i="4"/>
  <c r="H362" i="4"/>
  <c r="I362" i="4"/>
  <c r="J362" i="4"/>
  <c r="K362" i="4"/>
  <c r="L362" i="4"/>
  <c r="M362" i="4"/>
  <c r="N362" i="4"/>
  <c r="O362" i="4"/>
  <c r="D363" i="4"/>
  <c r="E363" i="4"/>
  <c r="F363" i="4"/>
  <c r="G363" i="4"/>
  <c r="H363" i="4"/>
  <c r="I363" i="4"/>
  <c r="J363" i="4"/>
  <c r="K363" i="4"/>
  <c r="L363" i="4"/>
  <c r="M363" i="4"/>
  <c r="N363" i="4"/>
  <c r="O363" i="4"/>
  <c r="D2" i="4"/>
  <c r="E2" i="4"/>
  <c r="F2" i="4"/>
  <c r="G2" i="4"/>
  <c r="H2" i="4"/>
  <c r="I2" i="4"/>
  <c r="J2" i="4"/>
  <c r="K2" i="4"/>
  <c r="L2" i="4"/>
  <c r="M2" i="4"/>
  <c r="N2" i="4"/>
  <c r="O2" i="4"/>
  <c r="D3" i="4"/>
  <c r="E3" i="4"/>
  <c r="F3" i="4"/>
  <c r="G3" i="4"/>
  <c r="H3" i="4"/>
  <c r="I3" i="4"/>
  <c r="J3" i="4"/>
  <c r="K3" i="4"/>
  <c r="L3" i="4"/>
  <c r="M3" i="4"/>
  <c r="N3" i="4"/>
  <c r="O3" i="4"/>
  <c r="D4" i="4"/>
  <c r="E4" i="4"/>
  <c r="F4" i="4"/>
  <c r="G4" i="4"/>
  <c r="H4" i="4"/>
  <c r="I4" i="4"/>
  <c r="J4" i="4"/>
  <c r="K4" i="4"/>
  <c r="L4" i="4"/>
  <c r="M4" i="4"/>
  <c r="N4" i="4"/>
  <c r="O4" i="4"/>
  <c r="D5" i="4"/>
  <c r="E5" i="4"/>
  <c r="F5" i="4"/>
  <c r="G5" i="4"/>
  <c r="H5" i="4"/>
  <c r="I5" i="4"/>
  <c r="J5" i="4"/>
  <c r="K5" i="4"/>
  <c r="L5" i="4"/>
  <c r="M5" i="4"/>
  <c r="N5" i="4"/>
  <c r="O5" i="4"/>
  <c r="D6" i="4"/>
  <c r="E6" i="4"/>
  <c r="F6" i="4"/>
  <c r="G6" i="4"/>
  <c r="H6" i="4"/>
  <c r="I6" i="4"/>
  <c r="J6" i="4"/>
  <c r="K6" i="4"/>
  <c r="L6" i="4"/>
  <c r="M6" i="4"/>
  <c r="N6" i="4"/>
  <c r="O6" i="4"/>
  <c r="D7" i="4"/>
  <c r="E7" i="4"/>
  <c r="F7" i="4"/>
  <c r="G7" i="4"/>
  <c r="H7" i="4"/>
  <c r="I7" i="4"/>
  <c r="J7" i="4"/>
  <c r="K7" i="4"/>
  <c r="L7" i="4"/>
  <c r="M7" i="4"/>
  <c r="N7" i="4"/>
  <c r="O7" i="4"/>
  <c r="D364" i="4"/>
  <c r="E364" i="4"/>
  <c r="F364" i="4"/>
  <c r="G364" i="4"/>
  <c r="H364" i="4"/>
  <c r="I364" i="4"/>
  <c r="J364" i="4"/>
  <c r="K364" i="4"/>
  <c r="L364" i="4"/>
  <c r="M364" i="4"/>
  <c r="N364" i="4"/>
  <c r="O364" i="4"/>
  <c r="D8" i="4"/>
  <c r="E8" i="4"/>
  <c r="F8" i="4"/>
  <c r="G8" i="4"/>
  <c r="H8" i="4"/>
  <c r="I8" i="4"/>
  <c r="J8" i="4"/>
  <c r="K8" i="4"/>
  <c r="L8" i="4"/>
  <c r="M8" i="4"/>
  <c r="N8" i="4"/>
  <c r="O8" i="4"/>
  <c r="D864" i="4"/>
  <c r="E864" i="4"/>
  <c r="F864" i="4"/>
  <c r="G864" i="4"/>
  <c r="H864" i="4"/>
  <c r="I864" i="4"/>
  <c r="J864" i="4"/>
  <c r="K864" i="4"/>
  <c r="L864" i="4"/>
  <c r="M864" i="4"/>
  <c r="N864" i="4"/>
  <c r="O864" i="4"/>
  <c r="D865" i="4"/>
  <c r="E865" i="4"/>
  <c r="F865" i="4"/>
  <c r="G865" i="4"/>
  <c r="H865" i="4"/>
  <c r="I865" i="4"/>
  <c r="J865" i="4"/>
  <c r="K865" i="4"/>
  <c r="L865" i="4"/>
  <c r="M865" i="4"/>
  <c r="N865" i="4"/>
  <c r="O865" i="4"/>
  <c r="D866" i="4"/>
  <c r="E866" i="4"/>
  <c r="F866" i="4"/>
  <c r="G866" i="4"/>
  <c r="H866" i="4"/>
  <c r="I866" i="4"/>
  <c r="J866" i="4"/>
  <c r="K866" i="4"/>
  <c r="L866" i="4"/>
  <c r="M866" i="4"/>
  <c r="N866" i="4"/>
  <c r="O866" i="4"/>
  <c r="D9" i="4"/>
  <c r="E9" i="4"/>
  <c r="F9" i="4"/>
  <c r="G9" i="4"/>
  <c r="H9" i="4"/>
  <c r="I9" i="4"/>
  <c r="J9" i="4"/>
  <c r="K9" i="4"/>
  <c r="L9" i="4"/>
  <c r="M9" i="4"/>
  <c r="N9" i="4"/>
  <c r="O9" i="4"/>
  <c r="D10" i="4"/>
  <c r="E10" i="4"/>
  <c r="F10" i="4"/>
  <c r="G10" i="4"/>
  <c r="H10" i="4"/>
  <c r="I10" i="4"/>
  <c r="J10" i="4"/>
  <c r="K10" i="4"/>
  <c r="L10" i="4"/>
  <c r="M10" i="4"/>
  <c r="N10" i="4"/>
  <c r="O10" i="4"/>
  <c r="D11" i="4"/>
  <c r="E11" i="4"/>
  <c r="F11" i="4"/>
  <c r="G11" i="4"/>
  <c r="H11" i="4"/>
  <c r="I11" i="4"/>
  <c r="J11" i="4"/>
  <c r="K11" i="4"/>
  <c r="L11" i="4"/>
  <c r="M11" i="4"/>
  <c r="N11" i="4"/>
  <c r="O11" i="4"/>
  <c r="D12" i="4"/>
  <c r="E12" i="4"/>
  <c r="F12" i="4"/>
  <c r="G12" i="4"/>
  <c r="H12" i="4"/>
  <c r="I12" i="4"/>
  <c r="J12" i="4"/>
  <c r="K12" i="4"/>
  <c r="L12" i="4"/>
  <c r="M12" i="4"/>
  <c r="N12" i="4"/>
  <c r="O12" i="4"/>
  <c r="D365" i="4"/>
  <c r="E365" i="4"/>
  <c r="F365" i="4"/>
  <c r="G365" i="4"/>
  <c r="H365" i="4"/>
  <c r="I365" i="4"/>
  <c r="J365" i="4"/>
  <c r="K365" i="4"/>
  <c r="L365" i="4"/>
  <c r="M365" i="4"/>
  <c r="N365" i="4"/>
  <c r="O365" i="4"/>
  <c r="D13" i="4"/>
  <c r="E13" i="4"/>
  <c r="F13" i="4"/>
  <c r="G13" i="4"/>
  <c r="H13" i="4"/>
  <c r="I13" i="4"/>
  <c r="J13" i="4"/>
  <c r="K13" i="4"/>
  <c r="L13" i="4"/>
  <c r="M13" i="4"/>
  <c r="N13" i="4"/>
  <c r="O13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D14" i="4"/>
  <c r="E14" i="4"/>
  <c r="F14" i="4"/>
  <c r="G14" i="4"/>
  <c r="H14" i="4"/>
  <c r="I14" i="4"/>
  <c r="J14" i="4"/>
  <c r="K14" i="4"/>
  <c r="L14" i="4"/>
  <c r="M14" i="4"/>
  <c r="N14" i="4"/>
  <c r="O14" i="4"/>
  <c r="D15" i="4"/>
  <c r="E15" i="4"/>
  <c r="F15" i="4"/>
  <c r="G15" i="4"/>
  <c r="H15" i="4"/>
  <c r="I15" i="4"/>
  <c r="J15" i="4"/>
  <c r="K15" i="4"/>
  <c r="L15" i="4"/>
  <c r="M15" i="4"/>
  <c r="N15" i="4"/>
  <c r="O15" i="4"/>
  <c r="D867" i="4"/>
  <c r="E867" i="4"/>
  <c r="F867" i="4"/>
  <c r="G867" i="4"/>
  <c r="H867" i="4"/>
  <c r="I867" i="4"/>
  <c r="J867" i="4"/>
  <c r="K867" i="4"/>
  <c r="L867" i="4"/>
  <c r="M867" i="4"/>
  <c r="N867" i="4"/>
  <c r="O867" i="4"/>
  <c r="D367" i="4"/>
  <c r="E367" i="4"/>
  <c r="F367" i="4"/>
  <c r="G367" i="4"/>
  <c r="H367" i="4"/>
  <c r="I367" i="4"/>
  <c r="J367" i="4"/>
  <c r="K367" i="4"/>
  <c r="L367" i="4"/>
  <c r="M367" i="4"/>
  <c r="N367" i="4"/>
  <c r="O367" i="4"/>
  <c r="D16" i="4"/>
  <c r="E16" i="4"/>
  <c r="F16" i="4"/>
  <c r="G16" i="4"/>
  <c r="H16" i="4"/>
  <c r="I16" i="4"/>
  <c r="J16" i="4"/>
  <c r="K16" i="4"/>
  <c r="L16" i="4"/>
  <c r="M16" i="4"/>
  <c r="N16" i="4"/>
  <c r="O16" i="4"/>
  <c r="D17" i="4"/>
  <c r="E17" i="4"/>
  <c r="F17" i="4"/>
  <c r="G17" i="4"/>
  <c r="H17" i="4"/>
  <c r="I17" i="4"/>
  <c r="J17" i="4"/>
  <c r="K17" i="4"/>
  <c r="L17" i="4"/>
  <c r="M17" i="4"/>
  <c r="N17" i="4"/>
  <c r="O17" i="4"/>
  <c r="D18" i="4"/>
  <c r="E18" i="4"/>
  <c r="F18" i="4"/>
  <c r="G18" i="4"/>
  <c r="H18" i="4"/>
  <c r="I18" i="4"/>
  <c r="J18" i="4"/>
  <c r="K18" i="4"/>
  <c r="L18" i="4"/>
  <c r="M18" i="4"/>
  <c r="N18" i="4"/>
  <c r="O18" i="4"/>
  <c r="D368" i="4"/>
  <c r="E368" i="4"/>
  <c r="F368" i="4"/>
  <c r="G368" i="4"/>
  <c r="H368" i="4"/>
  <c r="I368" i="4"/>
  <c r="J368" i="4"/>
  <c r="K368" i="4"/>
  <c r="L368" i="4"/>
  <c r="M368" i="4"/>
  <c r="N368" i="4"/>
  <c r="O368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D19" i="4"/>
  <c r="E19" i="4"/>
  <c r="F19" i="4"/>
  <c r="G19" i="4"/>
  <c r="H19" i="4"/>
  <c r="I19" i="4"/>
  <c r="J19" i="4"/>
  <c r="K19" i="4"/>
  <c r="L19" i="4"/>
  <c r="M19" i="4"/>
  <c r="N19" i="4"/>
  <c r="O19" i="4"/>
  <c r="D20" i="4"/>
  <c r="E20" i="4"/>
  <c r="F20" i="4"/>
  <c r="G20" i="4"/>
  <c r="H20" i="4"/>
  <c r="I20" i="4"/>
  <c r="J20" i="4"/>
  <c r="K20" i="4"/>
  <c r="L20" i="4"/>
  <c r="M20" i="4"/>
  <c r="N20" i="4"/>
  <c r="O20" i="4"/>
  <c r="D21" i="4"/>
  <c r="E21" i="4"/>
  <c r="F21" i="4"/>
  <c r="G21" i="4"/>
  <c r="H21" i="4"/>
  <c r="I21" i="4"/>
  <c r="J21" i="4"/>
  <c r="K21" i="4"/>
  <c r="L21" i="4"/>
  <c r="M21" i="4"/>
  <c r="N21" i="4"/>
  <c r="O21" i="4"/>
  <c r="D22" i="4"/>
  <c r="E22" i="4"/>
  <c r="F22" i="4"/>
  <c r="G22" i="4"/>
  <c r="H22" i="4"/>
  <c r="I22" i="4"/>
  <c r="J22" i="4"/>
  <c r="K22" i="4"/>
  <c r="L22" i="4"/>
  <c r="M22" i="4"/>
  <c r="N22" i="4"/>
  <c r="O22" i="4"/>
  <c r="D370" i="4"/>
  <c r="E370" i="4"/>
  <c r="F370" i="4"/>
  <c r="G370" i="4"/>
  <c r="H370" i="4"/>
  <c r="I370" i="4"/>
  <c r="J370" i="4"/>
  <c r="K370" i="4"/>
  <c r="L370" i="4"/>
  <c r="M370" i="4"/>
  <c r="N370" i="4"/>
  <c r="O370" i="4"/>
  <c r="D371" i="4"/>
  <c r="E371" i="4"/>
  <c r="F371" i="4"/>
  <c r="G371" i="4"/>
  <c r="H371" i="4"/>
  <c r="I371" i="4"/>
  <c r="J371" i="4"/>
  <c r="K371" i="4"/>
  <c r="L371" i="4"/>
  <c r="M371" i="4"/>
  <c r="N371" i="4"/>
  <c r="O371" i="4"/>
  <c r="D372" i="4"/>
  <c r="E372" i="4"/>
  <c r="F372" i="4"/>
  <c r="G372" i="4"/>
  <c r="H372" i="4"/>
  <c r="I372" i="4"/>
  <c r="J372" i="4"/>
  <c r="K372" i="4"/>
  <c r="L372" i="4"/>
  <c r="M372" i="4"/>
  <c r="N372" i="4"/>
  <c r="O372" i="4"/>
  <c r="D23" i="4"/>
  <c r="E23" i="4"/>
  <c r="F23" i="4"/>
  <c r="G23" i="4"/>
  <c r="H23" i="4"/>
  <c r="I23" i="4"/>
  <c r="J23" i="4"/>
  <c r="K23" i="4"/>
  <c r="L23" i="4"/>
  <c r="M23" i="4"/>
  <c r="N23" i="4"/>
  <c r="O23" i="4"/>
  <c r="D373" i="4"/>
  <c r="E373" i="4"/>
  <c r="F373" i="4"/>
  <c r="G373" i="4"/>
  <c r="H373" i="4"/>
  <c r="I373" i="4"/>
  <c r="J373" i="4"/>
  <c r="K373" i="4"/>
  <c r="L373" i="4"/>
  <c r="M373" i="4"/>
  <c r="N373" i="4"/>
  <c r="O373" i="4"/>
  <c r="D374" i="4"/>
  <c r="E374" i="4"/>
  <c r="F374" i="4"/>
  <c r="G374" i="4"/>
  <c r="H374" i="4"/>
  <c r="I374" i="4"/>
  <c r="J374" i="4"/>
  <c r="K374" i="4"/>
  <c r="L374" i="4"/>
  <c r="M374" i="4"/>
  <c r="N374" i="4"/>
  <c r="O374" i="4"/>
  <c r="D375" i="4"/>
  <c r="E375" i="4"/>
  <c r="F375" i="4"/>
  <c r="G375" i="4"/>
  <c r="H375" i="4"/>
  <c r="I375" i="4"/>
  <c r="J375" i="4"/>
  <c r="K375" i="4"/>
  <c r="L375" i="4"/>
  <c r="M375" i="4"/>
  <c r="N375" i="4"/>
  <c r="O375" i="4"/>
  <c r="D24" i="4"/>
  <c r="E24" i="4"/>
  <c r="F24" i="4"/>
  <c r="G24" i="4"/>
  <c r="H24" i="4"/>
  <c r="I24" i="4"/>
  <c r="J24" i="4"/>
  <c r="K24" i="4"/>
  <c r="L24" i="4"/>
  <c r="M24" i="4"/>
  <c r="N24" i="4"/>
  <c r="O24" i="4"/>
  <c r="D25" i="4"/>
  <c r="E25" i="4"/>
  <c r="F25" i="4"/>
  <c r="G25" i="4"/>
  <c r="H25" i="4"/>
  <c r="I25" i="4"/>
  <c r="J25" i="4"/>
  <c r="K25" i="4"/>
  <c r="L25" i="4"/>
  <c r="M25" i="4"/>
  <c r="N25" i="4"/>
  <c r="O25" i="4"/>
  <c r="D26" i="4"/>
  <c r="E26" i="4"/>
  <c r="F26" i="4"/>
  <c r="G26" i="4"/>
  <c r="H26" i="4"/>
  <c r="I26" i="4"/>
  <c r="J26" i="4"/>
  <c r="K26" i="4"/>
  <c r="L26" i="4"/>
  <c r="M26" i="4"/>
  <c r="N26" i="4"/>
  <c r="O26" i="4"/>
  <c r="D27" i="4"/>
  <c r="E27" i="4"/>
  <c r="F27" i="4"/>
  <c r="G27" i="4"/>
  <c r="H27" i="4"/>
  <c r="I27" i="4"/>
  <c r="J27" i="4"/>
  <c r="K27" i="4"/>
  <c r="L27" i="4"/>
  <c r="M27" i="4"/>
  <c r="N27" i="4"/>
  <c r="O27" i="4"/>
  <c r="D28" i="4"/>
  <c r="E28" i="4"/>
  <c r="F28" i="4"/>
  <c r="G28" i="4"/>
  <c r="H28" i="4"/>
  <c r="I28" i="4"/>
  <c r="J28" i="4"/>
  <c r="K28" i="4"/>
  <c r="L28" i="4"/>
  <c r="M28" i="4"/>
  <c r="N28" i="4"/>
  <c r="O28" i="4"/>
  <c r="D376" i="4"/>
  <c r="E376" i="4"/>
  <c r="F376" i="4"/>
  <c r="G376" i="4"/>
  <c r="H376" i="4"/>
  <c r="I376" i="4"/>
  <c r="J376" i="4"/>
  <c r="K376" i="4"/>
  <c r="L376" i="4"/>
  <c r="M376" i="4"/>
  <c r="N376" i="4"/>
  <c r="O376" i="4"/>
  <c r="D29" i="4"/>
  <c r="E29" i="4"/>
  <c r="F29" i="4"/>
  <c r="G29" i="4"/>
  <c r="H29" i="4"/>
  <c r="I29" i="4"/>
  <c r="J29" i="4"/>
  <c r="K29" i="4"/>
  <c r="L29" i="4"/>
  <c r="M29" i="4"/>
  <c r="N29" i="4"/>
  <c r="O29" i="4"/>
  <c r="D30" i="4"/>
  <c r="E30" i="4"/>
  <c r="F30" i="4"/>
  <c r="G30" i="4"/>
  <c r="H30" i="4"/>
  <c r="I30" i="4"/>
  <c r="J30" i="4"/>
  <c r="K30" i="4"/>
  <c r="L30" i="4"/>
  <c r="M30" i="4"/>
  <c r="N30" i="4"/>
  <c r="O30" i="4"/>
  <c r="D31" i="4"/>
  <c r="E31" i="4"/>
  <c r="F31" i="4"/>
  <c r="G31" i="4"/>
  <c r="H31" i="4"/>
  <c r="I31" i="4"/>
  <c r="J31" i="4"/>
  <c r="K31" i="4"/>
  <c r="L31" i="4"/>
  <c r="M31" i="4"/>
  <c r="N31" i="4"/>
  <c r="O31" i="4"/>
  <c r="D868" i="4"/>
  <c r="E868" i="4"/>
  <c r="F868" i="4"/>
  <c r="G868" i="4"/>
  <c r="H868" i="4"/>
  <c r="I868" i="4"/>
  <c r="J868" i="4"/>
  <c r="K868" i="4"/>
  <c r="L868" i="4"/>
  <c r="M868" i="4"/>
  <c r="N868" i="4"/>
  <c r="O868" i="4"/>
  <c r="D377" i="4"/>
  <c r="E377" i="4"/>
  <c r="F377" i="4"/>
  <c r="G377" i="4"/>
  <c r="H377" i="4"/>
  <c r="I377" i="4"/>
  <c r="J377" i="4"/>
  <c r="K377" i="4"/>
  <c r="L377" i="4"/>
  <c r="M377" i="4"/>
  <c r="N377" i="4"/>
  <c r="O377" i="4"/>
  <c r="D32" i="4"/>
  <c r="E32" i="4"/>
  <c r="F32" i="4"/>
  <c r="G32" i="4"/>
  <c r="H32" i="4"/>
  <c r="I32" i="4"/>
  <c r="J32" i="4"/>
  <c r="K32" i="4"/>
  <c r="L32" i="4"/>
  <c r="M32" i="4"/>
  <c r="N32" i="4"/>
  <c r="O32" i="4"/>
  <c r="D33" i="4"/>
  <c r="E33" i="4"/>
  <c r="F33" i="4"/>
  <c r="G33" i="4"/>
  <c r="H33" i="4"/>
  <c r="I33" i="4"/>
  <c r="J33" i="4"/>
  <c r="K33" i="4"/>
  <c r="L33" i="4"/>
  <c r="M33" i="4"/>
  <c r="N33" i="4"/>
  <c r="O33" i="4"/>
  <c r="D34" i="4"/>
  <c r="E34" i="4"/>
  <c r="F34" i="4"/>
  <c r="G34" i="4"/>
  <c r="H34" i="4"/>
  <c r="I34" i="4"/>
  <c r="J34" i="4"/>
  <c r="K34" i="4"/>
  <c r="L34" i="4"/>
  <c r="M34" i="4"/>
  <c r="N34" i="4"/>
  <c r="O34" i="4"/>
  <c r="D35" i="4"/>
  <c r="E35" i="4"/>
  <c r="F35" i="4"/>
  <c r="G35" i="4"/>
  <c r="H35" i="4"/>
  <c r="I35" i="4"/>
  <c r="J35" i="4"/>
  <c r="K35" i="4"/>
  <c r="L35" i="4"/>
  <c r="M35" i="4"/>
  <c r="N35" i="4"/>
  <c r="O35" i="4"/>
  <c r="D36" i="4"/>
  <c r="E36" i="4"/>
  <c r="F36" i="4"/>
  <c r="G36" i="4"/>
  <c r="H36" i="4"/>
  <c r="I36" i="4"/>
  <c r="J36" i="4"/>
  <c r="K36" i="4"/>
  <c r="L36" i="4"/>
  <c r="M36" i="4"/>
  <c r="N36" i="4"/>
  <c r="O36" i="4"/>
  <c r="D378" i="4"/>
  <c r="E378" i="4"/>
  <c r="F378" i="4"/>
  <c r="G378" i="4"/>
  <c r="H378" i="4"/>
  <c r="I378" i="4"/>
  <c r="J378" i="4"/>
  <c r="K378" i="4"/>
  <c r="L378" i="4"/>
  <c r="M378" i="4"/>
  <c r="N378" i="4"/>
  <c r="O378" i="4"/>
  <c r="D379" i="4"/>
  <c r="E379" i="4"/>
  <c r="F379" i="4"/>
  <c r="G379" i="4"/>
  <c r="H379" i="4"/>
  <c r="I379" i="4"/>
  <c r="J379" i="4"/>
  <c r="K379" i="4"/>
  <c r="L379" i="4"/>
  <c r="M379" i="4"/>
  <c r="N379" i="4"/>
  <c r="O379" i="4"/>
  <c r="D37" i="4"/>
  <c r="E37" i="4"/>
  <c r="F37" i="4"/>
  <c r="G37" i="4"/>
  <c r="H37" i="4"/>
  <c r="I37" i="4"/>
  <c r="J37" i="4"/>
  <c r="K37" i="4"/>
  <c r="L37" i="4"/>
  <c r="M37" i="4"/>
  <c r="N37" i="4"/>
  <c r="O37" i="4"/>
  <c r="D38" i="4"/>
  <c r="E38" i="4"/>
  <c r="F38" i="4"/>
  <c r="G38" i="4"/>
  <c r="H38" i="4"/>
  <c r="I38" i="4"/>
  <c r="J38" i="4"/>
  <c r="K38" i="4"/>
  <c r="L38" i="4"/>
  <c r="M38" i="4"/>
  <c r="N38" i="4"/>
  <c r="O38" i="4"/>
  <c r="D39" i="4"/>
  <c r="E39" i="4"/>
  <c r="F39" i="4"/>
  <c r="G39" i="4"/>
  <c r="H39" i="4"/>
  <c r="I39" i="4"/>
  <c r="J39" i="4"/>
  <c r="K39" i="4"/>
  <c r="L39" i="4"/>
  <c r="M39" i="4"/>
  <c r="N39" i="4"/>
  <c r="O39" i="4"/>
  <c r="D40" i="4"/>
  <c r="E40" i="4"/>
  <c r="F40" i="4"/>
  <c r="G40" i="4"/>
  <c r="H40" i="4"/>
  <c r="I40" i="4"/>
  <c r="J40" i="4"/>
  <c r="K40" i="4"/>
  <c r="L40" i="4"/>
  <c r="M40" i="4"/>
  <c r="N40" i="4"/>
  <c r="O40" i="4"/>
  <c r="D380" i="4"/>
  <c r="E380" i="4"/>
  <c r="F380" i="4"/>
  <c r="G380" i="4"/>
  <c r="H380" i="4"/>
  <c r="I380" i="4"/>
  <c r="J380" i="4"/>
  <c r="K380" i="4"/>
  <c r="L380" i="4"/>
  <c r="M380" i="4"/>
  <c r="N380" i="4"/>
  <c r="O380" i="4"/>
  <c r="D41" i="4"/>
  <c r="E41" i="4"/>
  <c r="F41" i="4"/>
  <c r="G41" i="4"/>
  <c r="H41" i="4"/>
  <c r="I41" i="4"/>
  <c r="J41" i="4"/>
  <c r="K41" i="4"/>
  <c r="L41" i="4"/>
  <c r="M41" i="4"/>
  <c r="N41" i="4"/>
  <c r="O41" i="4"/>
  <c r="D42" i="4"/>
  <c r="E42" i="4"/>
  <c r="F42" i="4"/>
  <c r="G42" i="4"/>
  <c r="H42" i="4"/>
  <c r="I42" i="4"/>
  <c r="J42" i="4"/>
  <c r="K42" i="4"/>
  <c r="L42" i="4"/>
  <c r="M42" i="4"/>
  <c r="N42" i="4"/>
  <c r="O42" i="4"/>
  <c r="D43" i="4"/>
  <c r="E43" i="4"/>
  <c r="F43" i="4"/>
  <c r="G43" i="4"/>
  <c r="H43" i="4"/>
  <c r="I43" i="4"/>
  <c r="J43" i="4"/>
  <c r="K43" i="4"/>
  <c r="L43" i="4"/>
  <c r="M43" i="4"/>
  <c r="N43" i="4"/>
  <c r="O43" i="4"/>
  <c r="D44" i="4"/>
  <c r="E44" i="4"/>
  <c r="F44" i="4"/>
  <c r="G44" i="4"/>
  <c r="H44" i="4"/>
  <c r="I44" i="4"/>
  <c r="J44" i="4"/>
  <c r="K44" i="4"/>
  <c r="L44" i="4"/>
  <c r="M44" i="4"/>
  <c r="N44" i="4"/>
  <c r="O44" i="4"/>
  <c r="D381" i="4"/>
  <c r="E381" i="4"/>
  <c r="F381" i="4"/>
  <c r="G381" i="4"/>
  <c r="H381" i="4"/>
  <c r="I381" i="4"/>
  <c r="J381" i="4"/>
  <c r="K381" i="4"/>
  <c r="L381" i="4"/>
  <c r="M381" i="4"/>
  <c r="N381" i="4"/>
  <c r="O381" i="4"/>
  <c r="D45" i="4"/>
  <c r="E45" i="4"/>
  <c r="F45" i="4"/>
  <c r="G45" i="4"/>
  <c r="H45" i="4"/>
  <c r="I45" i="4"/>
  <c r="J45" i="4"/>
  <c r="K45" i="4"/>
  <c r="L45" i="4"/>
  <c r="M45" i="4"/>
  <c r="N45" i="4"/>
  <c r="O45" i="4"/>
  <c r="D46" i="4"/>
  <c r="E46" i="4"/>
  <c r="F46" i="4"/>
  <c r="G46" i="4"/>
  <c r="H46" i="4"/>
  <c r="I46" i="4"/>
  <c r="J46" i="4"/>
  <c r="K46" i="4"/>
  <c r="L46" i="4"/>
  <c r="M46" i="4"/>
  <c r="N46" i="4"/>
  <c r="O46" i="4"/>
  <c r="D47" i="4"/>
  <c r="E47" i="4"/>
  <c r="F47" i="4"/>
  <c r="G47" i="4"/>
  <c r="H47" i="4"/>
  <c r="I47" i="4"/>
  <c r="J47" i="4"/>
  <c r="K47" i="4"/>
  <c r="L47" i="4"/>
  <c r="M47" i="4"/>
  <c r="N47" i="4"/>
  <c r="O47" i="4"/>
  <c r="D48" i="4"/>
  <c r="E48" i="4"/>
  <c r="F48" i="4"/>
  <c r="G48" i="4"/>
  <c r="H48" i="4"/>
  <c r="I48" i="4"/>
  <c r="J48" i="4"/>
  <c r="K48" i="4"/>
  <c r="L48" i="4"/>
  <c r="M48" i="4"/>
  <c r="N48" i="4"/>
  <c r="O48" i="4"/>
  <c r="D49" i="4"/>
  <c r="E49" i="4"/>
  <c r="F49" i="4"/>
  <c r="G49" i="4"/>
  <c r="H49" i="4"/>
  <c r="I49" i="4"/>
  <c r="J49" i="4"/>
  <c r="K49" i="4"/>
  <c r="L49" i="4"/>
  <c r="M49" i="4"/>
  <c r="N49" i="4"/>
  <c r="O49" i="4"/>
  <c r="D50" i="4"/>
  <c r="E50" i="4"/>
  <c r="F50" i="4"/>
  <c r="G50" i="4"/>
  <c r="H50" i="4"/>
  <c r="I50" i="4"/>
  <c r="J50" i="4"/>
  <c r="K50" i="4"/>
  <c r="L50" i="4"/>
  <c r="M50" i="4"/>
  <c r="N50" i="4"/>
  <c r="O50" i="4"/>
  <c r="D51" i="4"/>
  <c r="E51" i="4"/>
  <c r="F51" i="4"/>
  <c r="G51" i="4"/>
  <c r="H51" i="4"/>
  <c r="I51" i="4"/>
  <c r="J51" i="4"/>
  <c r="K51" i="4"/>
  <c r="L51" i="4"/>
  <c r="M51" i="4"/>
  <c r="N51" i="4"/>
  <c r="O51" i="4"/>
  <c r="D52" i="4"/>
  <c r="E52" i="4"/>
  <c r="F52" i="4"/>
  <c r="G52" i="4"/>
  <c r="H52" i="4"/>
  <c r="I52" i="4"/>
  <c r="J52" i="4"/>
  <c r="K52" i="4"/>
  <c r="L52" i="4"/>
  <c r="M52" i="4"/>
  <c r="N52" i="4"/>
  <c r="O52" i="4"/>
  <c r="D382" i="4"/>
  <c r="E382" i="4"/>
  <c r="F382" i="4"/>
  <c r="G382" i="4"/>
  <c r="H382" i="4"/>
  <c r="I382" i="4"/>
  <c r="J382" i="4"/>
  <c r="K382" i="4"/>
  <c r="L382" i="4"/>
  <c r="M382" i="4"/>
  <c r="N382" i="4"/>
  <c r="O382" i="4"/>
  <c r="D53" i="4"/>
  <c r="E53" i="4"/>
  <c r="F53" i="4"/>
  <c r="G53" i="4"/>
  <c r="H53" i="4"/>
  <c r="I53" i="4"/>
  <c r="J53" i="4"/>
  <c r="K53" i="4"/>
  <c r="L53" i="4"/>
  <c r="M53" i="4"/>
  <c r="N53" i="4"/>
  <c r="O53" i="4"/>
  <c r="D383" i="4"/>
  <c r="E383" i="4"/>
  <c r="F383" i="4"/>
  <c r="G383" i="4"/>
  <c r="H383" i="4"/>
  <c r="I383" i="4"/>
  <c r="J383" i="4"/>
  <c r="K383" i="4"/>
  <c r="L383" i="4"/>
  <c r="M383" i="4"/>
  <c r="N383" i="4"/>
  <c r="O383" i="4"/>
  <c r="D54" i="4"/>
  <c r="E54" i="4"/>
  <c r="F54" i="4"/>
  <c r="G54" i="4"/>
  <c r="H54" i="4"/>
  <c r="I54" i="4"/>
  <c r="J54" i="4"/>
  <c r="K54" i="4"/>
  <c r="L54" i="4"/>
  <c r="M54" i="4"/>
  <c r="N54" i="4"/>
  <c r="O54" i="4"/>
  <c r="D384" i="4"/>
  <c r="E384" i="4"/>
  <c r="F384" i="4"/>
  <c r="G384" i="4"/>
  <c r="H384" i="4"/>
  <c r="I384" i="4"/>
  <c r="J384" i="4"/>
  <c r="K384" i="4"/>
  <c r="L384" i="4"/>
  <c r="M384" i="4"/>
  <c r="N384" i="4"/>
  <c r="O384" i="4"/>
  <c r="D55" i="4"/>
  <c r="E55" i="4"/>
  <c r="F55" i="4"/>
  <c r="G55" i="4"/>
  <c r="H55" i="4"/>
  <c r="I55" i="4"/>
  <c r="J55" i="4"/>
  <c r="K55" i="4"/>
  <c r="L55" i="4"/>
  <c r="M55" i="4"/>
  <c r="N55" i="4"/>
  <c r="O55" i="4"/>
  <c r="D56" i="4"/>
  <c r="E56" i="4"/>
  <c r="F56" i="4"/>
  <c r="G56" i="4"/>
  <c r="H56" i="4"/>
  <c r="I56" i="4"/>
  <c r="J56" i="4"/>
  <c r="K56" i="4"/>
  <c r="L56" i="4"/>
  <c r="M56" i="4"/>
  <c r="N56" i="4"/>
  <c r="O56" i="4"/>
  <c r="D57" i="4"/>
  <c r="E57" i="4"/>
  <c r="F57" i="4"/>
  <c r="G57" i="4"/>
  <c r="H57" i="4"/>
  <c r="I57" i="4"/>
  <c r="J57" i="4"/>
  <c r="K57" i="4"/>
  <c r="L57" i="4"/>
  <c r="M57" i="4"/>
  <c r="N57" i="4"/>
  <c r="O57" i="4"/>
  <c r="D869" i="4"/>
  <c r="E869" i="4"/>
  <c r="F869" i="4"/>
  <c r="G869" i="4"/>
  <c r="H869" i="4"/>
  <c r="I869" i="4"/>
  <c r="J869" i="4"/>
  <c r="K869" i="4"/>
  <c r="L869" i="4"/>
  <c r="M869" i="4"/>
  <c r="N869" i="4"/>
  <c r="O869" i="4"/>
  <c r="D58" i="4"/>
  <c r="E58" i="4"/>
  <c r="F58" i="4"/>
  <c r="G58" i="4"/>
  <c r="H58" i="4"/>
  <c r="I58" i="4"/>
  <c r="J58" i="4"/>
  <c r="K58" i="4"/>
  <c r="L58" i="4"/>
  <c r="M58" i="4"/>
  <c r="N58" i="4"/>
  <c r="O58" i="4"/>
  <c r="D59" i="4"/>
  <c r="E59" i="4"/>
  <c r="F59" i="4"/>
  <c r="G59" i="4"/>
  <c r="H59" i="4"/>
  <c r="I59" i="4"/>
  <c r="J59" i="4"/>
  <c r="K59" i="4"/>
  <c r="L59" i="4"/>
  <c r="M59" i="4"/>
  <c r="N59" i="4"/>
  <c r="O59" i="4"/>
  <c r="D60" i="4"/>
  <c r="E60" i="4"/>
  <c r="F60" i="4"/>
  <c r="G60" i="4"/>
  <c r="H60" i="4"/>
  <c r="I60" i="4"/>
  <c r="J60" i="4"/>
  <c r="K60" i="4"/>
  <c r="L60" i="4"/>
  <c r="M60" i="4"/>
  <c r="N60" i="4"/>
  <c r="O60" i="4"/>
  <c r="D385" i="4"/>
  <c r="E385" i="4"/>
  <c r="F385" i="4"/>
  <c r="G385" i="4"/>
  <c r="H385" i="4"/>
  <c r="I385" i="4"/>
  <c r="J385" i="4"/>
  <c r="K385" i="4"/>
  <c r="L385" i="4"/>
  <c r="M385" i="4"/>
  <c r="N385" i="4"/>
  <c r="O385" i="4"/>
  <c r="D386" i="4"/>
  <c r="E386" i="4"/>
  <c r="F386" i="4"/>
  <c r="G386" i="4"/>
  <c r="H386" i="4"/>
  <c r="I386" i="4"/>
  <c r="J386" i="4"/>
  <c r="K386" i="4"/>
  <c r="L386" i="4"/>
  <c r="M386" i="4"/>
  <c r="N386" i="4"/>
  <c r="O386" i="4"/>
  <c r="D61" i="4"/>
  <c r="E61" i="4"/>
  <c r="F61" i="4"/>
  <c r="G61" i="4"/>
  <c r="H61" i="4"/>
  <c r="I61" i="4"/>
  <c r="J61" i="4"/>
  <c r="K61" i="4"/>
  <c r="L61" i="4"/>
  <c r="M61" i="4"/>
  <c r="N61" i="4"/>
  <c r="O61" i="4"/>
  <c r="D62" i="4"/>
  <c r="E62" i="4"/>
  <c r="F62" i="4"/>
  <c r="G62" i="4"/>
  <c r="H62" i="4"/>
  <c r="I62" i="4"/>
  <c r="J62" i="4"/>
  <c r="K62" i="4"/>
  <c r="L62" i="4"/>
  <c r="M62" i="4"/>
  <c r="N62" i="4"/>
  <c r="O62" i="4"/>
  <c r="D387" i="4"/>
  <c r="E387" i="4"/>
  <c r="F387" i="4"/>
  <c r="G387" i="4"/>
  <c r="H387" i="4"/>
  <c r="I387" i="4"/>
  <c r="J387" i="4"/>
  <c r="K387" i="4"/>
  <c r="L387" i="4"/>
  <c r="M387" i="4"/>
  <c r="N387" i="4"/>
  <c r="O387" i="4"/>
  <c r="D63" i="4"/>
  <c r="E63" i="4"/>
  <c r="F63" i="4"/>
  <c r="G63" i="4"/>
  <c r="H63" i="4"/>
  <c r="I63" i="4"/>
  <c r="J63" i="4"/>
  <c r="K63" i="4"/>
  <c r="L63" i="4"/>
  <c r="M63" i="4"/>
  <c r="N63" i="4"/>
  <c r="O63" i="4"/>
  <c r="D64" i="4"/>
  <c r="E64" i="4"/>
  <c r="F64" i="4"/>
  <c r="G64" i="4"/>
  <c r="H64" i="4"/>
  <c r="I64" i="4"/>
  <c r="J64" i="4"/>
  <c r="K64" i="4"/>
  <c r="L64" i="4"/>
  <c r="M64" i="4"/>
  <c r="N64" i="4"/>
  <c r="O64" i="4"/>
  <c r="D388" i="4"/>
  <c r="E388" i="4"/>
  <c r="F388" i="4"/>
  <c r="G388" i="4"/>
  <c r="H388" i="4"/>
  <c r="I388" i="4"/>
  <c r="J388" i="4"/>
  <c r="K388" i="4"/>
  <c r="L388" i="4"/>
  <c r="M388" i="4"/>
  <c r="N388" i="4"/>
  <c r="O388" i="4"/>
  <c r="D65" i="4"/>
  <c r="E65" i="4"/>
  <c r="F65" i="4"/>
  <c r="G65" i="4"/>
  <c r="H65" i="4"/>
  <c r="I65" i="4"/>
  <c r="J65" i="4"/>
  <c r="K65" i="4"/>
  <c r="L65" i="4"/>
  <c r="M65" i="4"/>
  <c r="N65" i="4"/>
  <c r="O65" i="4"/>
  <c r="D66" i="4"/>
  <c r="E66" i="4"/>
  <c r="F66" i="4"/>
  <c r="G66" i="4"/>
  <c r="H66" i="4"/>
  <c r="I66" i="4"/>
  <c r="J66" i="4"/>
  <c r="K66" i="4"/>
  <c r="L66" i="4"/>
  <c r="M66" i="4"/>
  <c r="N66" i="4"/>
  <c r="O66" i="4"/>
  <c r="D389" i="4"/>
  <c r="E389" i="4"/>
  <c r="F389" i="4"/>
  <c r="G389" i="4"/>
  <c r="H389" i="4"/>
  <c r="I389" i="4"/>
  <c r="J389" i="4"/>
  <c r="K389" i="4"/>
  <c r="L389" i="4"/>
  <c r="M389" i="4"/>
  <c r="N389" i="4"/>
  <c r="O389" i="4"/>
  <c r="D390" i="4"/>
  <c r="E390" i="4"/>
  <c r="F390" i="4"/>
  <c r="G390" i="4"/>
  <c r="H390" i="4"/>
  <c r="I390" i="4"/>
  <c r="J390" i="4"/>
  <c r="K390" i="4"/>
  <c r="L390" i="4"/>
  <c r="M390" i="4"/>
  <c r="N390" i="4"/>
  <c r="O390" i="4"/>
  <c r="D67" i="4"/>
  <c r="E67" i="4"/>
  <c r="F67" i="4"/>
  <c r="G67" i="4"/>
  <c r="H67" i="4"/>
  <c r="I67" i="4"/>
  <c r="J67" i="4"/>
  <c r="K67" i="4"/>
  <c r="L67" i="4"/>
  <c r="M67" i="4"/>
  <c r="N67" i="4"/>
  <c r="O67" i="4"/>
  <c r="D68" i="4"/>
  <c r="E68" i="4"/>
  <c r="F68" i="4"/>
  <c r="G68" i="4"/>
  <c r="H68" i="4"/>
  <c r="I68" i="4"/>
  <c r="J68" i="4"/>
  <c r="K68" i="4"/>
  <c r="L68" i="4"/>
  <c r="M68" i="4"/>
  <c r="N68" i="4"/>
  <c r="O68" i="4"/>
  <c r="D69" i="4"/>
  <c r="E69" i="4"/>
  <c r="F69" i="4"/>
  <c r="G69" i="4"/>
  <c r="H69" i="4"/>
  <c r="I69" i="4"/>
  <c r="J69" i="4"/>
  <c r="K69" i="4"/>
  <c r="L69" i="4"/>
  <c r="M69" i="4"/>
  <c r="N69" i="4"/>
  <c r="O69" i="4"/>
  <c r="D70" i="4"/>
  <c r="E70" i="4"/>
  <c r="F70" i="4"/>
  <c r="G70" i="4"/>
  <c r="H70" i="4"/>
  <c r="I70" i="4"/>
  <c r="J70" i="4"/>
  <c r="K70" i="4"/>
  <c r="L70" i="4"/>
  <c r="M70" i="4"/>
  <c r="N70" i="4"/>
  <c r="O70" i="4"/>
  <c r="D391" i="4"/>
  <c r="E391" i="4"/>
  <c r="F391" i="4"/>
  <c r="G391" i="4"/>
  <c r="H391" i="4"/>
  <c r="I391" i="4"/>
  <c r="J391" i="4"/>
  <c r="K391" i="4"/>
  <c r="L391" i="4"/>
  <c r="M391" i="4"/>
  <c r="N391" i="4"/>
  <c r="O391" i="4"/>
  <c r="D392" i="4"/>
  <c r="E392" i="4"/>
  <c r="F392" i="4"/>
  <c r="G392" i="4"/>
  <c r="H392" i="4"/>
  <c r="I392" i="4"/>
  <c r="J392" i="4"/>
  <c r="K392" i="4"/>
  <c r="L392" i="4"/>
  <c r="M392" i="4"/>
  <c r="N392" i="4"/>
  <c r="O392" i="4"/>
  <c r="D393" i="4"/>
  <c r="E393" i="4"/>
  <c r="F393" i="4"/>
  <c r="G393" i="4"/>
  <c r="H393" i="4"/>
  <c r="I393" i="4"/>
  <c r="J393" i="4"/>
  <c r="K393" i="4"/>
  <c r="L393" i="4"/>
  <c r="M393" i="4"/>
  <c r="N393" i="4"/>
  <c r="O393" i="4"/>
  <c r="D394" i="4"/>
  <c r="E394" i="4"/>
  <c r="F394" i="4"/>
  <c r="G394" i="4"/>
  <c r="H394" i="4"/>
  <c r="I394" i="4"/>
  <c r="J394" i="4"/>
  <c r="K394" i="4"/>
  <c r="L394" i="4"/>
  <c r="M394" i="4"/>
  <c r="N394" i="4"/>
  <c r="O394" i="4"/>
  <c r="D395" i="4"/>
  <c r="E395" i="4"/>
  <c r="F395" i="4"/>
  <c r="G395" i="4"/>
  <c r="H395" i="4"/>
  <c r="I395" i="4"/>
  <c r="J395" i="4"/>
  <c r="K395" i="4"/>
  <c r="L395" i="4"/>
  <c r="M395" i="4"/>
  <c r="N395" i="4"/>
  <c r="O395" i="4"/>
  <c r="D396" i="4"/>
  <c r="E396" i="4"/>
  <c r="F396" i="4"/>
  <c r="G396" i="4"/>
  <c r="H396" i="4"/>
  <c r="I396" i="4"/>
  <c r="J396" i="4"/>
  <c r="K396" i="4"/>
  <c r="L396" i="4"/>
  <c r="M396" i="4"/>
  <c r="N396" i="4"/>
  <c r="O396" i="4"/>
  <c r="D397" i="4"/>
  <c r="E397" i="4"/>
  <c r="F397" i="4"/>
  <c r="G397" i="4"/>
  <c r="H397" i="4"/>
  <c r="I397" i="4"/>
  <c r="J397" i="4"/>
  <c r="K397" i="4"/>
  <c r="L397" i="4"/>
  <c r="M397" i="4"/>
  <c r="N397" i="4"/>
  <c r="O397" i="4"/>
  <c r="D398" i="4"/>
  <c r="E398" i="4"/>
  <c r="F398" i="4"/>
  <c r="G398" i="4"/>
  <c r="H398" i="4"/>
  <c r="I398" i="4"/>
  <c r="J398" i="4"/>
  <c r="K398" i="4"/>
  <c r="L398" i="4"/>
  <c r="M398" i="4"/>
  <c r="N398" i="4"/>
  <c r="O398" i="4"/>
  <c r="D399" i="4"/>
  <c r="E399" i="4"/>
  <c r="F399" i="4"/>
  <c r="G399" i="4"/>
  <c r="H399" i="4"/>
  <c r="I399" i="4"/>
  <c r="J399" i="4"/>
  <c r="K399" i="4"/>
  <c r="L399" i="4"/>
  <c r="M399" i="4"/>
  <c r="N399" i="4"/>
  <c r="O399" i="4"/>
  <c r="D400" i="4"/>
  <c r="E400" i="4"/>
  <c r="F400" i="4"/>
  <c r="G400" i="4"/>
  <c r="H400" i="4"/>
  <c r="I400" i="4"/>
  <c r="J400" i="4"/>
  <c r="K400" i="4"/>
  <c r="L400" i="4"/>
  <c r="M400" i="4"/>
  <c r="N400" i="4"/>
  <c r="O400" i="4"/>
  <c r="D71" i="4"/>
  <c r="E71" i="4"/>
  <c r="F71" i="4"/>
  <c r="G71" i="4"/>
  <c r="H71" i="4"/>
  <c r="I71" i="4"/>
  <c r="J71" i="4"/>
  <c r="K71" i="4"/>
  <c r="L71" i="4"/>
  <c r="M71" i="4"/>
  <c r="N71" i="4"/>
  <c r="O71" i="4"/>
  <c r="D72" i="4"/>
  <c r="E72" i="4"/>
  <c r="F72" i="4"/>
  <c r="G72" i="4"/>
  <c r="H72" i="4"/>
  <c r="I72" i="4"/>
  <c r="J72" i="4"/>
  <c r="K72" i="4"/>
  <c r="L72" i="4"/>
  <c r="M72" i="4"/>
  <c r="N72" i="4"/>
  <c r="O72" i="4"/>
  <c r="D401" i="4"/>
  <c r="E401" i="4"/>
  <c r="F401" i="4"/>
  <c r="G401" i="4"/>
  <c r="H401" i="4"/>
  <c r="I401" i="4"/>
  <c r="J401" i="4"/>
  <c r="K401" i="4"/>
  <c r="L401" i="4"/>
  <c r="M401" i="4"/>
  <c r="N401" i="4"/>
  <c r="O401" i="4"/>
  <c r="D73" i="4"/>
  <c r="E73" i="4"/>
  <c r="F73" i="4"/>
  <c r="G73" i="4"/>
  <c r="H73" i="4"/>
  <c r="I73" i="4"/>
  <c r="J73" i="4"/>
  <c r="K73" i="4"/>
  <c r="L73" i="4"/>
  <c r="M73" i="4"/>
  <c r="N73" i="4"/>
  <c r="O73" i="4"/>
  <c r="D74" i="4"/>
  <c r="E74" i="4"/>
  <c r="F74" i="4"/>
  <c r="G74" i="4"/>
  <c r="H74" i="4"/>
  <c r="I74" i="4"/>
  <c r="J74" i="4"/>
  <c r="K74" i="4"/>
  <c r="L74" i="4"/>
  <c r="M74" i="4"/>
  <c r="N74" i="4"/>
  <c r="O74" i="4"/>
  <c r="D75" i="4"/>
  <c r="E75" i="4"/>
  <c r="F75" i="4"/>
  <c r="G75" i="4"/>
  <c r="H75" i="4"/>
  <c r="I75" i="4"/>
  <c r="J75" i="4"/>
  <c r="K75" i="4"/>
  <c r="L75" i="4"/>
  <c r="M75" i="4"/>
  <c r="N75" i="4"/>
  <c r="O75" i="4"/>
  <c r="D76" i="4"/>
  <c r="E76" i="4"/>
  <c r="F76" i="4"/>
  <c r="G76" i="4"/>
  <c r="H76" i="4"/>
  <c r="I76" i="4"/>
  <c r="J76" i="4"/>
  <c r="K76" i="4"/>
  <c r="L76" i="4"/>
  <c r="M76" i="4"/>
  <c r="N76" i="4"/>
  <c r="O76" i="4"/>
  <c r="D77" i="4"/>
  <c r="E77" i="4"/>
  <c r="F77" i="4"/>
  <c r="G77" i="4"/>
  <c r="H77" i="4"/>
  <c r="I77" i="4"/>
  <c r="J77" i="4"/>
  <c r="K77" i="4"/>
  <c r="L77" i="4"/>
  <c r="M77" i="4"/>
  <c r="N77" i="4"/>
  <c r="O77" i="4"/>
  <c r="D402" i="4"/>
  <c r="E402" i="4"/>
  <c r="F402" i="4"/>
  <c r="G402" i="4"/>
  <c r="H402" i="4"/>
  <c r="I402" i="4"/>
  <c r="J402" i="4"/>
  <c r="K402" i="4"/>
  <c r="L402" i="4"/>
  <c r="M402" i="4"/>
  <c r="N402" i="4"/>
  <c r="O402" i="4"/>
  <c r="D78" i="4"/>
  <c r="E78" i="4"/>
  <c r="F78" i="4"/>
  <c r="G78" i="4"/>
  <c r="H78" i="4"/>
  <c r="I78" i="4"/>
  <c r="J78" i="4"/>
  <c r="K78" i="4"/>
  <c r="L78" i="4"/>
  <c r="M78" i="4"/>
  <c r="N78" i="4"/>
  <c r="O78" i="4"/>
  <c r="D79" i="4"/>
  <c r="E79" i="4"/>
  <c r="F79" i="4"/>
  <c r="G79" i="4"/>
  <c r="H79" i="4"/>
  <c r="I79" i="4"/>
  <c r="J79" i="4"/>
  <c r="K79" i="4"/>
  <c r="L79" i="4"/>
  <c r="M79" i="4"/>
  <c r="N79" i="4"/>
  <c r="O79" i="4"/>
  <c r="D80" i="4"/>
  <c r="E80" i="4"/>
  <c r="F80" i="4"/>
  <c r="G80" i="4"/>
  <c r="H80" i="4"/>
  <c r="I80" i="4"/>
  <c r="J80" i="4"/>
  <c r="K80" i="4"/>
  <c r="L80" i="4"/>
  <c r="M80" i="4"/>
  <c r="N80" i="4"/>
  <c r="O80" i="4"/>
  <c r="D81" i="4"/>
  <c r="E81" i="4"/>
  <c r="F81" i="4"/>
  <c r="G81" i="4"/>
  <c r="H81" i="4"/>
  <c r="I81" i="4"/>
  <c r="J81" i="4"/>
  <c r="K81" i="4"/>
  <c r="L81" i="4"/>
  <c r="M81" i="4"/>
  <c r="N81" i="4"/>
  <c r="O81" i="4"/>
  <c r="D82" i="4"/>
  <c r="E82" i="4"/>
  <c r="F82" i="4"/>
  <c r="G82" i="4"/>
  <c r="H82" i="4"/>
  <c r="I82" i="4"/>
  <c r="J82" i="4"/>
  <c r="K82" i="4"/>
  <c r="L82" i="4"/>
  <c r="M82" i="4"/>
  <c r="N82" i="4"/>
  <c r="O82" i="4"/>
  <c r="D83" i="4"/>
  <c r="E83" i="4"/>
  <c r="F83" i="4"/>
  <c r="G83" i="4"/>
  <c r="H83" i="4"/>
  <c r="I83" i="4"/>
  <c r="J83" i="4"/>
  <c r="K83" i="4"/>
  <c r="L83" i="4"/>
  <c r="M83" i="4"/>
  <c r="N83" i="4"/>
  <c r="O83" i="4"/>
  <c r="D403" i="4"/>
  <c r="E403" i="4"/>
  <c r="F403" i="4"/>
  <c r="G403" i="4"/>
  <c r="H403" i="4"/>
  <c r="I403" i="4"/>
  <c r="J403" i="4"/>
  <c r="K403" i="4"/>
  <c r="L403" i="4"/>
  <c r="M403" i="4"/>
  <c r="N403" i="4"/>
  <c r="O403" i="4"/>
  <c r="D404" i="4"/>
  <c r="E404" i="4"/>
  <c r="F404" i="4"/>
  <c r="G404" i="4"/>
  <c r="H404" i="4"/>
  <c r="I404" i="4"/>
  <c r="J404" i="4"/>
  <c r="K404" i="4"/>
  <c r="L404" i="4"/>
  <c r="M404" i="4"/>
  <c r="N404" i="4"/>
  <c r="O404" i="4"/>
  <c r="D405" i="4"/>
  <c r="E405" i="4"/>
  <c r="F405" i="4"/>
  <c r="G405" i="4"/>
  <c r="H405" i="4"/>
  <c r="I405" i="4"/>
  <c r="J405" i="4"/>
  <c r="K405" i="4"/>
  <c r="L405" i="4"/>
  <c r="M405" i="4"/>
  <c r="N405" i="4"/>
  <c r="O405" i="4"/>
  <c r="D406" i="4"/>
  <c r="E406" i="4"/>
  <c r="F406" i="4"/>
  <c r="G406" i="4"/>
  <c r="H406" i="4"/>
  <c r="I406" i="4"/>
  <c r="J406" i="4"/>
  <c r="K406" i="4"/>
  <c r="L406" i="4"/>
  <c r="M406" i="4"/>
  <c r="N406" i="4"/>
  <c r="O406" i="4"/>
  <c r="D407" i="4"/>
  <c r="E407" i="4"/>
  <c r="F407" i="4"/>
  <c r="G407" i="4"/>
  <c r="H407" i="4"/>
  <c r="I407" i="4"/>
  <c r="J407" i="4"/>
  <c r="K407" i="4"/>
  <c r="L407" i="4"/>
  <c r="M407" i="4"/>
  <c r="N407" i="4"/>
  <c r="O407" i="4"/>
  <c r="D408" i="4"/>
  <c r="E408" i="4"/>
  <c r="F408" i="4"/>
  <c r="G408" i="4"/>
  <c r="H408" i="4"/>
  <c r="I408" i="4"/>
  <c r="J408" i="4"/>
  <c r="K408" i="4"/>
  <c r="L408" i="4"/>
  <c r="M408" i="4"/>
  <c r="N408" i="4"/>
  <c r="O408" i="4"/>
  <c r="D409" i="4"/>
  <c r="E409" i="4"/>
  <c r="F409" i="4"/>
  <c r="G409" i="4"/>
  <c r="H409" i="4"/>
  <c r="I409" i="4"/>
  <c r="J409" i="4"/>
  <c r="K409" i="4"/>
  <c r="L409" i="4"/>
  <c r="M409" i="4"/>
  <c r="N409" i="4"/>
  <c r="O409" i="4"/>
  <c r="D410" i="4"/>
  <c r="E410" i="4"/>
  <c r="F410" i="4"/>
  <c r="G410" i="4"/>
  <c r="H410" i="4"/>
  <c r="I410" i="4"/>
  <c r="J410" i="4"/>
  <c r="K410" i="4"/>
  <c r="L410" i="4"/>
  <c r="M410" i="4"/>
  <c r="N410" i="4"/>
  <c r="O410" i="4"/>
  <c r="D411" i="4"/>
  <c r="E411" i="4"/>
  <c r="F411" i="4"/>
  <c r="G411" i="4"/>
  <c r="H411" i="4"/>
  <c r="I411" i="4"/>
  <c r="J411" i="4"/>
  <c r="K411" i="4"/>
  <c r="L411" i="4"/>
  <c r="M411" i="4"/>
  <c r="N411" i="4"/>
  <c r="O411" i="4"/>
  <c r="D412" i="4"/>
  <c r="E412" i="4"/>
  <c r="F412" i="4"/>
  <c r="G412" i="4"/>
  <c r="H412" i="4"/>
  <c r="I412" i="4"/>
  <c r="J412" i="4"/>
  <c r="K412" i="4"/>
  <c r="L412" i="4"/>
  <c r="M412" i="4"/>
  <c r="N412" i="4"/>
  <c r="O412" i="4"/>
  <c r="D84" i="4"/>
  <c r="E84" i="4"/>
  <c r="F84" i="4"/>
  <c r="G84" i="4"/>
  <c r="H84" i="4"/>
  <c r="I84" i="4"/>
  <c r="J84" i="4"/>
  <c r="K84" i="4"/>
  <c r="L84" i="4"/>
  <c r="M84" i="4"/>
  <c r="N84" i="4"/>
  <c r="O84" i="4"/>
  <c r="D85" i="4"/>
  <c r="E85" i="4"/>
  <c r="F85" i="4"/>
  <c r="G85" i="4"/>
  <c r="H85" i="4"/>
  <c r="I85" i="4"/>
  <c r="J85" i="4"/>
  <c r="K85" i="4"/>
  <c r="L85" i="4"/>
  <c r="M85" i="4"/>
  <c r="N85" i="4"/>
  <c r="O85" i="4"/>
  <c r="D413" i="4"/>
  <c r="E413" i="4"/>
  <c r="F413" i="4"/>
  <c r="G413" i="4"/>
  <c r="H413" i="4"/>
  <c r="I413" i="4"/>
  <c r="J413" i="4"/>
  <c r="K413" i="4"/>
  <c r="L413" i="4"/>
  <c r="M413" i="4"/>
  <c r="N413" i="4"/>
  <c r="O413" i="4"/>
  <c r="D414" i="4"/>
  <c r="E414" i="4"/>
  <c r="F414" i="4"/>
  <c r="G414" i="4"/>
  <c r="H414" i="4"/>
  <c r="I414" i="4"/>
  <c r="J414" i="4"/>
  <c r="K414" i="4"/>
  <c r="L414" i="4"/>
  <c r="M414" i="4"/>
  <c r="N414" i="4"/>
  <c r="O414" i="4"/>
  <c r="D86" i="4"/>
  <c r="E86" i="4"/>
  <c r="F86" i="4"/>
  <c r="G86" i="4"/>
  <c r="H86" i="4"/>
  <c r="I86" i="4"/>
  <c r="J86" i="4"/>
  <c r="K86" i="4"/>
  <c r="L86" i="4"/>
  <c r="M86" i="4"/>
  <c r="N86" i="4"/>
  <c r="O86" i="4"/>
  <c r="D87" i="4"/>
  <c r="E87" i="4"/>
  <c r="F87" i="4"/>
  <c r="G87" i="4"/>
  <c r="H87" i="4"/>
  <c r="I87" i="4"/>
  <c r="J87" i="4"/>
  <c r="K87" i="4"/>
  <c r="L87" i="4"/>
  <c r="M87" i="4"/>
  <c r="N87" i="4"/>
  <c r="O87" i="4"/>
  <c r="D88" i="4"/>
  <c r="E88" i="4"/>
  <c r="F88" i="4"/>
  <c r="G88" i="4"/>
  <c r="H88" i="4"/>
  <c r="I88" i="4"/>
  <c r="J88" i="4"/>
  <c r="K88" i="4"/>
  <c r="L88" i="4"/>
  <c r="M88" i="4"/>
  <c r="N88" i="4"/>
  <c r="O88" i="4"/>
  <c r="D89" i="4"/>
  <c r="E89" i="4"/>
  <c r="F89" i="4"/>
  <c r="G89" i="4"/>
  <c r="H89" i="4"/>
  <c r="I89" i="4"/>
  <c r="J89" i="4"/>
  <c r="K89" i="4"/>
  <c r="L89" i="4"/>
  <c r="M89" i="4"/>
  <c r="N89" i="4"/>
  <c r="O89" i="4"/>
  <c r="D415" i="4"/>
  <c r="E415" i="4"/>
  <c r="F415" i="4"/>
  <c r="G415" i="4"/>
  <c r="H415" i="4"/>
  <c r="I415" i="4"/>
  <c r="J415" i="4"/>
  <c r="K415" i="4"/>
  <c r="L415" i="4"/>
  <c r="M415" i="4"/>
  <c r="N415" i="4"/>
  <c r="O415" i="4"/>
  <c r="D416" i="4"/>
  <c r="E416" i="4"/>
  <c r="F416" i="4"/>
  <c r="G416" i="4"/>
  <c r="H416" i="4"/>
  <c r="I416" i="4"/>
  <c r="J416" i="4"/>
  <c r="K416" i="4"/>
  <c r="L416" i="4"/>
  <c r="M416" i="4"/>
  <c r="N416" i="4"/>
  <c r="O416" i="4"/>
  <c r="D417" i="4"/>
  <c r="E417" i="4"/>
  <c r="F417" i="4"/>
  <c r="G417" i="4"/>
  <c r="H417" i="4"/>
  <c r="I417" i="4"/>
  <c r="J417" i="4"/>
  <c r="K417" i="4"/>
  <c r="L417" i="4"/>
  <c r="M417" i="4"/>
  <c r="N417" i="4"/>
  <c r="O417" i="4"/>
  <c r="D90" i="4"/>
  <c r="E90" i="4"/>
  <c r="F90" i="4"/>
  <c r="G90" i="4"/>
  <c r="H90" i="4"/>
  <c r="I90" i="4"/>
  <c r="J90" i="4"/>
  <c r="K90" i="4"/>
  <c r="L90" i="4"/>
  <c r="M90" i="4"/>
  <c r="N90" i="4"/>
  <c r="O90" i="4"/>
  <c r="D91" i="4"/>
  <c r="E91" i="4"/>
  <c r="F91" i="4"/>
  <c r="G91" i="4"/>
  <c r="H91" i="4"/>
  <c r="I91" i="4"/>
  <c r="J91" i="4"/>
  <c r="K91" i="4"/>
  <c r="L91" i="4"/>
  <c r="M91" i="4"/>
  <c r="N91" i="4"/>
  <c r="O91" i="4"/>
  <c r="D92" i="4"/>
  <c r="E92" i="4"/>
  <c r="F92" i="4"/>
  <c r="G92" i="4"/>
  <c r="H92" i="4"/>
  <c r="I92" i="4"/>
  <c r="J92" i="4"/>
  <c r="K92" i="4"/>
  <c r="L92" i="4"/>
  <c r="M92" i="4"/>
  <c r="N92" i="4"/>
  <c r="O92" i="4"/>
  <c r="D418" i="4"/>
  <c r="E418" i="4"/>
  <c r="F418" i="4"/>
  <c r="G418" i="4"/>
  <c r="H418" i="4"/>
  <c r="I418" i="4"/>
  <c r="J418" i="4"/>
  <c r="K418" i="4"/>
  <c r="L418" i="4"/>
  <c r="M418" i="4"/>
  <c r="N418" i="4"/>
  <c r="O418" i="4"/>
  <c r="D419" i="4"/>
  <c r="E419" i="4"/>
  <c r="F419" i="4"/>
  <c r="G419" i="4"/>
  <c r="H419" i="4"/>
  <c r="I419" i="4"/>
  <c r="J419" i="4"/>
  <c r="K419" i="4"/>
  <c r="L419" i="4"/>
  <c r="M419" i="4"/>
  <c r="N419" i="4"/>
  <c r="O419" i="4"/>
  <c r="D93" i="4"/>
  <c r="E93" i="4"/>
  <c r="F93" i="4"/>
  <c r="G93" i="4"/>
  <c r="H93" i="4"/>
  <c r="I93" i="4"/>
  <c r="J93" i="4"/>
  <c r="K93" i="4"/>
  <c r="L93" i="4"/>
  <c r="M93" i="4"/>
  <c r="N93" i="4"/>
  <c r="O93" i="4"/>
  <c r="D420" i="4"/>
  <c r="E420" i="4"/>
  <c r="F420" i="4"/>
  <c r="G420" i="4"/>
  <c r="H420" i="4"/>
  <c r="I420" i="4"/>
  <c r="J420" i="4"/>
  <c r="K420" i="4"/>
  <c r="L420" i="4"/>
  <c r="M420" i="4"/>
  <c r="N420" i="4"/>
  <c r="O420" i="4"/>
  <c r="D94" i="4"/>
  <c r="E94" i="4"/>
  <c r="F94" i="4"/>
  <c r="G94" i="4"/>
  <c r="H94" i="4"/>
  <c r="I94" i="4"/>
  <c r="J94" i="4"/>
  <c r="K94" i="4"/>
  <c r="L94" i="4"/>
  <c r="M94" i="4"/>
  <c r="N94" i="4"/>
  <c r="O94" i="4"/>
  <c r="D421" i="4"/>
  <c r="E421" i="4"/>
  <c r="F421" i="4"/>
  <c r="G421" i="4"/>
  <c r="H421" i="4"/>
  <c r="I421" i="4"/>
  <c r="J421" i="4"/>
  <c r="K421" i="4"/>
  <c r="L421" i="4"/>
  <c r="M421" i="4"/>
  <c r="N421" i="4"/>
  <c r="O421" i="4"/>
  <c r="D422" i="4"/>
  <c r="E422" i="4"/>
  <c r="F422" i="4"/>
  <c r="G422" i="4"/>
  <c r="H422" i="4"/>
  <c r="I422" i="4"/>
  <c r="J422" i="4"/>
  <c r="K422" i="4"/>
  <c r="L422" i="4"/>
  <c r="M422" i="4"/>
  <c r="N422" i="4"/>
  <c r="O422" i="4"/>
  <c r="D423" i="4"/>
  <c r="E423" i="4"/>
  <c r="F423" i="4"/>
  <c r="G423" i="4"/>
  <c r="H423" i="4"/>
  <c r="I423" i="4"/>
  <c r="J423" i="4"/>
  <c r="K423" i="4"/>
  <c r="L423" i="4"/>
  <c r="M423" i="4"/>
  <c r="N423" i="4"/>
  <c r="O423" i="4"/>
  <c r="D95" i="4"/>
  <c r="E95" i="4"/>
  <c r="F95" i="4"/>
  <c r="G95" i="4"/>
  <c r="H95" i="4"/>
  <c r="I95" i="4"/>
  <c r="J95" i="4"/>
  <c r="K95" i="4"/>
  <c r="L95" i="4"/>
  <c r="M95" i="4"/>
  <c r="N95" i="4"/>
  <c r="O95" i="4"/>
  <c r="D870" i="4"/>
  <c r="E870" i="4"/>
  <c r="F870" i="4"/>
  <c r="G870" i="4"/>
  <c r="H870" i="4"/>
  <c r="I870" i="4"/>
  <c r="J870" i="4"/>
  <c r="K870" i="4"/>
  <c r="L870" i="4"/>
  <c r="M870" i="4"/>
  <c r="N870" i="4"/>
  <c r="O870" i="4"/>
  <c r="D96" i="4"/>
  <c r="E96" i="4"/>
  <c r="F96" i="4"/>
  <c r="G96" i="4"/>
  <c r="H96" i="4"/>
  <c r="I96" i="4"/>
  <c r="J96" i="4"/>
  <c r="K96" i="4"/>
  <c r="L96" i="4"/>
  <c r="M96" i="4"/>
  <c r="N96" i="4"/>
  <c r="O96" i="4"/>
  <c r="D97" i="4"/>
  <c r="E97" i="4"/>
  <c r="F97" i="4"/>
  <c r="G97" i="4"/>
  <c r="H97" i="4"/>
  <c r="I97" i="4"/>
  <c r="J97" i="4"/>
  <c r="K97" i="4"/>
  <c r="L97" i="4"/>
  <c r="M97" i="4"/>
  <c r="N97" i="4"/>
  <c r="O97" i="4"/>
  <c r="D424" i="4"/>
  <c r="E424" i="4"/>
  <c r="F424" i="4"/>
  <c r="G424" i="4"/>
  <c r="H424" i="4"/>
  <c r="I424" i="4"/>
  <c r="J424" i="4"/>
  <c r="K424" i="4"/>
  <c r="L424" i="4"/>
  <c r="M424" i="4"/>
  <c r="N424" i="4"/>
  <c r="O424" i="4"/>
  <c r="D98" i="4"/>
  <c r="E98" i="4"/>
  <c r="F98" i="4"/>
  <c r="G98" i="4"/>
  <c r="H98" i="4"/>
  <c r="I98" i="4"/>
  <c r="J98" i="4"/>
  <c r="K98" i="4"/>
  <c r="L98" i="4"/>
  <c r="M98" i="4"/>
  <c r="N98" i="4"/>
  <c r="O98" i="4"/>
  <c r="D99" i="4"/>
  <c r="E99" i="4"/>
  <c r="F99" i="4"/>
  <c r="G99" i="4"/>
  <c r="H99" i="4"/>
  <c r="I99" i="4"/>
  <c r="J99" i="4"/>
  <c r="K99" i="4"/>
  <c r="L99" i="4"/>
  <c r="M99" i="4"/>
  <c r="N99" i="4"/>
  <c r="O99" i="4"/>
  <c r="D425" i="4"/>
  <c r="E425" i="4"/>
  <c r="F425" i="4"/>
  <c r="G425" i="4"/>
  <c r="H425" i="4"/>
  <c r="I425" i="4"/>
  <c r="J425" i="4"/>
  <c r="K425" i="4"/>
  <c r="L425" i="4"/>
  <c r="M425" i="4"/>
  <c r="N425" i="4"/>
  <c r="O425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D426" i="4"/>
  <c r="E426" i="4"/>
  <c r="F426" i="4"/>
  <c r="G426" i="4"/>
  <c r="H426" i="4"/>
  <c r="I426" i="4"/>
  <c r="J426" i="4"/>
  <c r="K426" i="4"/>
  <c r="L426" i="4"/>
  <c r="M426" i="4"/>
  <c r="N426" i="4"/>
  <c r="O426" i="4"/>
  <c r="D427" i="4"/>
  <c r="E427" i="4"/>
  <c r="F427" i="4"/>
  <c r="G427" i="4"/>
  <c r="H427" i="4"/>
  <c r="I427" i="4"/>
  <c r="J427" i="4"/>
  <c r="K427" i="4"/>
  <c r="L427" i="4"/>
  <c r="M427" i="4"/>
  <c r="N427" i="4"/>
  <c r="O427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D428" i="4"/>
  <c r="E428" i="4"/>
  <c r="F428" i="4"/>
  <c r="G428" i="4"/>
  <c r="H428" i="4"/>
  <c r="I428" i="4"/>
  <c r="J428" i="4"/>
  <c r="K428" i="4"/>
  <c r="L428" i="4"/>
  <c r="M428" i="4"/>
  <c r="N428" i="4"/>
  <c r="O428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D871" i="4"/>
  <c r="E871" i="4"/>
  <c r="F871" i="4"/>
  <c r="G871" i="4"/>
  <c r="H871" i="4"/>
  <c r="I871" i="4"/>
  <c r="J871" i="4"/>
  <c r="K871" i="4"/>
  <c r="L871" i="4"/>
  <c r="M871" i="4"/>
  <c r="N871" i="4"/>
  <c r="O871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D429" i="4"/>
  <c r="E429" i="4"/>
  <c r="F429" i="4"/>
  <c r="G429" i="4"/>
  <c r="H429" i="4"/>
  <c r="I429" i="4"/>
  <c r="J429" i="4"/>
  <c r="K429" i="4"/>
  <c r="L429" i="4"/>
  <c r="M429" i="4"/>
  <c r="N429" i="4"/>
  <c r="O429" i="4"/>
  <c r="D430" i="4"/>
  <c r="E430" i="4"/>
  <c r="F430" i="4"/>
  <c r="G430" i="4"/>
  <c r="H430" i="4"/>
  <c r="I430" i="4"/>
  <c r="J430" i="4"/>
  <c r="K430" i="4"/>
  <c r="L430" i="4"/>
  <c r="M430" i="4"/>
  <c r="N430" i="4"/>
  <c r="O430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D431" i="4"/>
  <c r="E431" i="4"/>
  <c r="F431" i="4"/>
  <c r="G431" i="4"/>
  <c r="H431" i="4"/>
  <c r="I431" i="4"/>
  <c r="J431" i="4"/>
  <c r="K431" i="4"/>
  <c r="L431" i="4"/>
  <c r="M431" i="4"/>
  <c r="N431" i="4"/>
  <c r="O43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D432" i="4"/>
  <c r="E432" i="4"/>
  <c r="F432" i="4"/>
  <c r="G432" i="4"/>
  <c r="H432" i="4"/>
  <c r="I432" i="4"/>
  <c r="J432" i="4"/>
  <c r="K432" i="4"/>
  <c r="L432" i="4"/>
  <c r="M432" i="4"/>
  <c r="N432" i="4"/>
  <c r="O432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D433" i="4"/>
  <c r="E433" i="4"/>
  <c r="F433" i="4"/>
  <c r="G433" i="4"/>
  <c r="H433" i="4"/>
  <c r="I433" i="4"/>
  <c r="J433" i="4"/>
  <c r="K433" i="4"/>
  <c r="L433" i="4"/>
  <c r="M433" i="4"/>
  <c r="N433" i="4"/>
  <c r="O433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D434" i="4"/>
  <c r="E434" i="4"/>
  <c r="F434" i="4"/>
  <c r="G434" i="4"/>
  <c r="H434" i="4"/>
  <c r="I434" i="4"/>
  <c r="J434" i="4"/>
  <c r="K434" i="4"/>
  <c r="L434" i="4"/>
  <c r="M434" i="4"/>
  <c r="N434" i="4"/>
  <c r="O434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D435" i="4"/>
  <c r="E435" i="4"/>
  <c r="F435" i="4"/>
  <c r="G435" i="4"/>
  <c r="H435" i="4"/>
  <c r="I435" i="4"/>
  <c r="J435" i="4"/>
  <c r="K435" i="4"/>
  <c r="L435" i="4"/>
  <c r="M435" i="4"/>
  <c r="N435" i="4"/>
  <c r="O435" i="4"/>
  <c r="D436" i="4"/>
  <c r="E436" i="4"/>
  <c r="F436" i="4"/>
  <c r="G436" i="4"/>
  <c r="H436" i="4"/>
  <c r="I436" i="4"/>
  <c r="J436" i="4"/>
  <c r="K436" i="4"/>
  <c r="L436" i="4"/>
  <c r="M436" i="4"/>
  <c r="N436" i="4"/>
  <c r="O436" i="4"/>
  <c r="D437" i="4"/>
  <c r="E437" i="4"/>
  <c r="F437" i="4"/>
  <c r="G437" i="4"/>
  <c r="H437" i="4"/>
  <c r="I437" i="4"/>
  <c r="J437" i="4"/>
  <c r="K437" i="4"/>
  <c r="L437" i="4"/>
  <c r="M437" i="4"/>
  <c r="N437" i="4"/>
  <c r="O437" i="4"/>
  <c r="D438" i="4"/>
  <c r="E438" i="4"/>
  <c r="F438" i="4"/>
  <c r="G438" i="4"/>
  <c r="H438" i="4"/>
  <c r="I438" i="4"/>
  <c r="J438" i="4"/>
  <c r="K438" i="4"/>
  <c r="L438" i="4"/>
  <c r="M438" i="4"/>
  <c r="N438" i="4"/>
  <c r="O438" i="4"/>
  <c r="D439" i="4"/>
  <c r="E439" i="4"/>
  <c r="F439" i="4"/>
  <c r="G439" i="4"/>
  <c r="H439" i="4"/>
  <c r="I439" i="4"/>
  <c r="J439" i="4"/>
  <c r="K439" i="4"/>
  <c r="L439" i="4"/>
  <c r="M439" i="4"/>
  <c r="N439" i="4"/>
  <c r="O439" i="4"/>
  <c r="D440" i="4"/>
  <c r="E440" i="4"/>
  <c r="F440" i="4"/>
  <c r="G440" i="4"/>
  <c r="H440" i="4"/>
  <c r="I440" i="4"/>
  <c r="J440" i="4"/>
  <c r="K440" i="4"/>
  <c r="L440" i="4"/>
  <c r="M440" i="4"/>
  <c r="N440" i="4"/>
  <c r="O440" i="4"/>
  <c r="D441" i="4"/>
  <c r="E441" i="4"/>
  <c r="F441" i="4"/>
  <c r="G441" i="4"/>
  <c r="H441" i="4"/>
  <c r="I441" i="4"/>
  <c r="J441" i="4"/>
  <c r="K441" i="4"/>
  <c r="L441" i="4"/>
  <c r="M441" i="4"/>
  <c r="N441" i="4"/>
  <c r="O441" i="4"/>
  <c r="D442" i="4"/>
  <c r="E442" i="4"/>
  <c r="F442" i="4"/>
  <c r="G442" i="4"/>
  <c r="H442" i="4"/>
  <c r="I442" i="4"/>
  <c r="J442" i="4"/>
  <c r="K442" i="4"/>
  <c r="L442" i="4"/>
  <c r="M442" i="4"/>
  <c r="N442" i="4"/>
  <c r="O442" i="4"/>
  <c r="D443" i="4"/>
  <c r="E443" i="4"/>
  <c r="F443" i="4"/>
  <c r="G443" i="4"/>
  <c r="H443" i="4"/>
  <c r="I443" i="4"/>
  <c r="J443" i="4"/>
  <c r="K443" i="4"/>
  <c r="L443" i="4"/>
  <c r="M443" i="4"/>
  <c r="N443" i="4"/>
  <c r="O443" i="4"/>
  <c r="D444" i="4"/>
  <c r="E444" i="4"/>
  <c r="F444" i="4"/>
  <c r="G444" i="4"/>
  <c r="H444" i="4"/>
  <c r="I444" i="4"/>
  <c r="J444" i="4"/>
  <c r="K444" i="4"/>
  <c r="L444" i="4"/>
  <c r="M444" i="4"/>
  <c r="N444" i="4"/>
  <c r="O444" i="4"/>
  <c r="D445" i="4"/>
  <c r="E445" i="4"/>
  <c r="F445" i="4"/>
  <c r="G445" i="4"/>
  <c r="H445" i="4"/>
  <c r="I445" i="4"/>
  <c r="J445" i="4"/>
  <c r="K445" i="4"/>
  <c r="L445" i="4"/>
  <c r="M445" i="4"/>
  <c r="N445" i="4"/>
  <c r="O445" i="4"/>
  <c r="D446" i="4"/>
  <c r="E446" i="4"/>
  <c r="F446" i="4"/>
  <c r="G446" i="4"/>
  <c r="H446" i="4"/>
  <c r="I446" i="4"/>
  <c r="J446" i="4"/>
  <c r="K446" i="4"/>
  <c r="L446" i="4"/>
  <c r="M446" i="4"/>
  <c r="N446" i="4"/>
  <c r="O446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D872" i="4"/>
  <c r="E872" i="4"/>
  <c r="F872" i="4"/>
  <c r="G872" i="4"/>
  <c r="H872" i="4"/>
  <c r="I872" i="4"/>
  <c r="J872" i="4"/>
  <c r="K872" i="4"/>
  <c r="L872" i="4"/>
  <c r="M872" i="4"/>
  <c r="N872" i="4"/>
  <c r="O872" i="4"/>
  <c r="D873" i="4"/>
  <c r="E873" i="4"/>
  <c r="F873" i="4"/>
  <c r="G873" i="4"/>
  <c r="H873" i="4"/>
  <c r="I873" i="4"/>
  <c r="J873" i="4"/>
  <c r="K873" i="4"/>
  <c r="L873" i="4"/>
  <c r="M873" i="4"/>
  <c r="N873" i="4"/>
  <c r="O873" i="4"/>
  <c r="D740" i="4"/>
  <c r="E740" i="4"/>
  <c r="F740" i="4"/>
  <c r="G740" i="4"/>
  <c r="H740" i="4"/>
  <c r="I740" i="4"/>
  <c r="J740" i="4"/>
  <c r="K740" i="4"/>
  <c r="L740" i="4"/>
  <c r="M740" i="4"/>
  <c r="N740" i="4"/>
  <c r="O740" i="4"/>
  <c r="D741" i="4"/>
  <c r="E741" i="4"/>
  <c r="F741" i="4"/>
  <c r="G741" i="4"/>
  <c r="H741" i="4"/>
  <c r="I741" i="4"/>
  <c r="J741" i="4"/>
  <c r="K741" i="4"/>
  <c r="L741" i="4"/>
  <c r="M741" i="4"/>
  <c r="N741" i="4"/>
  <c r="O741" i="4"/>
  <c r="D742" i="4"/>
  <c r="E742" i="4"/>
  <c r="F742" i="4"/>
  <c r="G742" i="4"/>
  <c r="H742" i="4"/>
  <c r="I742" i="4"/>
  <c r="J742" i="4"/>
  <c r="K742" i="4"/>
  <c r="L742" i="4"/>
  <c r="M742" i="4"/>
  <c r="N742" i="4"/>
  <c r="O742" i="4"/>
  <c r="D874" i="4"/>
  <c r="E874" i="4"/>
  <c r="F874" i="4"/>
  <c r="G874" i="4"/>
  <c r="H874" i="4"/>
  <c r="I874" i="4"/>
  <c r="J874" i="4"/>
  <c r="K874" i="4"/>
  <c r="L874" i="4"/>
  <c r="M874" i="4"/>
  <c r="N874" i="4"/>
  <c r="O874" i="4"/>
  <c r="D743" i="4"/>
  <c r="E743" i="4"/>
  <c r="F743" i="4"/>
  <c r="G743" i="4"/>
  <c r="H743" i="4"/>
  <c r="I743" i="4"/>
  <c r="J743" i="4"/>
  <c r="K743" i="4"/>
  <c r="L743" i="4"/>
  <c r="M743" i="4"/>
  <c r="N743" i="4"/>
  <c r="O743" i="4"/>
  <c r="D744" i="4"/>
  <c r="E744" i="4"/>
  <c r="F744" i="4"/>
  <c r="G744" i="4"/>
  <c r="H744" i="4"/>
  <c r="I744" i="4"/>
  <c r="J744" i="4"/>
  <c r="K744" i="4"/>
  <c r="L744" i="4"/>
  <c r="M744" i="4"/>
  <c r="N744" i="4"/>
  <c r="O744" i="4"/>
  <c r="D745" i="4"/>
  <c r="E745" i="4"/>
  <c r="F745" i="4"/>
  <c r="G745" i="4"/>
  <c r="H745" i="4"/>
  <c r="I745" i="4"/>
  <c r="J745" i="4"/>
  <c r="K745" i="4"/>
  <c r="L745" i="4"/>
  <c r="M745" i="4"/>
  <c r="N745" i="4"/>
  <c r="O745" i="4"/>
  <c r="D746" i="4"/>
  <c r="E746" i="4"/>
  <c r="F746" i="4"/>
  <c r="G746" i="4"/>
  <c r="H746" i="4"/>
  <c r="I746" i="4"/>
  <c r="J746" i="4"/>
  <c r="K746" i="4"/>
  <c r="L746" i="4"/>
  <c r="M746" i="4"/>
  <c r="N746" i="4"/>
  <c r="O746" i="4"/>
  <c r="D875" i="4"/>
  <c r="E875" i="4"/>
  <c r="F875" i="4"/>
  <c r="G875" i="4"/>
  <c r="H875" i="4"/>
  <c r="I875" i="4"/>
  <c r="J875" i="4"/>
  <c r="K875" i="4"/>
  <c r="L875" i="4"/>
  <c r="M875" i="4"/>
  <c r="N875" i="4"/>
  <c r="O875" i="4"/>
  <c r="D876" i="4"/>
  <c r="E876" i="4"/>
  <c r="F876" i="4"/>
  <c r="G876" i="4"/>
  <c r="H876" i="4"/>
  <c r="I876" i="4"/>
  <c r="J876" i="4"/>
  <c r="K876" i="4"/>
  <c r="L876" i="4"/>
  <c r="M876" i="4"/>
  <c r="N876" i="4"/>
  <c r="O876" i="4"/>
  <c r="D447" i="4"/>
  <c r="E447" i="4"/>
  <c r="F447" i="4"/>
  <c r="G447" i="4"/>
  <c r="H447" i="4"/>
  <c r="I447" i="4"/>
  <c r="J447" i="4"/>
  <c r="K447" i="4"/>
  <c r="L447" i="4"/>
  <c r="M447" i="4"/>
  <c r="N447" i="4"/>
  <c r="O447" i="4"/>
  <c r="D877" i="4"/>
  <c r="E877" i="4"/>
  <c r="F877" i="4"/>
  <c r="G877" i="4"/>
  <c r="H877" i="4"/>
  <c r="I877" i="4"/>
  <c r="J877" i="4"/>
  <c r="K877" i="4"/>
  <c r="L877" i="4"/>
  <c r="M877" i="4"/>
  <c r="N877" i="4"/>
  <c r="O877" i="4"/>
  <c r="D747" i="4"/>
  <c r="E747" i="4"/>
  <c r="F747" i="4"/>
  <c r="G747" i="4"/>
  <c r="H747" i="4"/>
  <c r="I747" i="4"/>
  <c r="J747" i="4"/>
  <c r="K747" i="4"/>
  <c r="L747" i="4"/>
  <c r="M747" i="4"/>
  <c r="N747" i="4"/>
  <c r="O747" i="4"/>
  <c r="D748" i="4"/>
  <c r="E748" i="4"/>
  <c r="F748" i="4"/>
  <c r="G748" i="4"/>
  <c r="H748" i="4"/>
  <c r="I748" i="4"/>
  <c r="J748" i="4"/>
  <c r="K748" i="4"/>
  <c r="L748" i="4"/>
  <c r="M748" i="4"/>
  <c r="N748" i="4"/>
  <c r="O748" i="4"/>
  <c r="D878" i="4"/>
  <c r="E878" i="4"/>
  <c r="F878" i="4"/>
  <c r="G878" i="4"/>
  <c r="H878" i="4"/>
  <c r="I878" i="4"/>
  <c r="J878" i="4"/>
  <c r="K878" i="4"/>
  <c r="L878" i="4"/>
  <c r="M878" i="4"/>
  <c r="N878" i="4"/>
  <c r="O878" i="4"/>
  <c r="D749" i="4"/>
  <c r="E749" i="4"/>
  <c r="F749" i="4"/>
  <c r="G749" i="4"/>
  <c r="H749" i="4"/>
  <c r="I749" i="4"/>
  <c r="J749" i="4"/>
  <c r="K749" i="4"/>
  <c r="L749" i="4"/>
  <c r="M749" i="4"/>
  <c r="N749" i="4"/>
  <c r="O749" i="4"/>
  <c r="D750" i="4"/>
  <c r="E750" i="4"/>
  <c r="F750" i="4"/>
  <c r="G750" i="4"/>
  <c r="H750" i="4"/>
  <c r="I750" i="4"/>
  <c r="J750" i="4"/>
  <c r="K750" i="4"/>
  <c r="L750" i="4"/>
  <c r="M750" i="4"/>
  <c r="N750" i="4"/>
  <c r="O750" i="4"/>
  <c r="D751" i="4"/>
  <c r="E751" i="4"/>
  <c r="F751" i="4"/>
  <c r="G751" i="4"/>
  <c r="H751" i="4"/>
  <c r="I751" i="4"/>
  <c r="J751" i="4"/>
  <c r="K751" i="4"/>
  <c r="L751" i="4"/>
  <c r="M751" i="4"/>
  <c r="N751" i="4"/>
  <c r="O751" i="4"/>
  <c r="D752" i="4"/>
  <c r="E752" i="4"/>
  <c r="F752" i="4"/>
  <c r="G752" i="4"/>
  <c r="H752" i="4"/>
  <c r="I752" i="4"/>
  <c r="J752" i="4"/>
  <c r="K752" i="4"/>
  <c r="L752" i="4"/>
  <c r="M752" i="4"/>
  <c r="N752" i="4"/>
  <c r="O752" i="4"/>
  <c r="D753" i="4"/>
  <c r="E753" i="4"/>
  <c r="F753" i="4"/>
  <c r="G753" i="4"/>
  <c r="H753" i="4"/>
  <c r="I753" i="4"/>
  <c r="J753" i="4"/>
  <c r="K753" i="4"/>
  <c r="L753" i="4"/>
  <c r="M753" i="4"/>
  <c r="N753" i="4"/>
  <c r="O753" i="4"/>
  <c r="D754" i="4"/>
  <c r="E754" i="4"/>
  <c r="F754" i="4"/>
  <c r="G754" i="4"/>
  <c r="H754" i="4"/>
  <c r="I754" i="4"/>
  <c r="J754" i="4"/>
  <c r="K754" i="4"/>
  <c r="L754" i="4"/>
  <c r="M754" i="4"/>
  <c r="N754" i="4"/>
  <c r="O754" i="4"/>
  <c r="D755" i="4"/>
  <c r="E755" i="4"/>
  <c r="F755" i="4"/>
  <c r="G755" i="4"/>
  <c r="H755" i="4"/>
  <c r="I755" i="4"/>
  <c r="J755" i="4"/>
  <c r="K755" i="4"/>
  <c r="L755" i="4"/>
  <c r="M755" i="4"/>
  <c r="N755" i="4"/>
  <c r="O755" i="4"/>
  <c r="D756" i="4"/>
  <c r="E756" i="4"/>
  <c r="F756" i="4"/>
  <c r="G756" i="4"/>
  <c r="H756" i="4"/>
  <c r="I756" i="4"/>
  <c r="J756" i="4"/>
  <c r="K756" i="4"/>
  <c r="L756" i="4"/>
  <c r="M756" i="4"/>
  <c r="N756" i="4"/>
  <c r="O756" i="4"/>
  <c r="D757" i="4"/>
  <c r="E757" i="4"/>
  <c r="F757" i="4"/>
  <c r="G757" i="4"/>
  <c r="H757" i="4"/>
  <c r="I757" i="4"/>
  <c r="J757" i="4"/>
  <c r="K757" i="4"/>
  <c r="L757" i="4"/>
  <c r="M757" i="4"/>
  <c r="N757" i="4"/>
  <c r="O757" i="4"/>
  <c r="D879" i="4"/>
  <c r="E879" i="4"/>
  <c r="F879" i="4"/>
  <c r="G879" i="4"/>
  <c r="H879" i="4"/>
  <c r="I879" i="4"/>
  <c r="J879" i="4"/>
  <c r="K879" i="4"/>
  <c r="L879" i="4"/>
  <c r="M879" i="4"/>
  <c r="N879" i="4"/>
  <c r="O879" i="4"/>
  <c r="D758" i="4"/>
  <c r="E758" i="4"/>
  <c r="F758" i="4"/>
  <c r="G758" i="4"/>
  <c r="H758" i="4"/>
  <c r="I758" i="4"/>
  <c r="J758" i="4"/>
  <c r="K758" i="4"/>
  <c r="L758" i="4"/>
  <c r="M758" i="4"/>
  <c r="N758" i="4"/>
  <c r="O758" i="4"/>
  <c r="D759" i="4"/>
  <c r="E759" i="4"/>
  <c r="F759" i="4"/>
  <c r="G759" i="4"/>
  <c r="H759" i="4"/>
  <c r="I759" i="4"/>
  <c r="J759" i="4"/>
  <c r="K759" i="4"/>
  <c r="L759" i="4"/>
  <c r="M759" i="4"/>
  <c r="N759" i="4"/>
  <c r="O759" i="4"/>
  <c r="D760" i="4"/>
  <c r="E760" i="4"/>
  <c r="F760" i="4"/>
  <c r="G760" i="4"/>
  <c r="H760" i="4"/>
  <c r="I760" i="4"/>
  <c r="J760" i="4"/>
  <c r="K760" i="4"/>
  <c r="L760" i="4"/>
  <c r="M760" i="4"/>
  <c r="N760" i="4"/>
  <c r="O760" i="4"/>
  <c r="D761" i="4"/>
  <c r="E761" i="4"/>
  <c r="F761" i="4"/>
  <c r="G761" i="4"/>
  <c r="H761" i="4"/>
  <c r="I761" i="4"/>
  <c r="J761" i="4"/>
  <c r="K761" i="4"/>
  <c r="L761" i="4"/>
  <c r="M761" i="4"/>
  <c r="N761" i="4"/>
  <c r="O761" i="4"/>
  <c r="D762" i="4"/>
  <c r="E762" i="4"/>
  <c r="F762" i="4"/>
  <c r="G762" i="4"/>
  <c r="H762" i="4"/>
  <c r="I762" i="4"/>
  <c r="J762" i="4"/>
  <c r="K762" i="4"/>
  <c r="L762" i="4"/>
  <c r="M762" i="4"/>
  <c r="N762" i="4"/>
  <c r="O762" i="4"/>
  <c r="D763" i="4"/>
  <c r="E763" i="4"/>
  <c r="F763" i="4"/>
  <c r="G763" i="4"/>
  <c r="H763" i="4"/>
  <c r="I763" i="4"/>
  <c r="J763" i="4"/>
  <c r="K763" i="4"/>
  <c r="L763" i="4"/>
  <c r="M763" i="4"/>
  <c r="N763" i="4"/>
  <c r="O763" i="4"/>
  <c r="D880" i="4"/>
  <c r="E880" i="4"/>
  <c r="F880" i="4"/>
  <c r="G880" i="4"/>
  <c r="H880" i="4"/>
  <c r="I880" i="4"/>
  <c r="J880" i="4"/>
  <c r="K880" i="4"/>
  <c r="L880" i="4"/>
  <c r="M880" i="4"/>
  <c r="N880" i="4"/>
  <c r="O880" i="4"/>
  <c r="D764" i="4"/>
  <c r="E764" i="4"/>
  <c r="F764" i="4"/>
  <c r="G764" i="4"/>
  <c r="H764" i="4"/>
  <c r="I764" i="4"/>
  <c r="J764" i="4"/>
  <c r="K764" i="4"/>
  <c r="L764" i="4"/>
  <c r="M764" i="4"/>
  <c r="N764" i="4"/>
  <c r="O764" i="4"/>
  <c r="D765" i="4"/>
  <c r="E765" i="4"/>
  <c r="F765" i="4"/>
  <c r="G765" i="4"/>
  <c r="H765" i="4"/>
  <c r="I765" i="4"/>
  <c r="J765" i="4"/>
  <c r="K765" i="4"/>
  <c r="L765" i="4"/>
  <c r="M765" i="4"/>
  <c r="N765" i="4"/>
  <c r="O765" i="4"/>
  <c r="D766" i="4"/>
  <c r="E766" i="4"/>
  <c r="F766" i="4"/>
  <c r="G766" i="4"/>
  <c r="H766" i="4"/>
  <c r="I766" i="4"/>
  <c r="J766" i="4"/>
  <c r="K766" i="4"/>
  <c r="L766" i="4"/>
  <c r="M766" i="4"/>
  <c r="N766" i="4"/>
  <c r="O766" i="4"/>
  <c r="D767" i="4"/>
  <c r="E767" i="4"/>
  <c r="F767" i="4"/>
  <c r="G767" i="4"/>
  <c r="H767" i="4"/>
  <c r="I767" i="4"/>
  <c r="J767" i="4"/>
  <c r="K767" i="4"/>
  <c r="L767" i="4"/>
  <c r="M767" i="4"/>
  <c r="N767" i="4"/>
  <c r="O767" i="4"/>
  <c r="D768" i="4"/>
  <c r="E768" i="4"/>
  <c r="F768" i="4"/>
  <c r="G768" i="4"/>
  <c r="H768" i="4"/>
  <c r="I768" i="4"/>
  <c r="J768" i="4"/>
  <c r="K768" i="4"/>
  <c r="L768" i="4"/>
  <c r="M768" i="4"/>
  <c r="N768" i="4"/>
  <c r="O768" i="4"/>
  <c r="D769" i="4"/>
  <c r="E769" i="4"/>
  <c r="F769" i="4"/>
  <c r="G769" i="4"/>
  <c r="H769" i="4"/>
  <c r="I769" i="4"/>
  <c r="J769" i="4"/>
  <c r="K769" i="4"/>
  <c r="L769" i="4"/>
  <c r="M769" i="4"/>
  <c r="N769" i="4"/>
  <c r="O769" i="4"/>
  <c r="D770" i="4"/>
  <c r="E770" i="4"/>
  <c r="F770" i="4"/>
  <c r="G770" i="4"/>
  <c r="H770" i="4"/>
  <c r="I770" i="4"/>
  <c r="J770" i="4"/>
  <c r="K770" i="4"/>
  <c r="L770" i="4"/>
  <c r="M770" i="4"/>
  <c r="N770" i="4"/>
  <c r="O770" i="4"/>
  <c r="D881" i="4"/>
  <c r="E881" i="4"/>
  <c r="F881" i="4"/>
  <c r="G881" i="4"/>
  <c r="H881" i="4"/>
  <c r="I881" i="4"/>
  <c r="J881" i="4"/>
  <c r="K881" i="4"/>
  <c r="L881" i="4"/>
  <c r="M881" i="4"/>
  <c r="N881" i="4"/>
  <c r="O881" i="4"/>
  <c r="D771" i="4"/>
  <c r="E771" i="4"/>
  <c r="F771" i="4"/>
  <c r="G771" i="4"/>
  <c r="H771" i="4"/>
  <c r="I771" i="4"/>
  <c r="J771" i="4"/>
  <c r="K771" i="4"/>
  <c r="L771" i="4"/>
  <c r="M771" i="4"/>
  <c r="N771" i="4"/>
  <c r="O771" i="4"/>
  <c r="D772" i="4"/>
  <c r="E772" i="4"/>
  <c r="F772" i="4"/>
  <c r="G772" i="4"/>
  <c r="H772" i="4"/>
  <c r="I772" i="4"/>
  <c r="J772" i="4"/>
  <c r="K772" i="4"/>
  <c r="L772" i="4"/>
  <c r="M772" i="4"/>
  <c r="N772" i="4"/>
  <c r="O772" i="4"/>
  <c r="D882" i="4"/>
  <c r="E882" i="4"/>
  <c r="F882" i="4"/>
  <c r="G882" i="4"/>
  <c r="H882" i="4"/>
  <c r="I882" i="4"/>
  <c r="J882" i="4"/>
  <c r="K882" i="4"/>
  <c r="L882" i="4"/>
  <c r="M882" i="4"/>
  <c r="N882" i="4"/>
  <c r="O882" i="4"/>
  <c r="D773" i="4"/>
  <c r="E773" i="4"/>
  <c r="F773" i="4"/>
  <c r="G773" i="4"/>
  <c r="H773" i="4"/>
  <c r="I773" i="4"/>
  <c r="J773" i="4"/>
  <c r="K773" i="4"/>
  <c r="L773" i="4"/>
  <c r="M773" i="4"/>
  <c r="N773" i="4"/>
  <c r="O773" i="4"/>
  <c r="D883" i="4"/>
  <c r="E883" i="4"/>
  <c r="F883" i="4"/>
  <c r="G883" i="4"/>
  <c r="H883" i="4"/>
  <c r="I883" i="4"/>
  <c r="J883" i="4"/>
  <c r="K883" i="4"/>
  <c r="L883" i="4"/>
  <c r="M883" i="4"/>
  <c r="N883" i="4"/>
  <c r="O883" i="4"/>
  <c r="D774" i="4"/>
  <c r="E774" i="4"/>
  <c r="F774" i="4"/>
  <c r="G774" i="4"/>
  <c r="H774" i="4"/>
  <c r="I774" i="4"/>
  <c r="J774" i="4"/>
  <c r="K774" i="4"/>
  <c r="L774" i="4"/>
  <c r="M774" i="4"/>
  <c r="N774" i="4"/>
  <c r="O774" i="4"/>
  <c r="D884" i="4"/>
  <c r="E884" i="4"/>
  <c r="F884" i="4"/>
  <c r="G884" i="4"/>
  <c r="H884" i="4"/>
  <c r="I884" i="4"/>
  <c r="J884" i="4"/>
  <c r="K884" i="4"/>
  <c r="L884" i="4"/>
  <c r="M884" i="4"/>
  <c r="N884" i="4"/>
  <c r="O884" i="4"/>
  <c r="D775" i="4"/>
  <c r="E775" i="4"/>
  <c r="F775" i="4"/>
  <c r="G775" i="4"/>
  <c r="H775" i="4"/>
  <c r="I775" i="4"/>
  <c r="J775" i="4"/>
  <c r="K775" i="4"/>
  <c r="L775" i="4"/>
  <c r="M775" i="4"/>
  <c r="N775" i="4"/>
  <c r="O775" i="4"/>
  <c r="D776" i="4"/>
  <c r="E776" i="4"/>
  <c r="F776" i="4"/>
  <c r="G776" i="4"/>
  <c r="H776" i="4"/>
  <c r="I776" i="4"/>
  <c r="J776" i="4"/>
  <c r="K776" i="4"/>
  <c r="L776" i="4"/>
  <c r="M776" i="4"/>
  <c r="N776" i="4"/>
  <c r="O776" i="4"/>
  <c r="D777" i="4"/>
  <c r="E777" i="4"/>
  <c r="F777" i="4"/>
  <c r="G777" i="4"/>
  <c r="H777" i="4"/>
  <c r="I777" i="4"/>
  <c r="J777" i="4"/>
  <c r="K777" i="4"/>
  <c r="L777" i="4"/>
  <c r="M777" i="4"/>
  <c r="N777" i="4"/>
  <c r="O777" i="4"/>
  <c r="D885" i="4"/>
  <c r="E885" i="4"/>
  <c r="F885" i="4"/>
  <c r="G885" i="4"/>
  <c r="H885" i="4"/>
  <c r="I885" i="4"/>
  <c r="J885" i="4"/>
  <c r="K885" i="4"/>
  <c r="L885" i="4"/>
  <c r="M885" i="4"/>
  <c r="N885" i="4"/>
  <c r="O885" i="4"/>
  <c r="D778" i="4"/>
  <c r="E778" i="4"/>
  <c r="F778" i="4"/>
  <c r="G778" i="4"/>
  <c r="H778" i="4"/>
  <c r="I778" i="4"/>
  <c r="J778" i="4"/>
  <c r="K778" i="4"/>
  <c r="L778" i="4"/>
  <c r="M778" i="4"/>
  <c r="N778" i="4"/>
  <c r="O778" i="4"/>
  <c r="D779" i="4"/>
  <c r="E779" i="4"/>
  <c r="F779" i="4"/>
  <c r="G779" i="4"/>
  <c r="H779" i="4"/>
  <c r="I779" i="4"/>
  <c r="J779" i="4"/>
  <c r="K779" i="4"/>
  <c r="L779" i="4"/>
  <c r="M779" i="4"/>
  <c r="N779" i="4"/>
  <c r="O779" i="4"/>
  <c r="D886" i="4"/>
  <c r="E886" i="4"/>
  <c r="F886" i="4"/>
  <c r="G886" i="4"/>
  <c r="H886" i="4"/>
  <c r="I886" i="4"/>
  <c r="J886" i="4"/>
  <c r="K886" i="4"/>
  <c r="L886" i="4"/>
  <c r="M886" i="4"/>
  <c r="N886" i="4"/>
  <c r="O886" i="4"/>
  <c r="D887" i="4"/>
  <c r="E887" i="4"/>
  <c r="F887" i="4"/>
  <c r="G887" i="4"/>
  <c r="H887" i="4"/>
  <c r="I887" i="4"/>
  <c r="J887" i="4"/>
  <c r="K887" i="4"/>
  <c r="L887" i="4"/>
  <c r="M887" i="4"/>
  <c r="N887" i="4"/>
  <c r="O887" i="4"/>
  <c r="D780" i="4"/>
  <c r="E780" i="4"/>
  <c r="F780" i="4"/>
  <c r="G780" i="4"/>
  <c r="H780" i="4"/>
  <c r="I780" i="4"/>
  <c r="J780" i="4"/>
  <c r="K780" i="4"/>
  <c r="L780" i="4"/>
  <c r="M780" i="4"/>
  <c r="N780" i="4"/>
  <c r="O780" i="4"/>
  <c r="D781" i="4"/>
  <c r="E781" i="4"/>
  <c r="F781" i="4"/>
  <c r="G781" i="4"/>
  <c r="H781" i="4"/>
  <c r="I781" i="4"/>
  <c r="J781" i="4"/>
  <c r="K781" i="4"/>
  <c r="L781" i="4"/>
  <c r="M781" i="4"/>
  <c r="N781" i="4"/>
  <c r="O781" i="4"/>
  <c r="D782" i="4"/>
  <c r="E782" i="4"/>
  <c r="F782" i="4"/>
  <c r="G782" i="4"/>
  <c r="H782" i="4"/>
  <c r="I782" i="4"/>
  <c r="J782" i="4"/>
  <c r="K782" i="4"/>
  <c r="L782" i="4"/>
  <c r="M782" i="4"/>
  <c r="N782" i="4"/>
  <c r="O782" i="4"/>
  <c r="D783" i="4"/>
  <c r="E783" i="4"/>
  <c r="F783" i="4"/>
  <c r="G783" i="4"/>
  <c r="H783" i="4"/>
  <c r="I783" i="4"/>
  <c r="J783" i="4"/>
  <c r="K783" i="4"/>
  <c r="L783" i="4"/>
  <c r="M783" i="4"/>
  <c r="N783" i="4"/>
  <c r="O783" i="4"/>
  <c r="D784" i="4"/>
  <c r="E784" i="4"/>
  <c r="F784" i="4"/>
  <c r="G784" i="4"/>
  <c r="H784" i="4"/>
  <c r="I784" i="4"/>
  <c r="J784" i="4"/>
  <c r="K784" i="4"/>
  <c r="L784" i="4"/>
  <c r="M784" i="4"/>
  <c r="N784" i="4"/>
  <c r="O784" i="4"/>
  <c r="D785" i="4"/>
  <c r="E785" i="4"/>
  <c r="F785" i="4"/>
  <c r="G785" i="4"/>
  <c r="H785" i="4"/>
  <c r="I785" i="4"/>
  <c r="J785" i="4"/>
  <c r="K785" i="4"/>
  <c r="L785" i="4"/>
  <c r="M785" i="4"/>
  <c r="N785" i="4"/>
  <c r="O785" i="4"/>
  <c r="D786" i="4"/>
  <c r="E786" i="4"/>
  <c r="F786" i="4"/>
  <c r="G786" i="4"/>
  <c r="H786" i="4"/>
  <c r="I786" i="4"/>
  <c r="J786" i="4"/>
  <c r="K786" i="4"/>
  <c r="L786" i="4"/>
  <c r="M786" i="4"/>
  <c r="N786" i="4"/>
  <c r="O786" i="4"/>
  <c r="D888" i="4"/>
  <c r="E888" i="4"/>
  <c r="F888" i="4"/>
  <c r="G888" i="4"/>
  <c r="H888" i="4"/>
  <c r="I888" i="4"/>
  <c r="J888" i="4"/>
  <c r="K888" i="4"/>
  <c r="L888" i="4"/>
  <c r="M888" i="4"/>
  <c r="N888" i="4"/>
  <c r="O888" i="4"/>
  <c r="D787" i="4"/>
  <c r="E787" i="4"/>
  <c r="F787" i="4"/>
  <c r="G787" i="4"/>
  <c r="H787" i="4"/>
  <c r="I787" i="4"/>
  <c r="J787" i="4"/>
  <c r="K787" i="4"/>
  <c r="L787" i="4"/>
  <c r="M787" i="4"/>
  <c r="N787" i="4"/>
  <c r="O787" i="4"/>
  <c r="D788" i="4"/>
  <c r="E788" i="4"/>
  <c r="F788" i="4"/>
  <c r="G788" i="4"/>
  <c r="H788" i="4"/>
  <c r="I788" i="4"/>
  <c r="J788" i="4"/>
  <c r="K788" i="4"/>
  <c r="L788" i="4"/>
  <c r="M788" i="4"/>
  <c r="N788" i="4"/>
  <c r="O788" i="4"/>
  <c r="D789" i="4"/>
  <c r="E789" i="4"/>
  <c r="F789" i="4"/>
  <c r="G789" i="4"/>
  <c r="H789" i="4"/>
  <c r="I789" i="4"/>
  <c r="J789" i="4"/>
  <c r="K789" i="4"/>
  <c r="L789" i="4"/>
  <c r="M789" i="4"/>
  <c r="N789" i="4"/>
  <c r="O789" i="4"/>
  <c r="D889" i="4"/>
  <c r="E889" i="4"/>
  <c r="F889" i="4"/>
  <c r="G889" i="4"/>
  <c r="H889" i="4"/>
  <c r="I889" i="4"/>
  <c r="J889" i="4"/>
  <c r="K889" i="4"/>
  <c r="L889" i="4"/>
  <c r="M889" i="4"/>
  <c r="N889" i="4"/>
  <c r="O889" i="4"/>
  <c r="D790" i="4"/>
  <c r="E790" i="4"/>
  <c r="F790" i="4"/>
  <c r="G790" i="4"/>
  <c r="H790" i="4"/>
  <c r="I790" i="4"/>
  <c r="J790" i="4"/>
  <c r="K790" i="4"/>
  <c r="L790" i="4"/>
  <c r="M790" i="4"/>
  <c r="N790" i="4"/>
  <c r="O790" i="4"/>
  <c r="D791" i="4"/>
  <c r="E791" i="4"/>
  <c r="F791" i="4"/>
  <c r="G791" i="4"/>
  <c r="H791" i="4"/>
  <c r="I791" i="4"/>
  <c r="J791" i="4"/>
  <c r="K791" i="4"/>
  <c r="L791" i="4"/>
  <c r="M791" i="4"/>
  <c r="N791" i="4"/>
  <c r="O791" i="4"/>
  <c r="D890" i="4"/>
  <c r="E890" i="4"/>
  <c r="F890" i="4"/>
  <c r="G890" i="4"/>
  <c r="H890" i="4"/>
  <c r="I890" i="4"/>
  <c r="J890" i="4"/>
  <c r="K890" i="4"/>
  <c r="L890" i="4"/>
  <c r="M890" i="4"/>
  <c r="N890" i="4"/>
  <c r="O890" i="4"/>
  <c r="D792" i="4"/>
  <c r="E792" i="4"/>
  <c r="F792" i="4"/>
  <c r="G792" i="4"/>
  <c r="H792" i="4"/>
  <c r="I792" i="4"/>
  <c r="J792" i="4"/>
  <c r="K792" i="4"/>
  <c r="L792" i="4"/>
  <c r="M792" i="4"/>
  <c r="N792" i="4"/>
  <c r="O792" i="4"/>
  <c r="D793" i="4"/>
  <c r="E793" i="4"/>
  <c r="F793" i="4"/>
  <c r="G793" i="4"/>
  <c r="H793" i="4"/>
  <c r="I793" i="4"/>
  <c r="J793" i="4"/>
  <c r="K793" i="4"/>
  <c r="L793" i="4"/>
  <c r="M793" i="4"/>
  <c r="N793" i="4"/>
  <c r="O793" i="4"/>
  <c r="D794" i="4"/>
  <c r="E794" i="4"/>
  <c r="F794" i="4"/>
  <c r="G794" i="4"/>
  <c r="H794" i="4"/>
  <c r="I794" i="4"/>
  <c r="J794" i="4"/>
  <c r="K794" i="4"/>
  <c r="L794" i="4"/>
  <c r="M794" i="4"/>
  <c r="N794" i="4"/>
  <c r="O794" i="4"/>
  <c r="D795" i="4"/>
  <c r="E795" i="4"/>
  <c r="F795" i="4"/>
  <c r="G795" i="4"/>
  <c r="H795" i="4"/>
  <c r="I795" i="4"/>
  <c r="J795" i="4"/>
  <c r="K795" i="4"/>
  <c r="L795" i="4"/>
  <c r="M795" i="4"/>
  <c r="N795" i="4"/>
  <c r="O795" i="4"/>
  <c r="D796" i="4"/>
  <c r="E796" i="4"/>
  <c r="F796" i="4"/>
  <c r="G796" i="4"/>
  <c r="H796" i="4"/>
  <c r="I796" i="4"/>
  <c r="J796" i="4"/>
  <c r="K796" i="4"/>
  <c r="L796" i="4"/>
  <c r="M796" i="4"/>
  <c r="N796" i="4"/>
  <c r="O796" i="4"/>
  <c r="D797" i="4"/>
  <c r="E797" i="4"/>
  <c r="F797" i="4"/>
  <c r="G797" i="4"/>
  <c r="H797" i="4"/>
  <c r="I797" i="4"/>
  <c r="J797" i="4"/>
  <c r="K797" i="4"/>
  <c r="L797" i="4"/>
  <c r="M797" i="4"/>
  <c r="N797" i="4"/>
  <c r="O797" i="4"/>
  <c r="D798" i="4"/>
  <c r="E798" i="4"/>
  <c r="F798" i="4"/>
  <c r="G798" i="4"/>
  <c r="H798" i="4"/>
  <c r="I798" i="4"/>
  <c r="J798" i="4"/>
  <c r="K798" i="4"/>
  <c r="L798" i="4"/>
  <c r="M798" i="4"/>
  <c r="N798" i="4"/>
  <c r="O798" i="4"/>
  <c r="D799" i="4"/>
  <c r="E799" i="4"/>
  <c r="F799" i="4"/>
  <c r="G799" i="4"/>
  <c r="H799" i="4"/>
  <c r="I799" i="4"/>
  <c r="J799" i="4"/>
  <c r="K799" i="4"/>
  <c r="L799" i="4"/>
  <c r="M799" i="4"/>
  <c r="N799" i="4"/>
  <c r="O799" i="4"/>
  <c r="D800" i="4"/>
  <c r="E800" i="4"/>
  <c r="F800" i="4"/>
  <c r="G800" i="4"/>
  <c r="H800" i="4"/>
  <c r="I800" i="4"/>
  <c r="J800" i="4"/>
  <c r="K800" i="4"/>
  <c r="L800" i="4"/>
  <c r="M800" i="4"/>
  <c r="N800" i="4"/>
  <c r="O800" i="4"/>
  <c r="D801" i="4"/>
  <c r="E801" i="4"/>
  <c r="F801" i="4"/>
  <c r="G801" i="4"/>
  <c r="H801" i="4"/>
  <c r="I801" i="4"/>
  <c r="J801" i="4"/>
  <c r="K801" i="4"/>
  <c r="L801" i="4"/>
  <c r="M801" i="4"/>
  <c r="N801" i="4"/>
  <c r="O801" i="4"/>
  <c r="D802" i="4"/>
  <c r="E802" i="4"/>
  <c r="F802" i="4"/>
  <c r="G802" i="4"/>
  <c r="H802" i="4"/>
  <c r="I802" i="4"/>
  <c r="J802" i="4"/>
  <c r="K802" i="4"/>
  <c r="L802" i="4"/>
  <c r="M802" i="4"/>
  <c r="N802" i="4"/>
  <c r="O802" i="4"/>
  <c r="D803" i="4"/>
  <c r="E803" i="4"/>
  <c r="F803" i="4"/>
  <c r="G803" i="4"/>
  <c r="H803" i="4"/>
  <c r="I803" i="4"/>
  <c r="J803" i="4"/>
  <c r="K803" i="4"/>
  <c r="L803" i="4"/>
  <c r="M803" i="4"/>
  <c r="N803" i="4"/>
  <c r="O803" i="4"/>
  <c r="D804" i="4"/>
  <c r="E804" i="4"/>
  <c r="F804" i="4"/>
  <c r="G804" i="4"/>
  <c r="H804" i="4"/>
  <c r="I804" i="4"/>
  <c r="J804" i="4"/>
  <c r="K804" i="4"/>
  <c r="L804" i="4"/>
  <c r="M804" i="4"/>
  <c r="N804" i="4"/>
  <c r="O804" i="4"/>
  <c r="D805" i="4"/>
  <c r="E805" i="4"/>
  <c r="F805" i="4"/>
  <c r="G805" i="4"/>
  <c r="H805" i="4"/>
  <c r="I805" i="4"/>
  <c r="J805" i="4"/>
  <c r="K805" i="4"/>
  <c r="L805" i="4"/>
  <c r="M805" i="4"/>
  <c r="N805" i="4"/>
  <c r="O805" i="4"/>
  <c r="D806" i="4"/>
  <c r="E806" i="4"/>
  <c r="F806" i="4"/>
  <c r="G806" i="4"/>
  <c r="H806" i="4"/>
  <c r="I806" i="4"/>
  <c r="J806" i="4"/>
  <c r="K806" i="4"/>
  <c r="L806" i="4"/>
  <c r="M806" i="4"/>
  <c r="N806" i="4"/>
  <c r="O806" i="4"/>
  <c r="D807" i="4"/>
  <c r="E807" i="4"/>
  <c r="F807" i="4"/>
  <c r="G807" i="4"/>
  <c r="H807" i="4"/>
  <c r="I807" i="4"/>
  <c r="J807" i="4"/>
  <c r="K807" i="4"/>
  <c r="L807" i="4"/>
  <c r="M807" i="4"/>
  <c r="N807" i="4"/>
  <c r="O807" i="4"/>
  <c r="D808" i="4"/>
  <c r="E808" i="4"/>
  <c r="F808" i="4"/>
  <c r="G808" i="4"/>
  <c r="H808" i="4"/>
  <c r="I808" i="4"/>
  <c r="J808" i="4"/>
  <c r="K808" i="4"/>
  <c r="L808" i="4"/>
  <c r="M808" i="4"/>
  <c r="N808" i="4"/>
  <c r="O808" i="4"/>
  <c r="D809" i="4"/>
  <c r="E809" i="4"/>
  <c r="F809" i="4"/>
  <c r="G809" i="4"/>
  <c r="H809" i="4"/>
  <c r="I809" i="4"/>
  <c r="J809" i="4"/>
  <c r="K809" i="4"/>
  <c r="L809" i="4"/>
  <c r="M809" i="4"/>
  <c r="N809" i="4"/>
  <c r="O809" i="4"/>
  <c r="D810" i="4"/>
  <c r="E810" i="4"/>
  <c r="F810" i="4"/>
  <c r="G810" i="4"/>
  <c r="H810" i="4"/>
  <c r="I810" i="4"/>
  <c r="J810" i="4"/>
  <c r="K810" i="4"/>
  <c r="L810" i="4"/>
  <c r="M810" i="4"/>
  <c r="N810" i="4"/>
  <c r="O810" i="4"/>
  <c r="D811" i="4"/>
  <c r="E811" i="4"/>
  <c r="F811" i="4"/>
  <c r="G811" i="4"/>
  <c r="H811" i="4"/>
  <c r="I811" i="4"/>
  <c r="J811" i="4"/>
  <c r="K811" i="4"/>
  <c r="L811" i="4"/>
  <c r="M811" i="4"/>
  <c r="N811" i="4"/>
  <c r="O811" i="4"/>
  <c r="D812" i="4"/>
  <c r="E812" i="4"/>
  <c r="F812" i="4"/>
  <c r="G812" i="4"/>
  <c r="H812" i="4"/>
  <c r="I812" i="4"/>
  <c r="J812" i="4"/>
  <c r="K812" i="4"/>
  <c r="L812" i="4"/>
  <c r="M812" i="4"/>
  <c r="N812" i="4"/>
  <c r="O812" i="4"/>
  <c r="D813" i="4"/>
  <c r="E813" i="4"/>
  <c r="F813" i="4"/>
  <c r="G813" i="4"/>
  <c r="H813" i="4"/>
  <c r="I813" i="4"/>
  <c r="J813" i="4"/>
  <c r="K813" i="4"/>
  <c r="L813" i="4"/>
  <c r="M813" i="4"/>
  <c r="N813" i="4"/>
  <c r="O813" i="4"/>
  <c r="D814" i="4"/>
  <c r="E814" i="4"/>
  <c r="F814" i="4"/>
  <c r="G814" i="4"/>
  <c r="H814" i="4"/>
  <c r="I814" i="4"/>
  <c r="J814" i="4"/>
  <c r="K814" i="4"/>
  <c r="L814" i="4"/>
  <c r="M814" i="4"/>
  <c r="N814" i="4"/>
  <c r="O814" i="4"/>
  <c r="D815" i="4"/>
  <c r="E815" i="4"/>
  <c r="F815" i="4"/>
  <c r="G815" i="4"/>
  <c r="H815" i="4"/>
  <c r="I815" i="4"/>
  <c r="J815" i="4"/>
  <c r="K815" i="4"/>
  <c r="L815" i="4"/>
  <c r="M815" i="4"/>
  <c r="N815" i="4"/>
  <c r="O815" i="4"/>
  <c r="D816" i="4"/>
  <c r="E816" i="4"/>
  <c r="F816" i="4"/>
  <c r="G816" i="4"/>
  <c r="H816" i="4"/>
  <c r="I816" i="4"/>
  <c r="J816" i="4"/>
  <c r="K816" i="4"/>
  <c r="L816" i="4"/>
  <c r="M816" i="4"/>
  <c r="N816" i="4"/>
  <c r="O816" i="4"/>
  <c r="D817" i="4"/>
  <c r="E817" i="4"/>
  <c r="F817" i="4"/>
  <c r="G817" i="4"/>
  <c r="H817" i="4"/>
  <c r="I817" i="4"/>
  <c r="J817" i="4"/>
  <c r="K817" i="4"/>
  <c r="L817" i="4"/>
  <c r="M817" i="4"/>
  <c r="N817" i="4"/>
  <c r="O817" i="4"/>
  <c r="D818" i="4"/>
  <c r="E818" i="4"/>
  <c r="F818" i="4"/>
  <c r="G818" i="4"/>
  <c r="H818" i="4"/>
  <c r="I818" i="4"/>
  <c r="J818" i="4"/>
  <c r="K818" i="4"/>
  <c r="L818" i="4"/>
  <c r="M818" i="4"/>
  <c r="N818" i="4"/>
  <c r="O818" i="4"/>
  <c r="D819" i="4"/>
  <c r="E819" i="4"/>
  <c r="F819" i="4"/>
  <c r="G819" i="4"/>
  <c r="H819" i="4"/>
  <c r="I819" i="4"/>
  <c r="J819" i="4"/>
  <c r="K819" i="4"/>
  <c r="L819" i="4"/>
  <c r="M819" i="4"/>
  <c r="N819" i="4"/>
  <c r="O819" i="4"/>
  <c r="D820" i="4"/>
  <c r="E820" i="4"/>
  <c r="F820" i="4"/>
  <c r="G820" i="4"/>
  <c r="H820" i="4"/>
  <c r="I820" i="4"/>
  <c r="J820" i="4"/>
  <c r="K820" i="4"/>
  <c r="L820" i="4"/>
  <c r="M820" i="4"/>
  <c r="N820" i="4"/>
  <c r="O820" i="4"/>
  <c r="D891" i="4"/>
  <c r="E891" i="4"/>
  <c r="F891" i="4"/>
  <c r="G891" i="4"/>
  <c r="H891" i="4"/>
  <c r="I891" i="4"/>
  <c r="J891" i="4"/>
  <c r="K891" i="4"/>
  <c r="L891" i="4"/>
  <c r="M891" i="4"/>
  <c r="N891" i="4"/>
  <c r="O891" i="4"/>
  <c r="D821" i="4"/>
  <c r="E821" i="4"/>
  <c r="F821" i="4"/>
  <c r="G821" i="4"/>
  <c r="H821" i="4"/>
  <c r="I821" i="4"/>
  <c r="J821" i="4"/>
  <c r="K821" i="4"/>
  <c r="L821" i="4"/>
  <c r="M821" i="4"/>
  <c r="N821" i="4"/>
  <c r="O821" i="4"/>
  <c r="D822" i="4"/>
  <c r="E822" i="4"/>
  <c r="F822" i="4"/>
  <c r="G822" i="4"/>
  <c r="H822" i="4"/>
  <c r="I822" i="4"/>
  <c r="J822" i="4"/>
  <c r="K822" i="4"/>
  <c r="L822" i="4"/>
  <c r="M822" i="4"/>
  <c r="N822" i="4"/>
  <c r="O822" i="4"/>
  <c r="D823" i="4"/>
  <c r="E823" i="4"/>
  <c r="F823" i="4"/>
  <c r="G823" i="4"/>
  <c r="H823" i="4"/>
  <c r="I823" i="4"/>
  <c r="J823" i="4"/>
  <c r="K823" i="4"/>
  <c r="L823" i="4"/>
  <c r="M823" i="4"/>
  <c r="N823" i="4"/>
  <c r="O823" i="4"/>
  <c r="D892" i="4"/>
  <c r="E892" i="4"/>
  <c r="F892" i="4"/>
  <c r="G892" i="4"/>
  <c r="H892" i="4"/>
  <c r="I892" i="4"/>
  <c r="J892" i="4"/>
  <c r="K892" i="4"/>
  <c r="L892" i="4"/>
  <c r="M892" i="4"/>
  <c r="N892" i="4"/>
  <c r="O892" i="4"/>
  <c r="D824" i="4"/>
  <c r="E824" i="4"/>
  <c r="F824" i="4"/>
  <c r="G824" i="4"/>
  <c r="H824" i="4"/>
  <c r="I824" i="4"/>
  <c r="J824" i="4"/>
  <c r="K824" i="4"/>
  <c r="L824" i="4"/>
  <c r="M824" i="4"/>
  <c r="N824" i="4"/>
  <c r="O824" i="4"/>
  <c r="D825" i="4"/>
  <c r="E825" i="4"/>
  <c r="F825" i="4"/>
  <c r="G825" i="4"/>
  <c r="H825" i="4"/>
  <c r="I825" i="4"/>
  <c r="J825" i="4"/>
  <c r="K825" i="4"/>
  <c r="L825" i="4"/>
  <c r="M825" i="4"/>
  <c r="N825" i="4"/>
  <c r="O825" i="4"/>
  <c r="D893" i="4"/>
  <c r="E893" i="4"/>
  <c r="F893" i="4"/>
  <c r="G893" i="4"/>
  <c r="H893" i="4"/>
  <c r="I893" i="4"/>
  <c r="J893" i="4"/>
  <c r="K893" i="4"/>
  <c r="L893" i="4"/>
  <c r="M893" i="4"/>
  <c r="N893" i="4"/>
  <c r="O893" i="4"/>
  <c r="D826" i="4"/>
  <c r="E826" i="4"/>
  <c r="F826" i="4"/>
  <c r="G826" i="4"/>
  <c r="H826" i="4"/>
  <c r="I826" i="4"/>
  <c r="J826" i="4"/>
  <c r="K826" i="4"/>
  <c r="L826" i="4"/>
  <c r="M826" i="4"/>
  <c r="N826" i="4"/>
  <c r="O826" i="4"/>
  <c r="D894" i="4"/>
  <c r="E894" i="4"/>
  <c r="F894" i="4"/>
  <c r="G894" i="4"/>
  <c r="H894" i="4"/>
  <c r="I894" i="4"/>
  <c r="J894" i="4"/>
  <c r="K894" i="4"/>
  <c r="L894" i="4"/>
  <c r="M894" i="4"/>
  <c r="N894" i="4"/>
  <c r="O894" i="4"/>
  <c r="D827" i="4"/>
  <c r="E827" i="4"/>
  <c r="F827" i="4"/>
  <c r="G827" i="4"/>
  <c r="H827" i="4"/>
  <c r="I827" i="4"/>
  <c r="J827" i="4"/>
  <c r="K827" i="4"/>
  <c r="L827" i="4"/>
  <c r="M827" i="4"/>
  <c r="N827" i="4"/>
  <c r="O827" i="4"/>
  <c r="D828" i="4"/>
  <c r="E828" i="4"/>
  <c r="F828" i="4"/>
  <c r="G828" i="4"/>
  <c r="H828" i="4"/>
  <c r="I828" i="4"/>
  <c r="J828" i="4"/>
  <c r="K828" i="4"/>
  <c r="L828" i="4"/>
  <c r="M828" i="4"/>
  <c r="N828" i="4"/>
  <c r="O828" i="4"/>
  <c r="D829" i="4"/>
  <c r="E829" i="4"/>
  <c r="F829" i="4"/>
  <c r="G829" i="4"/>
  <c r="H829" i="4"/>
  <c r="I829" i="4"/>
  <c r="J829" i="4"/>
  <c r="K829" i="4"/>
  <c r="L829" i="4"/>
  <c r="M829" i="4"/>
  <c r="N829" i="4"/>
  <c r="O829" i="4"/>
  <c r="D830" i="4"/>
  <c r="E830" i="4"/>
  <c r="F830" i="4"/>
  <c r="G830" i="4"/>
  <c r="H830" i="4"/>
  <c r="I830" i="4"/>
  <c r="J830" i="4"/>
  <c r="K830" i="4"/>
  <c r="L830" i="4"/>
  <c r="M830" i="4"/>
  <c r="N830" i="4"/>
  <c r="O830" i="4"/>
  <c r="D831" i="4"/>
  <c r="E831" i="4"/>
  <c r="F831" i="4"/>
  <c r="G831" i="4"/>
  <c r="H831" i="4"/>
  <c r="I831" i="4"/>
  <c r="J831" i="4"/>
  <c r="K831" i="4"/>
  <c r="L831" i="4"/>
  <c r="M831" i="4"/>
  <c r="N831" i="4"/>
  <c r="O831" i="4"/>
  <c r="D832" i="4"/>
  <c r="E832" i="4"/>
  <c r="F832" i="4"/>
  <c r="G832" i="4"/>
  <c r="H832" i="4"/>
  <c r="I832" i="4"/>
  <c r="J832" i="4"/>
  <c r="K832" i="4"/>
  <c r="L832" i="4"/>
  <c r="M832" i="4"/>
  <c r="N832" i="4"/>
  <c r="O832" i="4"/>
  <c r="D833" i="4"/>
  <c r="E833" i="4"/>
  <c r="F833" i="4"/>
  <c r="G833" i="4"/>
  <c r="H833" i="4"/>
  <c r="I833" i="4"/>
  <c r="J833" i="4"/>
  <c r="K833" i="4"/>
  <c r="L833" i="4"/>
  <c r="M833" i="4"/>
  <c r="N833" i="4"/>
  <c r="O833" i="4"/>
  <c r="D895" i="4"/>
  <c r="E895" i="4"/>
  <c r="F895" i="4"/>
  <c r="G895" i="4"/>
  <c r="H895" i="4"/>
  <c r="I895" i="4"/>
  <c r="J895" i="4"/>
  <c r="K895" i="4"/>
  <c r="L895" i="4"/>
  <c r="M895" i="4"/>
  <c r="N895" i="4"/>
  <c r="O895" i="4"/>
  <c r="D834" i="4"/>
  <c r="E834" i="4"/>
  <c r="F834" i="4"/>
  <c r="G834" i="4"/>
  <c r="H834" i="4"/>
  <c r="I834" i="4"/>
  <c r="J834" i="4"/>
  <c r="K834" i="4"/>
  <c r="L834" i="4"/>
  <c r="M834" i="4"/>
  <c r="N834" i="4"/>
  <c r="O834" i="4"/>
  <c r="D835" i="4"/>
  <c r="E835" i="4"/>
  <c r="F835" i="4"/>
  <c r="G835" i="4"/>
  <c r="H835" i="4"/>
  <c r="I835" i="4"/>
  <c r="J835" i="4"/>
  <c r="K835" i="4"/>
  <c r="L835" i="4"/>
  <c r="M835" i="4"/>
  <c r="N835" i="4"/>
  <c r="O835" i="4"/>
  <c r="D836" i="4"/>
  <c r="E836" i="4"/>
  <c r="F836" i="4"/>
  <c r="G836" i="4"/>
  <c r="H836" i="4"/>
  <c r="I836" i="4"/>
  <c r="J836" i="4"/>
  <c r="K836" i="4"/>
  <c r="L836" i="4"/>
  <c r="M836" i="4"/>
  <c r="N836" i="4"/>
  <c r="O836" i="4"/>
  <c r="D837" i="4"/>
  <c r="E837" i="4"/>
  <c r="F837" i="4"/>
  <c r="G837" i="4"/>
  <c r="H837" i="4"/>
  <c r="I837" i="4"/>
  <c r="J837" i="4"/>
  <c r="K837" i="4"/>
  <c r="L837" i="4"/>
  <c r="M837" i="4"/>
  <c r="N837" i="4"/>
  <c r="O837" i="4"/>
  <c r="D838" i="4"/>
  <c r="E838" i="4"/>
  <c r="F838" i="4"/>
  <c r="G838" i="4"/>
  <c r="H838" i="4"/>
  <c r="I838" i="4"/>
  <c r="J838" i="4"/>
  <c r="K838" i="4"/>
  <c r="L838" i="4"/>
  <c r="M838" i="4"/>
  <c r="N838" i="4"/>
  <c r="O838" i="4"/>
  <c r="D839" i="4"/>
  <c r="E839" i="4"/>
  <c r="F839" i="4"/>
  <c r="G839" i="4"/>
  <c r="H839" i="4"/>
  <c r="I839" i="4"/>
  <c r="J839" i="4"/>
  <c r="K839" i="4"/>
  <c r="L839" i="4"/>
  <c r="M839" i="4"/>
  <c r="N839" i="4"/>
  <c r="O839" i="4"/>
  <c r="D840" i="4"/>
  <c r="E840" i="4"/>
  <c r="F840" i="4"/>
  <c r="G840" i="4"/>
  <c r="H840" i="4"/>
  <c r="I840" i="4"/>
  <c r="J840" i="4"/>
  <c r="K840" i="4"/>
  <c r="L840" i="4"/>
  <c r="M840" i="4"/>
  <c r="N840" i="4"/>
  <c r="O840" i="4"/>
  <c r="D896" i="4"/>
  <c r="E896" i="4"/>
  <c r="F896" i="4"/>
  <c r="G896" i="4"/>
  <c r="H896" i="4"/>
  <c r="I896" i="4"/>
  <c r="J896" i="4"/>
  <c r="K896" i="4"/>
  <c r="L896" i="4"/>
  <c r="M896" i="4"/>
  <c r="N896" i="4"/>
  <c r="O896" i="4"/>
  <c r="D841" i="4"/>
  <c r="E841" i="4"/>
  <c r="F841" i="4"/>
  <c r="G841" i="4"/>
  <c r="H841" i="4"/>
  <c r="I841" i="4"/>
  <c r="J841" i="4"/>
  <c r="K841" i="4"/>
  <c r="L841" i="4"/>
  <c r="M841" i="4"/>
  <c r="N841" i="4"/>
  <c r="O841" i="4"/>
  <c r="D842" i="4"/>
  <c r="E842" i="4"/>
  <c r="F842" i="4"/>
  <c r="G842" i="4"/>
  <c r="H842" i="4"/>
  <c r="I842" i="4"/>
  <c r="J842" i="4"/>
  <c r="K842" i="4"/>
  <c r="L842" i="4"/>
  <c r="M842" i="4"/>
  <c r="N842" i="4"/>
  <c r="O842" i="4"/>
  <c r="D843" i="4"/>
  <c r="E843" i="4"/>
  <c r="F843" i="4"/>
  <c r="G843" i="4"/>
  <c r="H843" i="4"/>
  <c r="I843" i="4"/>
  <c r="J843" i="4"/>
  <c r="K843" i="4"/>
  <c r="L843" i="4"/>
  <c r="M843" i="4"/>
  <c r="N843" i="4"/>
  <c r="O843" i="4"/>
  <c r="D844" i="4"/>
  <c r="E844" i="4"/>
  <c r="F844" i="4"/>
  <c r="G844" i="4"/>
  <c r="H844" i="4"/>
  <c r="I844" i="4"/>
  <c r="J844" i="4"/>
  <c r="K844" i="4"/>
  <c r="L844" i="4"/>
  <c r="M844" i="4"/>
  <c r="N844" i="4"/>
  <c r="O844" i="4"/>
  <c r="D845" i="4"/>
  <c r="E845" i="4"/>
  <c r="F845" i="4"/>
  <c r="G845" i="4"/>
  <c r="H845" i="4"/>
  <c r="I845" i="4"/>
  <c r="J845" i="4"/>
  <c r="K845" i="4"/>
  <c r="L845" i="4"/>
  <c r="M845" i="4"/>
  <c r="N845" i="4"/>
  <c r="O845" i="4"/>
  <c r="D846" i="4"/>
  <c r="E846" i="4"/>
  <c r="F846" i="4"/>
  <c r="G846" i="4"/>
  <c r="H846" i="4"/>
  <c r="I846" i="4"/>
  <c r="J846" i="4"/>
  <c r="K846" i="4"/>
  <c r="L846" i="4"/>
  <c r="M846" i="4"/>
  <c r="N846" i="4"/>
  <c r="O846" i="4"/>
  <c r="D847" i="4"/>
  <c r="E847" i="4"/>
  <c r="F847" i="4"/>
  <c r="G847" i="4"/>
  <c r="H847" i="4"/>
  <c r="I847" i="4"/>
  <c r="J847" i="4"/>
  <c r="K847" i="4"/>
  <c r="L847" i="4"/>
  <c r="M847" i="4"/>
  <c r="N847" i="4"/>
  <c r="O847" i="4"/>
  <c r="D848" i="4"/>
  <c r="E848" i="4"/>
  <c r="F848" i="4"/>
  <c r="G848" i="4"/>
  <c r="H848" i="4"/>
  <c r="I848" i="4"/>
  <c r="J848" i="4"/>
  <c r="K848" i="4"/>
  <c r="L848" i="4"/>
  <c r="M848" i="4"/>
  <c r="N848" i="4"/>
  <c r="O848" i="4"/>
  <c r="D849" i="4"/>
  <c r="E849" i="4"/>
  <c r="F849" i="4"/>
  <c r="G849" i="4"/>
  <c r="H849" i="4"/>
  <c r="I849" i="4"/>
  <c r="J849" i="4"/>
  <c r="K849" i="4"/>
  <c r="L849" i="4"/>
  <c r="M849" i="4"/>
  <c r="N849" i="4"/>
  <c r="O849" i="4"/>
  <c r="D850" i="4"/>
  <c r="E850" i="4"/>
  <c r="F850" i="4"/>
  <c r="G850" i="4"/>
  <c r="H850" i="4"/>
  <c r="I850" i="4"/>
  <c r="J850" i="4"/>
  <c r="K850" i="4"/>
  <c r="L850" i="4"/>
  <c r="M850" i="4"/>
  <c r="N850" i="4"/>
  <c r="O850" i="4"/>
  <c r="D851" i="4"/>
  <c r="E851" i="4"/>
  <c r="F851" i="4"/>
  <c r="G851" i="4"/>
  <c r="H851" i="4"/>
  <c r="I851" i="4"/>
  <c r="J851" i="4"/>
  <c r="K851" i="4"/>
  <c r="L851" i="4"/>
  <c r="M851" i="4"/>
  <c r="N851" i="4"/>
  <c r="O851" i="4"/>
  <c r="D852" i="4"/>
  <c r="E852" i="4"/>
  <c r="F852" i="4"/>
  <c r="G852" i="4"/>
  <c r="H852" i="4"/>
  <c r="I852" i="4"/>
  <c r="J852" i="4"/>
  <c r="K852" i="4"/>
  <c r="L852" i="4"/>
  <c r="M852" i="4"/>
  <c r="N852" i="4"/>
  <c r="O852" i="4"/>
  <c r="D853" i="4"/>
  <c r="E853" i="4"/>
  <c r="F853" i="4"/>
  <c r="G853" i="4"/>
  <c r="H853" i="4"/>
  <c r="I853" i="4"/>
  <c r="J853" i="4"/>
  <c r="K853" i="4"/>
  <c r="L853" i="4"/>
  <c r="M853" i="4"/>
  <c r="N853" i="4"/>
  <c r="O853" i="4"/>
  <c r="D897" i="4"/>
  <c r="E897" i="4"/>
  <c r="F897" i="4"/>
  <c r="G897" i="4"/>
  <c r="H897" i="4"/>
  <c r="I897" i="4"/>
  <c r="J897" i="4"/>
  <c r="K897" i="4"/>
  <c r="L897" i="4"/>
  <c r="M897" i="4"/>
  <c r="N897" i="4"/>
  <c r="O897" i="4"/>
  <c r="D898" i="4"/>
  <c r="E898" i="4"/>
  <c r="F898" i="4"/>
  <c r="G898" i="4"/>
  <c r="H898" i="4"/>
  <c r="I898" i="4"/>
  <c r="J898" i="4"/>
  <c r="K898" i="4"/>
  <c r="L898" i="4"/>
  <c r="M898" i="4"/>
  <c r="N898" i="4"/>
  <c r="O898" i="4"/>
  <c r="D854" i="4"/>
  <c r="E854" i="4"/>
  <c r="F854" i="4"/>
  <c r="G854" i="4"/>
  <c r="H854" i="4"/>
  <c r="I854" i="4"/>
  <c r="J854" i="4"/>
  <c r="K854" i="4"/>
  <c r="L854" i="4"/>
  <c r="M854" i="4"/>
  <c r="N854" i="4"/>
  <c r="O854" i="4"/>
  <c r="D855" i="4"/>
  <c r="E855" i="4"/>
  <c r="F855" i="4"/>
  <c r="G855" i="4"/>
  <c r="H855" i="4"/>
  <c r="I855" i="4"/>
  <c r="J855" i="4"/>
  <c r="K855" i="4"/>
  <c r="L855" i="4"/>
  <c r="M855" i="4"/>
  <c r="N855" i="4"/>
  <c r="O855" i="4"/>
  <c r="D856" i="4"/>
  <c r="E856" i="4"/>
  <c r="F856" i="4"/>
  <c r="G856" i="4"/>
  <c r="H856" i="4"/>
  <c r="I856" i="4"/>
  <c r="J856" i="4"/>
  <c r="K856" i="4"/>
  <c r="L856" i="4"/>
  <c r="M856" i="4"/>
  <c r="N856" i="4"/>
  <c r="O856" i="4"/>
  <c r="D857" i="4"/>
  <c r="E857" i="4"/>
  <c r="F857" i="4"/>
  <c r="G857" i="4"/>
  <c r="H857" i="4"/>
  <c r="I857" i="4"/>
  <c r="J857" i="4"/>
  <c r="K857" i="4"/>
  <c r="L857" i="4"/>
  <c r="M857" i="4"/>
  <c r="N857" i="4"/>
  <c r="O857" i="4"/>
  <c r="D899" i="4"/>
  <c r="E899" i="4"/>
  <c r="F899" i="4"/>
  <c r="G899" i="4"/>
  <c r="H899" i="4"/>
  <c r="I899" i="4"/>
  <c r="J899" i="4"/>
  <c r="K899" i="4"/>
  <c r="L899" i="4"/>
  <c r="M899" i="4"/>
  <c r="N899" i="4"/>
  <c r="O899" i="4"/>
  <c r="D900" i="4"/>
  <c r="E900" i="4"/>
  <c r="F900" i="4"/>
  <c r="G900" i="4"/>
  <c r="H900" i="4"/>
  <c r="I900" i="4"/>
  <c r="J900" i="4"/>
  <c r="K900" i="4"/>
  <c r="L900" i="4"/>
  <c r="M900" i="4"/>
  <c r="N900" i="4"/>
  <c r="O900" i="4"/>
  <c r="D901" i="4"/>
  <c r="E901" i="4"/>
  <c r="F901" i="4"/>
  <c r="G901" i="4"/>
  <c r="H901" i="4"/>
  <c r="I901" i="4"/>
  <c r="J901" i="4"/>
  <c r="K901" i="4"/>
  <c r="L901" i="4"/>
  <c r="M901" i="4"/>
  <c r="N901" i="4"/>
  <c r="O901" i="4"/>
  <c r="D902" i="4"/>
  <c r="E902" i="4"/>
  <c r="F902" i="4"/>
  <c r="G902" i="4"/>
  <c r="H902" i="4"/>
  <c r="I902" i="4"/>
  <c r="J902" i="4"/>
  <c r="K902" i="4"/>
  <c r="L902" i="4"/>
  <c r="M902" i="4"/>
  <c r="N902" i="4"/>
  <c r="O902" i="4"/>
  <c r="D903" i="4"/>
  <c r="E903" i="4"/>
  <c r="F903" i="4"/>
  <c r="G903" i="4"/>
  <c r="H903" i="4"/>
  <c r="I903" i="4"/>
  <c r="J903" i="4"/>
  <c r="K903" i="4"/>
  <c r="L903" i="4"/>
  <c r="M903" i="4"/>
  <c r="N903" i="4"/>
  <c r="O903" i="4"/>
  <c r="D904" i="4"/>
  <c r="E904" i="4"/>
  <c r="F904" i="4"/>
  <c r="G904" i="4"/>
  <c r="H904" i="4"/>
  <c r="I904" i="4"/>
  <c r="J904" i="4"/>
  <c r="K904" i="4"/>
  <c r="L904" i="4"/>
  <c r="M904" i="4"/>
  <c r="N904" i="4"/>
  <c r="O904" i="4"/>
  <c r="D905" i="4"/>
  <c r="E905" i="4"/>
  <c r="F905" i="4"/>
  <c r="G905" i="4"/>
  <c r="H905" i="4"/>
  <c r="I905" i="4"/>
  <c r="J905" i="4"/>
  <c r="K905" i="4"/>
  <c r="L905" i="4"/>
  <c r="M905" i="4"/>
  <c r="N905" i="4"/>
  <c r="O905" i="4"/>
  <c r="D906" i="4"/>
  <c r="E906" i="4"/>
  <c r="F906" i="4"/>
  <c r="G906" i="4"/>
  <c r="H906" i="4"/>
  <c r="I906" i="4"/>
  <c r="J906" i="4"/>
  <c r="K906" i="4"/>
  <c r="L906" i="4"/>
  <c r="M906" i="4"/>
  <c r="N906" i="4"/>
  <c r="O906" i="4"/>
  <c r="D907" i="4"/>
  <c r="E907" i="4"/>
  <c r="F907" i="4"/>
  <c r="G907" i="4"/>
  <c r="H907" i="4"/>
  <c r="I907" i="4"/>
  <c r="J907" i="4"/>
  <c r="K907" i="4"/>
  <c r="L907" i="4"/>
  <c r="M907" i="4"/>
  <c r="N907" i="4"/>
  <c r="O907" i="4"/>
  <c r="D908" i="4"/>
  <c r="E908" i="4"/>
  <c r="F908" i="4"/>
  <c r="G908" i="4"/>
  <c r="H908" i="4"/>
  <c r="I908" i="4"/>
  <c r="J908" i="4"/>
  <c r="K908" i="4"/>
  <c r="L908" i="4"/>
  <c r="M908" i="4"/>
  <c r="N908" i="4"/>
  <c r="O908" i="4"/>
  <c r="D909" i="4"/>
  <c r="E909" i="4"/>
  <c r="F909" i="4"/>
  <c r="G909" i="4"/>
  <c r="H909" i="4"/>
  <c r="I909" i="4"/>
  <c r="J909" i="4"/>
  <c r="K909" i="4"/>
  <c r="L909" i="4"/>
  <c r="M909" i="4"/>
  <c r="N909" i="4"/>
  <c r="O909" i="4"/>
  <c r="D910" i="4"/>
  <c r="E910" i="4"/>
  <c r="F910" i="4"/>
  <c r="G910" i="4"/>
  <c r="H910" i="4"/>
  <c r="I910" i="4"/>
  <c r="J910" i="4"/>
  <c r="K910" i="4"/>
  <c r="L910" i="4"/>
  <c r="M910" i="4"/>
  <c r="N910" i="4"/>
  <c r="O910" i="4"/>
  <c r="D911" i="4"/>
  <c r="E911" i="4"/>
  <c r="F911" i="4"/>
  <c r="G911" i="4"/>
  <c r="H911" i="4"/>
  <c r="I911" i="4"/>
  <c r="J911" i="4"/>
  <c r="K911" i="4"/>
  <c r="L911" i="4"/>
  <c r="M911" i="4"/>
  <c r="N911" i="4"/>
  <c r="O911" i="4"/>
  <c r="D912" i="4"/>
  <c r="E912" i="4"/>
  <c r="F912" i="4"/>
  <c r="G912" i="4"/>
  <c r="H912" i="4"/>
  <c r="I912" i="4"/>
  <c r="J912" i="4"/>
  <c r="K912" i="4"/>
  <c r="L912" i="4"/>
  <c r="M912" i="4"/>
  <c r="N912" i="4"/>
  <c r="O912" i="4"/>
  <c r="D913" i="4"/>
  <c r="E913" i="4"/>
  <c r="F913" i="4"/>
  <c r="G913" i="4"/>
  <c r="H913" i="4"/>
  <c r="I913" i="4"/>
  <c r="J913" i="4"/>
  <c r="K913" i="4"/>
  <c r="L913" i="4"/>
  <c r="M913" i="4"/>
  <c r="N913" i="4"/>
  <c r="O913" i="4"/>
  <c r="D914" i="4"/>
  <c r="E914" i="4"/>
  <c r="F914" i="4"/>
  <c r="G914" i="4"/>
  <c r="H914" i="4"/>
  <c r="I914" i="4"/>
  <c r="J914" i="4"/>
  <c r="K914" i="4"/>
  <c r="L914" i="4"/>
  <c r="M914" i="4"/>
  <c r="N914" i="4"/>
  <c r="O914" i="4"/>
  <c r="D915" i="4"/>
  <c r="E915" i="4"/>
  <c r="F915" i="4"/>
  <c r="G915" i="4"/>
  <c r="H915" i="4"/>
  <c r="I915" i="4"/>
  <c r="J915" i="4"/>
  <c r="K915" i="4"/>
  <c r="L915" i="4"/>
  <c r="M915" i="4"/>
  <c r="N915" i="4"/>
  <c r="O915" i="4"/>
  <c r="D916" i="4"/>
  <c r="E916" i="4"/>
  <c r="F916" i="4"/>
  <c r="G916" i="4"/>
  <c r="H916" i="4"/>
  <c r="I916" i="4"/>
  <c r="J916" i="4"/>
  <c r="K916" i="4"/>
  <c r="L916" i="4"/>
  <c r="M916" i="4"/>
  <c r="N916" i="4"/>
  <c r="O916" i="4"/>
  <c r="D917" i="4"/>
  <c r="E917" i="4"/>
  <c r="F917" i="4"/>
  <c r="G917" i="4"/>
  <c r="H917" i="4"/>
  <c r="I917" i="4"/>
  <c r="J917" i="4"/>
  <c r="K917" i="4"/>
  <c r="L917" i="4"/>
  <c r="M917" i="4"/>
  <c r="N917" i="4"/>
  <c r="O917" i="4"/>
  <c r="D918" i="4"/>
  <c r="E918" i="4"/>
  <c r="F918" i="4"/>
  <c r="G918" i="4"/>
  <c r="H918" i="4"/>
  <c r="I918" i="4"/>
  <c r="J918" i="4"/>
  <c r="K918" i="4"/>
  <c r="L918" i="4"/>
  <c r="M918" i="4"/>
  <c r="N918" i="4"/>
  <c r="O918" i="4"/>
  <c r="D919" i="4"/>
  <c r="E919" i="4"/>
  <c r="F919" i="4"/>
  <c r="G919" i="4"/>
  <c r="H919" i="4"/>
  <c r="I919" i="4"/>
  <c r="J919" i="4"/>
  <c r="K919" i="4"/>
  <c r="L919" i="4"/>
  <c r="M919" i="4"/>
  <c r="N919" i="4"/>
  <c r="O919" i="4"/>
  <c r="D920" i="4"/>
  <c r="E920" i="4"/>
  <c r="F920" i="4"/>
  <c r="G920" i="4"/>
  <c r="H920" i="4"/>
  <c r="I920" i="4"/>
  <c r="J920" i="4"/>
  <c r="K920" i="4"/>
  <c r="L920" i="4"/>
  <c r="M920" i="4"/>
  <c r="N920" i="4"/>
  <c r="O920" i="4"/>
  <c r="D921" i="4"/>
  <c r="E921" i="4"/>
  <c r="F921" i="4"/>
  <c r="G921" i="4"/>
  <c r="H921" i="4"/>
  <c r="I921" i="4"/>
  <c r="J921" i="4"/>
  <c r="K921" i="4"/>
  <c r="L921" i="4"/>
  <c r="M921" i="4"/>
  <c r="N921" i="4"/>
  <c r="O921" i="4"/>
  <c r="D922" i="4"/>
  <c r="E922" i="4"/>
  <c r="F922" i="4"/>
  <c r="G922" i="4"/>
  <c r="H922" i="4"/>
  <c r="I922" i="4"/>
  <c r="J922" i="4"/>
  <c r="K922" i="4"/>
  <c r="L922" i="4"/>
  <c r="M922" i="4"/>
  <c r="N922" i="4"/>
  <c r="O922" i="4"/>
  <c r="D448" i="4"/>
  <c r="E448" i="4"/>
  <c r="F448" i="4"/>
  <c r="G448" i="4"/>
  <c r="H448" i="4"/>
  <c r="I448" i="4"/>
  <c r="J448" i="4"/>
  <c r="K448" i="4"/>
  <c r="L448" i="4"/>
  <c r="M448" i="4"/>
  <c r="N448" i="4"/>
  <c r="O448" i="4"/>
  <c r="D449" i="4"/>
  <c r="E449" i="4"/>
  <c r="F449" i="4"/>
  <c r="G449" i="4"/>
  <c r="H449" i="4"/>
  <c r="I449" i="4"/>
  <c r="J449" i="4"/>
  <c r="K449" i="4"/>
  <c r="L449" i="4"/>
  <c r="M449" i="4"/>
  <c r="N449" i="4"/>
  <c r="O449" i="4"/>
  <c r="D450" i="4"/>
  <c r="E450" i="4"/>
  <c r="F450" i="4"/>
  <c r="G450" i="4"/>
  <c r="H450" i="4"/>
  <c r="I450" i="4"/>
  <c r="J450" i="4"/>
  <c r="K450" i="4"/>
  <c r="L450" i="4"/>
  <c r="M450" i="4"/>
  <c r="N450" i="4"/>
  <c r="O450" i="4"/>
  <c r="D923" i="4"/>
  <c r="E923" i="4"/>
  <c r="F923" i="4"/>
  <c r="G923" i="4"/>
  <c r="H923" i="4"/>
  <c r="I923" i="4"/>
  <c r="J923" i="4"/>
  <c r="K923" i="4"/>
  <c r="L923" i="4"/>
  <c r="M923" i="4"/>
  <c r="N923" i="4"/>
  <c r="O923" i="4"/>
  <c r="D451" i="4"/>
  <c r="E451" i="4"/>
  <c r="F451" i="4"/>
  <c r="G451" i="4"/>
  <c r="H451" i="4"/>
  <c r="I451" i="4"/>
  <c r="J451" i="4"/>
  <c r="K451" i="4"/>
  <c r="L451" i="4"/>
  <c r="M451" i="4"/>
  <c r="N451" i="4"/>
  <c r="O451" i="4"/>
  <c r="D452" i="4"/>
  <c r="E452" i="4"/>
  <c r="F452" i="4"/>
  <c r="G452" i="4"/>
  <c r="H452" i="4"/>
  <c r="I452" i="4"/>
  <c r="J452" i="4"/>
  <c r="K452" i="4"/>
  <c r="L452" i="4"/>
  <c r="M452" i="4"/>
  <c r="N452" i="4"/>
  <c r="O452" i="4"/>
  <c r="D453" i="4"/>
  <c r="E453" i="4"/>
  <c r="F453" i="4"/>
  <c r="G453" i="4"/>
  <c r="H453" i="4"/>
  <c r="I453" i="4"/>
  <c r="J453" i="4"/>
  <c r="K453" i="4"/>
  <c r="L453" i="4"/>
  <c r="M453" i="4"/>
  <c r="N453" i="4"/>
  <c r="O453" i="4"/>
  <c r="D454" i="4"/>
  <c r="E454" i="4"/>
  <c r="F454" i="4"/>
  <c r="G454" i="4"/>
  <c r="H454" i="4"/>
  <c r="I454" i="4"/>
  <c r="J454" i="4"/>
  <c r="K454" i="4"/>
  <c r="L454" i="4"/>
  <c r="M454" i="4"/>
  <c r="N454" i="4"/>
  <c r="O454" i="4"/>
  <c r="D455" i="4"/>
  <c r="E455" i="4"/>
  <c r="F455" i="4"/>
  <c r="G455" i="4"/>
  <c r="H455" i="4"/>
  <c r="I455" i="4"/>
  <c r="J455" i="4"/>
  <c r="K455" i="4"/>
  <c r="L455" i="4"/>
  <c r="M455" i="4"/>
  <c r="N455" i="4"/>
  <c r="O455" i="4"/>
  <c r="D456" i="4"/>
  <c r="E456" i="4"/>
  <c r="F456" i="4"/>
  <c r="G456" i="4"/>
  <c r="H456" i="4"/>
  <c r="I456" i="4"/>
  <c r="J456" i="4"/>
  <c r="K456" i="4"/>
  <c r="L456" i="4"/>
  <c r="M456" i="4"/>
  <c r="N456" i="4"/>
  <c r="O456" i="4"/>
  <c r="D457" i="4"/>
  <c r="E457" i="4"/>
  <c r="F457" i="4"/>
  <c r="G457" i="4"/>
  <c r="H457" i="4"/>
  <c r="I457" i="4"/>
  <c r="J457" i="4"/>
  <c r="K457" i="4"/>
  <c r="L457" i="4"/>
  <c r="M457" i="4"/>
  <c r="N457" i="4"/>
  <c r="O457" i="4"/>
  <c r="D458" i="4"/>
  <c r="E458" i="4"/>
  <c r="F458" i="4"/>
  <c r="G458" i="4"/>
  <c r="H458" i="4"/>
  <c r="I458" i="4"/>
  <c r="J458" i="4"/>
  <c r="K458" i="4"/>
  <c r="L458" i="4"/>
  <c r="M458" i="4"/>
  <c r="N458" i="4"/>
  <c r="O458" i="4"/>
  <c r="D459" i="4"/>
  <c r="E459" i="4"/>
  <c r="F459" i="4"/>
  <c r="G459" i="4"/>
  <c r="H459" i="4"/>
  <c r="I459" i="4"/>
  <c r="J459" i="4"/>
  <c r="K459" i="4"/>
  <c r="L459" i="4"/>
  <c r="M459" i="4"/>
  <c r="N459" i="4"/>
  <c r="O459" i="4"/>
  <c r="D460" i="4"/>
  <c r="E460" i="4"/>
  <c r="F460" i="4"/>
  <c r="G460" i="4"/>
  <c r="H460" i="4"/>
  <c r="I460" i="4"/>
  <c r="J460" i="4"/>
  <c r="K460" i="4"/>
  <c r="L460" i="4"/>
  <c r="M460" i="4"/>
  <c r="N460" i="4"/>
  <c r="O460" i="4"/>
  <c r="D924" i="4"/>
  <c r="E924" i="4"/>
  <c r="F924" i="4"/>
  <c r="G924" i="4"/>
  <c r="H924" i="4"/>
  <c r="I924" i="4"/>
  <c r="J924" i="4"/>
  <c r="K924" i="4"/>
  <c r="L924" i="4"/>
  <c r="M924" i="4"/>
  <c r="N924" i="4"/>
  <c r="O924" i="4"/>
  <c r="D461" i="4"/>
  <c r="E461" i="4"/>
  <c r="F461" i="4"/>
  <c r="G461" i="4"/>
  <c r="H461" i="4"/>
  <c r="I461" i="4"/>
  <c r="J461" i="4"/>
  <c r="K461" i="4"/>
  <c r="L461" i="4"/>
  <c r="M461" i="4"/>
  <c r="N461" i="4"/>
  <c r="O461" i="4"/>
  <c r="D462" i="4"/>
  <c r="E462" i="4"/>
  <c r="F462" i="4"/>
  <c r="G462" i="4"/>
  <c r="H462" i="4"/>
  <c r="I462" i="4"/>
  <c r="J462" i="4"/>
  <c r="K462" i="4"/>
  <c r="L462" i="4"/>
  <c r="M462" i="4"/>
  <c r="N462" i="4"/>
  <c r="O462" i="4"/>
  <c r="D463" i="4"/>
  <c r="E463" i="4"/>
  <c r="F463" i="4"/>
  <c r="G463" i="4"/>
  <c r="H463" i="4"/>
  <c r="I463" i="4"/>
  <c r="J463" i="4"/>
  <c r="K463" i="4"/>
  <c r="L463" i="4"/>
  <c r="M463" i="4"/>
  <c r="N463" i="4"/>
  <c r="O463" i="4"/>
  <c r="D464" i="4"/>
  <c r="E464" i="4"/>
  <c r="F464" i="4"/>
  <c r="G464" i="4"/>
  <c r="H464" i="4"/>
  <c r="I464" i="4"/>
  <c r="J464" i="4"/>
  <c r="K464" i="4"/>
  <c r="L464" i="4"/>
  <c r="M464" i="4"/>
  <c r="N464" i="4"/>
  <c r="O464" i="4"/>
  <c r="D465" i="4"/>
  <c r="E465" i="4"/>
  <c r="F465" i="4"/>
  <c r="G465" i="4"/>
  <c r="H465" i="4"/>
  <c r="I465" i="4"/>
  <c r="J465" i="4"/>
  <c r="K465" i="4"/>
  <c r="L465" i="4"/>
  <c r="M465" i="4"/>
  <c r="N465" i="4"/>
  <c r="O465" i="4"/>
  <c r="D466" i="4"/>
  <c r="E466" i="4"/>
  <c r="F466" i="4"/>
  <c r="G466" i="4"/>
  <c r="H466" i="4"/>
  <c r="I466" i="4"/>
  <c r="J466" i="4"/>
  <c r="K466" i="4"/>
  <c r="L466" i="4"/>
  <c r="M466" i="4"/>
  <c r="N466" i="4"/>
  <c r="O466" i="4"/>
  <c r="D467" i="4"/>
  <c r="E467" i="4"/>
  <c r="F467" i="4"/>
  <c r="G467" i="4"/>
  <c r="H467" i="4"/>
  <c r="I467" i="4"/>
  <c r="J467" i="4"/>
  <c r="K467" i="4"/>
  <c r="L467" i="4"/>
  <c r="M467" i="4"/>
  <c r="N467" i="4"/>
  <c r="O467" i="4"/>
  <c r="D925" i="4"/>
  <c r="E925" i="4"/>
  <c r="F925" i="4"/>
  <c r="G925" i="4"/>
  <c r="H925" i="4"/>
  <c r="I925" i="4"/>
  <c r="J925" i="4"/>
  <c r="K925" i="4"/>
  <c r="L925" i="4"/>
  <c r="M925" i="4"/>
  <c r="N925" i="4"/>
  <c r="O925" i="4"/>
  <c r="D468" i="4"/>
  <c r="E468" i="4"/>
  <c r="F468" i="4"/>
  <c r="G468" i="4"/>
  <c r="H468" i="4"/>
  <c r="I468" i="4"/>
  <c r="J468" i="4"/>
  <c r="K468" i="4"/>
  <c r="L468" i="4"/>
  <c r="M468" i="4"/>
  <c r="N468" i="4"/>
  <c r="O468" i="4"/>
  <c r="D469" i="4"/>
  <c r="E469" i="4"/>
  <c r="F469" i="4"/>
  <c r="G469" i="4"/>
  <c r="H469" i="4"/>
  <c r="I469" i="4"/>
  <c r="J469" i="4"/>
  <c r="K469" i="4"/>
  <c r="L469" i="4"/>
  <c r="M469" i="4"/>
  <c r="N469" i="4"/>
  <c r="O469" i="4"/>
  <c r="D470" i="4"/>
  <c r="E470" i="4"/>
  <c r="F470" i="4"/>
  <c r="G470" i="4"/>
  <c r="H470" i="4"/>
  <c r="I470" i="4"/>
  <c r="J470" i="4"/>
  <c r="K470" i="4"/>
  <c r="L470" i="4"/>
  <c r="M470" i="4"/>
  <c r="N470" i="4"/>
  <c r="O470" i="4"/>
  <c r="D471" i="4"/>
  <c r="E471" i="4"/>
  <c r="F471" i="4"/>
  <c r="G471" i="4"/>
  <c r="H471" i="4"/>
  <c r="I471" i="4"/>
  <c r="J471" i="4"/>
  <c r="K471" i="4"/>
  <c r="L471" i="4"/>
  <c r="M471" i="4"/>
  <c r="N471" i="4"/>
  <c r="O471" i="4"/>
  <c r="D472" i="4"/>
  <c r="E472" i="4"/>
  <c r="F472" i="4"/>
  <c r="G472" i="4"/>
  <c r="H472" i="4"/>
  <c r="I472" i="4"/>
  <c r="J472" i="4"/>
  <c r="K472" i="4"/>
  <c r="L472" i="4"/>
  <c r="M472" i="4"/>
  <c r="N472" i="4"/>
  <c r="O472" i="4"/>
  <c r="D473" i="4"/>
  <c r="E473" i="4"/>
  <c r="F473" i="4"/>
  <c r="G473" i="4"/>
  <c r="H473" i="4"/>
  <c r="I473" i="4"/>
  <c r="J473" i="4"/>
  <c r="K473" i="4"/>
  <c r="L473" i="4"/>
  <c r="M473" i="4"/>
  <c r="N473" i="4"/>
  <c r="O473" i="4"/>
  <c r="D474" i="4"/>
  <c r="E474" i="4"/>
  <c r="F474" i="4"/>
  <c r="G474" i="4"/>
  <c r="H474" i="4"/>
  <c r="I474" i="4"/>
  <c r="J474" i="4"/>
  <c r="K474" i="4"/>
  <c r="L474" i="4"/>
  <c r="M474" i="4"/>
  <c r="N474" i="4"/>
  <c r="O474" i="4"/>
  <c r="D926" i="4"/>
  <c r="E926" i="4"/>
  <c r="F926" i="4"/>
  <c r="G926" i="4"/>
  <c r="H926" i="4"/>
  <c r="I926" i="4"/>
  <c r="J926" i="4"/>
  <c r="K926" i="4"/>
  <c r="L926" i="4"/>
  <c r="M926" i="4"/>
  <c r="N926" i="4"/>
  <c r="O926" i="4"/>
  <c r="D927" i="4"/>
  <c r="E927" i="4"/>
  <c r="F927" i="4"/>
  <c r="G927" i="4"/>
  <c r="H927" i="4"/>
  <c r="I927" i="4"/>
  <c r="J927" i="4"/>
  <c r="K927" i="4"/>
  <c r="L927" i="4"/>
  <c r="M927" i="4"/>
  <c r="N927" i="4"/>
  <c r="O927" i="4"/>
  <c r="D475" i="4"/>
  <c r="E475" i="4"/>
  <c r="F475" i="4"/>
  <c r="G475" i="4"/>
  <c r="H475" i="4"/>
  <c r="I475" i="4"/>
  <c r="J475" i="4"/>
  <c r="K475" i="4"/>
  <c r="L475" i="4"/>
  <c r="M475" i="4"/>
  <c r="N475" i="4"/>
  <c r="O475" i="4"/>
  <c r="D476" i="4"/>
  <c r="E476" i="4"/>
  <c r="F476" i="4"/>
  <c r="G476" i="4"/>
  <c r="H476" i="4"/>
  <c r="I476" i="4"/>
  <c r="J476" i="4"/>
  <c r="K476" i="4"/>
  <c r="L476" i="4"/>
  <c r="M476" i="4"/>
  <c r="N476" i="4"/>
  <c r="O476" i="4"/>
  <c r="D928" i="4"/>
  <c r="E928" i="4"/>
  <c r="F928" i="4"/>
  <c r="G928" i="4"/>
  <c r="H928" i="4"/>
  <c r="I928" i="4"/>
  <c r="J928" i="4"/>
  <c r="K928" i="4"/>
  <c r="L928" i="4"/>
  <c r="M928" i="4"/>
  <c r="N928" i="4"/>
  <c r="O928" i="4"/>
  <c r="D477" i="4"/>
  <c r="E477" i="4"/>
  <c r="F477" i="4"/>
  <c r="G477" i="4"/>
  <c r="H477" i="4"/>
  <c r="I477" i="4"/>
  <c r="J477" i="4"/>
  <c r="K477" i="4"/>
  <c r="L477" i="4"/>
  <c r="M477" i="4"/>
  <c r="N477" i="4"/>
  <c r="O477" i="4"/>
  <c r="D478" i="4"/>
  <c r="E478" i="4"/>
  <c r="F478" i="4"/>
  <c r="G478" i="4"/>
  <c r="H478" i="4"/>
  <c r="I478" i="4"/>
  <c r="J478" i="4"/>
  <c r="K478" i="4"/>
  <c r="L478" i="4"/>
  <c r="M478" i="4"/>
  <c r="N478" i="4"/>
  <c r="O478" i="4"/>
  <c r="D929" i="4"/>
  <c r="E929" i="4"/>
  <c r="F929" i="4"/>
  <c r="G929" i="4"/>
  <c r="H929" i="4"/>
  <c r="I929" i="4"/>
  <c r="J929" i="4"/>
  <c r="K929" i="4"/>
  <c r="L929" i="4"/>
  <c r="M929" i="4"/>
  <c r="N929" i="4"/>
  <c r="O929" i="4"/>
  <c r="D479" i="4"/>
  <c r="E479" i="4"/>
  <c r="F479" i="4"/>
  <c r="G479" i="4"/>
  <c r="H479" i="4"/>
  <c r="I479" i="4"/>
  <c r="J479" i="4"/>
  <c r="K479" i="4"/>
  <c r="L479" i="4"/>
  <c r="M479" i="4"/>
  <c r="N479" i="4"/>
  <c r="O479" i="4"/>
  <c r="D480" i="4"/>
  <c r="E480" i="4"/>
  <c r="F480" i="4"/>
  <c r="G480" i="4"/>
  <c r="H480" i="4"/>
  <c r="I480" i="4"/>
  <c r="J480" i="4"/>
  <c r="K480" i="4"/>
  <c r="L480" i="4"/>
  <c r="M480" i="4"/>
  <c r="N480" i="4"/>
  <c r="O480" i="4"/>
  <c r="D481" i="4"/>
  <c r="E481" i="4"/>
  <c r="F481" i="4"/>
  <c r="G481" i="4"/>
  <c r="H481" i="4"/>
  <c r="I481" i="4"/>
  <c r="J481" i="4"/>
  <c r="K481" i="4"/>
  <c r="L481" i="4"/>
  <c r="M481" i="4"/>
  <c r="N481" i="4"/>
  <c r="O481" i="4"/>
  <c r="D482" i="4"/>
  <c r="E482" i="4"/>
  <c r="F482" i="4"/>
  <c r="G482" i="4"/>
  <c r="H482" i="4"/>
  <c r="I482" i="4"/>
  <c r="J482" i="4"/>
  <c r="K482" i="4"/>
  <c r="L482" i="4"/>
  <c r="M482" i="4"/>
  <c r="N482" i="4"/>
  <c r="O482" i="4"/>
  <c r="D483" i="4"/>
  <c r="E483" i="4"/>
  <c r="F483" i="4"/>
  <c r="G483" i="4"/>
  <c r="H483" i="4"/>
  <c r="I483" i="4"/>
  <c r="J483" i="4"/>
  <c r="K483" i="4"/>
  <c r="L483" i="4"/>
  <c r="M483" i="4"/>
  <c r="N483" i="4"/>
  <c r="O483" i="4"/>
  <c r="D930" i="4"/>
  <c r="E930" i="4"/>
  <c r="F930" i="4"/>
  <c r="G930" i="4"/>
  <c r="H930" i="4"/>
  <c r="I930" i="4"/>
  <c r="J930" i="4"/>
  <c r="K930" i="4"/>
  <c r="L930" i="4"/>
  <c r="M930" i="4"/>
  <c r="N930" i="4"/>
  <c r="O930" i="4"/>
  <c r="D484" i="4"/>
  <c r="E484" i="4"/>
  <c r="F484" i="4"/>
  <c r="G484" i="4"/>
  <c r="H484" i="4"/>
  <c r="I484" i="4"/>
  <c r="J484" i="4"/>
  <c r="K484" i="4"/>
  <c r="L484" i="4"/>
  <c r="M484" i="4"/>
  <c r="N484" i="4"/>
  <c r="O484" i="4"/>
  <c r="D485" i="4"/>
  <c r="E485" i="4"/>
  <c r="F485" i="4"/>
  <c r="G485" i="4"/>
  <c r="H485" i="4"/>
  <c r="I485" i="4"/>
  <c r="J485" i="4"/>
  <c r="K485" i="4"/>
  <c r="L485" i="4"/>
  <c r="M485" i="4"/>
  <c r="N485" i="4"/>
  <c r="O485" i="4"/>
  <c r="D486" i="4"/>
  <c r="E486" i="4"/>
  <c r="F486" i="4"/>
  <c r="G486" i="4"/>
  <c r="H486" i="4"/>
  <c r="I486" i="4"/>
  <c r="J486" i="4"/>
  <c r="K486" i="4"/>
  <c r="L486" i="4"/>
  <c r="M486" i="4"/>
  <c r="N486" i="4"/>
  <c r="O486" i="4"/>
  <c r="D931" i="4"/>
  <c r="E931" i="4"/>
  <c r="F931" i="4"/>
  <c r="G931" i="4"/>
  <c r="H931" i="4"/>
  <c r="I931" i="4"/>
  <c r="J931" i="4"/>
  <c r="K931" i="4"/>
  <c r="L931" i="4"/>
  <c r="M931" i="4"/>
  <c r="N931" i="4"/>
  <c r="O931" i="4"/>
  <c r="D487" i="4"/>
  <c r="E487" i="4"/>
  <c r="F487" i="4"/>
  <c r="G487" i="4"/>
  <c r="H487" i="4"/>
  <c r="I487" i="4"/>
  <c r="J487" i="4"/>
  <c r="K487" i="4"/>
  <c r="L487" i="4"/>
  <c r="M487" i="4"/>
  <c r="N487" i="4"/>
  <c r="O487" i="4"/>
  <c r="D488" i="4"/>
  <c r="E488" i="4"/>
  <c r="F488" i="4"/>
  <c r="G488" i="4"/>
  <c r="H488" i="4"/>
  <c r="I488" i="4"/>
  <c r="J488" i="4"/>
  <c r="K488" i="4"/>
  <c r="L488" i="4"/>
  <c r="M488" i="4"/>
  <c r="N488" i="4"/>
  <c r="O488" i="4"/>
  <c r="D489" i="4"/>
  <c r="E489" i="4"/>
  <c r="F489" i="4"/>
  <c r="G489" i="4"/>
  <c r="H489" i="4"/>
  <c r="I489" i="4"/>
  <c r="J489" i="4"/>
  <c r="K489" i="4"/>
  <c r="L489" i="4"/>
  <c r="M489" i="4"/>
  <c r="N489" i="4"/>
  <c r="O489" i="4"/>
  <c r="D490" i="4"/>
  <c r="E490" i="4"/>
  <c r="F490" i="4"/>
  <c r="G490" i="4"/>
  <c r="H490" i="4"/>
  <c r="I490" i="4"/>
  <c r="J490" i="4"/>
  <c r="K490" i="4"/>
  <c r="L490" i="4"/>
  <c r="M490" i="4"/>
  <c r="N490" i="4"/>
  <c r="O490" i="4"/>
  <c r="D491" i="4"/>
  <c r="E491" i="4"/>
  <c r="F491" i="4"/>
  <c r="G491" i="4"/>
  <c r="H491" i="4"/>
  <c r="I491" i="4"/>
  <c r="J491" i="4"/>
  <c r="K491" i="4"/>
  <c r="L491" i="4"/>
  <c r="M491" i="4"/>
  <c r="N491" i="4"/>
  <c r="O491" i="4"/>
  <c r="D492" i="4"/>
  <c r="E492" i="4"/>
  <c r="F492" i="4"/>
  <c r="G492" i="4"/>
  <c r="H492" i="4"/>
  <c r="I492" i="4"/>
  <c r="J492" i="4"/>
  <c r="K492" i="4"/>
  <c r="L492" i="4"/>
  <c r="M492" i="4"/>
  <c r="N492" i="4"/>
  <c r="O492" i="4"/>
  <c r="D932" i="4"/>
  <c r="E932" i="4"/>
  <c r="F932" i="4"/>
  <c r="G932" i="4"/>
  <c r="H932" i="4"/>
  <c r="I932" i="4"/>
  <c r="J932" i="4"/>
  <c r="K932" i="4"/>
  <c r="L932" i="4"/>
  <c r="M932" i="4"/>
  <c r="N932" i="4"/>
  <c r="O932" i="4"/>
  <c r="D933" i="4"/>
  <c r="E933" i="4"/>
  <c r="F933" i="4"/>
  <c r="G933" i="4"/>
  <c r="H933" i="4"/>
  <c r="I933" i="4"/>
  <c r="J933" i="4"/>
  <c r="K933" i="4"/>
  <c r="L933" i="4"/>
  <c r="M933" i="4"/>
  <c r="N933" i="4"/>
  <c r="O933" i="4"/>
  <c r="D493" i="4"/>
  <c r="E493" i="4"/>
  <c r="F493" i="4"/>
  <c r="G493" i="4"/>
  <c r="H493" i="4"/>
  <c r="I493" i="4"/>
  <c r="J493" i="4"/>
  <c r="K493" i="4"/>
  <c r="L493" i="4"/>
  <c r="M493" i="4"/>
  <c r="N493" i="4"/>
  <c r="O493" i="4"/>
  <c r="D494" i="4"/>
  <c r="E494" i="4"/>
  <c r="F494" i="4"/>
  <c r="G494" i="4"/>
  <c r="H494" i="4"/>
  <c r="I494" i="4"/>
  <c r="J494" i="4"/>
  <c r="K494" i="4"/>
  <c r="L494" i="4"/>
  <c r="M494" i="4"/>
  <c r="N494" i="4"/>
  <c r="O494" i="4"/>
  <c r="D495" i="4"/>
  <c r="E495" i="4"/>
  <c r="F495" i="4"/>
  <c r="G495" i="4"/>
  <c r="H495" i="4"/>
  <c r="I495" i="4"/>
  <c r="J495" i="4"/>
  <c r="K495" i="4"/>
  <c r="L495" i="4"/>
  <c r="M495" i="4"/>
  <c r="N495" i="4"/>
  <c r="O495" i="4"/>
  <c r="D496" i="4"/>
  <c r="E496" i="4"/>
  <c r="F496" i="4"/>
  <c r="G496" i="4"/>
  <c r="H496" i="4"/>
  <c r="I496" i="4"/>
  <c r="J496" i="4"/>
  <c r="K496" i="4"/>
  <c r="L496" i="4"/>
  <c r="M496" i="4"/>
  <c r="N496" i="4"/>
  <c r="O496" i="4"/>
  <c r="D497" i="4"/>
  <c r="E497" i="4"/>
  <c r="F497" i="4"/>
  <c r="G497" i="4"/>
  <c r="H497" i="4"/>
  <c r="I497" i="4"/>
  <c r="J497" i="4"/>
  <c r="K497" i="4"/>
  <c r="L497" i="4"/>
  <c r="M497" i="4"/>
  <c r="N497" i="4"/>
  <c r="O497" i="4"/>
  <c r="D498" i="4"/>
  <c r="E498" i="4"/>
  <c r="F498" i="4"/>
  <c r="G498" i="4"/>
  <c r="H498" i="4"/>
  <c r="I498" i="4"/>
  <c r="J498" i="4"/>
  <c r="K498" i="4"/>
  <c r="L498" i="4"/>
  <c r="M498" i="4"/>
  <c r="N498" i="4"/>
  <c r="O498" i="4"/>
  <c r="D499" i="4"/>
  <c r="E499" i="4"/>
  <c r="F499" i="4"/>
  <c r="G499" i="4"/>
  <c r="H499" i="4"/>
  <c r="I499" i="4"/>
  <c r="J499" i="4"/>
  <c r="K499" i="4"/>
  <c r="L499" i="4"/>
  <c r="M499" i="4"/>
  <c r="N499" i="4"/>
  <c r="O499" i="4"/>
  <c r="D500" i="4"/>
  <c r="E500" i="4"/>
  <c r="F500" i="4"/>
  <c r="G500" i="4"/>
  <c r="H500" i="4"/>
  <c r="I500" i="4"/>
  <c r="J500" i="4"/>
  <c r="K500" i="4"/>
  <c r="L500" i="4"/>
  <c r="M500" i="4"/>
  <c r="N500" i="4"/>
  <c r="O500" i="4"/>
  <c r="D501" i="4"/>
  <c r="E501" i="4"/>
  <c r="F501" i="4"/>
  <c r="G501" i="4"/>
  <c r="H501" i="4"/>
  <c r="I501" i="4"/>
  <c r="J501" i="4"/>
  <c r="K501" i="4"/>
  <c r="L501" i="4"/>
  <c r="M501" i="4"/>
  <c r="N501" i="4"/>
  <c r="O501" i="4"/>
  <c r="D502" i="4"/>
  <c r="E502" i="4"/>
  <c r="F502" i="4"/>
  <c r="G502" i="4"/>
  <c r="H502" i="4"/>
  <c r="I502" i="4"/>
  <c r="J502" i="4"/>
  <c r="K502" i="4"/>
  <c r="L502" i="4"/>
  <c r="M502" i="4"/>
  <c r="N502" i="4"/>
  <c r="O502" i="4"/>
  <c r="D503" i="4"/>
  <c r="E503" i="4"/>
  <c r="F503" i="4"/>
  <c r="G503" i="4"/>
  <c r="H503" i="4"/>
  <c r="I503" i="4"/>
  <c r="J503" i="4"/>
  <c r="K503" i="4"/>
  <c r="L503" i="4"/>
  <c r="M503" i="4"/>
  <c r="N503" i="4"/>
  <c r="O503" i="4"/>
  <c r="D934" i="4"/>
  <c r="E934" i="4"/>
  <c r="F934" i="4"/>
  <c r="G934" i="4"/>
  <c r="H934" i="4"/>
  <c r="I934" i="4"/>
  <c r="J934" i="4"/>
  <c r="K934" i="4"/>
  <c r="L934" i="4"/>
  <c r="M934" i="4"/>
  <c r="N934" i="4"/>
  <c r="O934" i="4"/>
  <c r="D504" i="4"/>
  <c r="E504" i="4"/>
  <c r="F504" i="4"/>
  <c r="G504" i="4"/>
  <c r="H504" i="4"/>
  <c r="I504" i="4"/>
  <c r="J504" i="4"/>
  <c r="K504" i="4"/>
  <c r="L504" i="4"/>
  <c r="M504" i="4"/>
  <c r="N504" i="4"/>
  <c r="O504" i="4"/>
  <c r="D505" i="4"/>
  <c r="E505" i="4"/>
  <c r="F505" i="4"/>
  <c r="G505" i="4"/>
  <c r="H505" i="4"/>
  <c r="I505" i="4"/>
  <c r="J505" i="4"/>
  <c r="K505" i="4"/>
  <c r="L505" i="4"/>
  <c r="M505" i="4"/>
  <c r="N505" i="4"/>
  <c r="O505" i="4"/>
  <c r="D935" i="4"/>
  <c r="E935" i="4"/>
  <c r="F935" i="4"/>
  <c r="G935" i="4"/>
  <c r="H935" i="4"/>
  <c r="I935" i="4"/>
  <c r="J935" i="4"/>
  <c r="K935" i="4"/>
  <c r="L935" i="4"/>
  <c r="M935" i="4"/>
  <c r="N935" i="4"/>
  <c r="O935" i="4"/>
  <c r="D506" i="4"/>
  <c r="E506" i="4"/>
  <c r="F506" i="4"/>
  <c r="G506" i="4"/>
  <c r="H506" i="4"/>
  <c r="I506" i="4"/>
  <c r="J506" i="4"/>
  <c r="K506" i="4"/>
  <c r="L506" i="4"/>
  <c r="M506" i="4"/>
  <c r="N506" i="4"/>
  <c r="O506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D507" i="4"/>
  <c r="E507" i="4"/>
  <c r="F507" i="4"/>
  <c r="G507" i="4"/>
  <c r="H507" i="4"/>
  <c r="I507" i="4"/>
  <c r="J507" i="4"/>
  <c r="K507" i="4"/>
  <c r="L507" i="4"/>
  <c r="M507" i="4"/>
  <c r="N507" i="4"/>
  <c r="O507" i="4"/>
  <c r="D508" i="4"/>
  <c r="E508" i="4"/>
  <c r="F508" i="4"/>
  <c r="G508" i="4"/>
  <c r="H508" i="4"/>
  <c r="I508" i="4"/>
  <c r="J508" i="4"/>
  <c r="K508" i="4"/>
  <c r="L508" i="4"/>
  <c r="M508" i="4"/>
  <c r="N508" i="4"/>
  <c r="O508" i="4"/>
  <c r="D509" i="4"/>
  <c r="E509" i="4"/>
  <c r="F509" i="4"/>
  <c r="G509" i="4"/>
  <c r="H509" i="4"/>
  <c r="I509" i="4"/>
  <c r="J509" i="4"/>
  <c r="K509" i="4"/>
  <c r="L509" i="4"/>
  <c r="M509" i="4"/>
  <c r="N509" i="4"/>
  <c r="O509" i="4"/>
  <c r="D936" i="4"/>
  <c r="E936" i="4"/>
  <c r="F936" i="4"/>
  <c r="G936" i="4"/>
  <c r="H936" i="4"/>
  <c r="I936" i="4"/>
  <c r="J936" i="4"/>
  <c r="K936" i="4"/>
  <c r="L936" i="4"/>
  <c r="M936" i="4"/>
  <c r="N936" i="4"/>
  <c r="O936" i="4"/>
  <c r="D937" i="4"/>
  <c r="E937" i="4"/>
  <c r="F937" i="4"/>
  <c r="G937" i="4"/>
  <c r="H937" i="4"/>
  <c r="I937" i="4"/>
  <c r="J937" i="4"/>
  <c r="K937" i="4"/>
  <c r="L937" i="4"/>
  <c r="M937" i="4"/>
  <c r="N937" i="4"/>
  <c r="O937" i="4"/>
  <c r="D510" i="4"/>
  <c r="E510" i="4"/>
  <c r="F510" i="4"/>
  <c r="G510" i="4"/>
  <c r="H510" i="4"/>
  <c r="I510" i="4"/>
  <c r="J510" i="4"/>
  <c r="K510" i="4"/>
  <c r="L510" i="4"/>
  <c r="M510" i="4"/>
  <c r="N510" i="4"/>
  <c r="O510" i="4"/>
  <c r="D938" i="4"/>
  <c r="E938" i="4"/>
  <c r="F938" i="4"/>
  <c r="G938" i="4"/>
  <c r="H938" i="4"/>
  <c r="I938" i="4"/>
  <c r="J938" i="4"/>
  <c r="K938" i="4"/>
  <c r="L938" i="4"/>
  <c r="M938" i="4"/>
  <c r="N938" i="4"/>
  <c r="O938" i="4"/>
  <c r="D939" i="4"/>
  <c r="E939" i="4"/>
  <c r="F939" i="4"/>
  <c r="G939" i="4"/>
  <c r="H939" i="4"/>
  <c r="I939" i="4"/>
  <c r="J939" i="4"/>
  <c r="K939" i="4"/>
  <c r="L939" i="4"/>
  <c r="M939" i="4"/>
  <c r="N939" i="4"/>
  <c r="O939" i="4"/>
  <c r="D511" i="4"/>
  <c r="E511" i="4"/>
  <c r="F511" i="4"/>
  <c r="G511" i="4"/>
  <c r="H511" i="4"/>
  <c r="I511" i="4"/>
  <c r="J511" i="4"/>
  <c r="K511" i="4"/>
  <c r="L511" i="4"/>
  <c r="M511" i="4"/>
  <c r="N511" i="4"/>
  <c r="O511" i="4"/>
  <c r="D512" i="4"/>
  <c r="E512" i="4"/>
  <c r="F512" i="4"/>
  <c r="G512" i="4"/>
  <c r="H512" i="4"/>
  <c r="I512" i="4"/>
  <c r="J512" i="4"/>
  <c r="K512" i="4"/>
  <c r="L512" i="4"/>
  <c r="M512" i="4"/>
  <c r="N512" i="4"/>
  <c r="O512" i="4"/>
  <c r="D513" i="4"/>
  <c r="E513" i="4"/>
  <c r="F513" i="4"/>
  <c r="G513" i="4"/>
  <c r="H513" i="4"/>
  <c r="I513" i="4"/>
  <c r="J513" i="4"/>
  <c r="K513" i="4"/>
  <c r="L513" i="4"/>
  <c r="M513" i="4"/>
  <c r="N513" i="4"/>
  <c r="O513" i="4"/>
  <c r="D514" i="4"/>
  <c r="E514" i="4"/>
  <c r="F514" i="4"/>
  <c r="G514" i="4"/>
  <c r="H514" i="4"/>
  <c r="I514" i="4"/>
  <c r="J514" i="4"/>
  <c r="K514" i="4"/>
  <c r="L514" i="4"/>
  <c r="M514" i="4"/>
  <c r="N514" i="4"/>
  <c r="O514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D515" i="4"/>
  <c r="E515" i="4"/>
  <c r="F515" i="4"/>
  <c r="G515" i="4"/>
  <c r="H515" i="4"/>
  <c r="I515" i="4"/>
  <c r="J515" i="4"/>
  <c r="K515" i="4"/>
  <c r="L515" i="4"/>
  <c r="M515" i="4"/>
  <c r="N515" i="4"/>
  <c r="O515" i="4"/>
  <c r="D516" i="4"/>
  <c r="E516" i="4"/>
  <c r="F516" i="4"/>
  <c r="G516" i="4"/>
  <c r="H516" i="4"/>
  <c r="I516" i="4"/>
  <c r="J516" i="4"/>
  <c r="K516" i="4"/>
  <c r="L516" i="4"/>
  <c r="M516" i="4"/>
  <c r="N516" i="4"/>
  <c r="O516" i="4"/>
  <c r="D517" i="4"/>
  <c r="E517" i="4"/>
  <c r="F517" i="4"/>
  <c r="G517" i="4"/>
  <c r="H517" i="4"/>
  <c r="I517" i="4"/>
  <c r="J517" i="4"/>
  <c r="K517" i="4"/>
  <c r="L517" i="4"/>
  <c r="M517" i="4"/>
  <c r="N517" i="4"/>
  <c r="O517" i="4"/>
  <c r="D940" i="4"/>
  <c r="E940" i="4"/>
  <c r="F940" i="4"/>
  <c r="G940" i="4"/>
  <c r="H940" i="4"/>
  <c r="I940" i="4"/>
  <c r="J940" i="4"/>
  <c r="K940" i="4"/>
  <c r="L940" i="4"/>
  <c r="M940" i="4"/>
  <c r="N940" i="4"/>
  <c r="O940" i="4"/>
  <c r="D941" i="4"/>
  <c r="E941" i="4"/>
  <c r="F941" i="4"/>
  <c r="G941" i="4"/>
  <c r="H941" i="4"/>
  <c r="I941" i="4"/>
  <c r="J941" i="4"/>
  <c r="K941" i="4"/>
  <c r="L941" i="4"/>
  <c r="M941" i="4"/>
  <c r="N941" i="4"/>
  <c r="O941" i="4"/>
  <c r="D942" i="4"/>
  <c r="E942" i="4"/>
  <c r="F942" i="4"/>
  <c r="G942" i="4"/>
  <c r="H942" i="4"/>
  <c r="I942" i="4"/>
  <c r="J942" i="4"/>
  <c r="K942" i="4"/>
  <c r="L942" i="4"/>
  <c r="M942" i="4"/>
  <c r="N942" i="4"/>
  <c r="O942" i="4"/>
  <c r="D943" i="4"/>
  <c r="E943" i="4"/>
  <c r="F943" i="4"/>
  <c r="G943" i="4"/>
  <c r="H943" i="4"/>
  <c r="I943" i="4"/>
  <c r="J943" i="4"/>
  <c r="K943" i="4"/>
  <c r="L943" i="4"/>
  <c r="M943" i="4"/>
  <c r="N943" i="4"/>
  <c r="O943" i="4"/>
  <c r="D944" i="4"/>
  <c r="E944" i="4"/>
  <c r="F944" i="4"/>
  <c r="G944" i="4"/>
  <c r="H944" i="4"/>
  <c r="I944" i="4"/>
  <c r="J944" i="4"/>
  <c r="K944" i="4"/>
  <c r="L944" i="4"/>
  <c r="M944" i="4"/>
  <c r="N944" i="4"/>
  <c r="O944" i="4"/>
  <c r="D945" i="4"/>
  <c r="E945" i="4"/>
  <c r="F945" i="4"/>
  <c r="G945" i="4"/>
  <c r="H945" i="4"/>
  <c r="I945" i="4"/>
  <c r="J945" i="4"/>
  <c r="K945" i="4"/>
  <c r="L945" i="4"/>
  <c r="M945" i="4"/>
  <c r="N945" i="4"/>
  <c r="O945" i="4"/>
  <c r="D946" i="4"/>
  <c r="E946" i="4"/>
  <c r="F946" i="4"/>
  <c r="G946" i="4"/>
  <c r="H946" i="4"/>
  <c r="I946" i="4"/>
  <c r="J946" i="4"/>
  <c r="K946" i="4"/>
  <c r="L946" i="4"/>
  <c r="M946" i="4"/>
  <c r="N946" i="4"/>
  <c r="O946" i="4"/>
  <c r="D947" i="4"/>
  <c r="E947" i="4"/>
  <c r="F947" i="4"/>
  <c r="G947" i="4"/>
  <c r="H947" i="4"/>
  <c r="I947" i="4"/>
  <c r="J947" i="4"/>
  <c r="K947" i="4"/>
  <c r="L947" i="4"/>
  <c r="M947" i="4"/>
  <c r="N947" i="4"/>
  <c r="O947" i="4"/>
  <c r="D948" i="4"/>
  <c r="E948" i="4"/>
  <c r="F948" i="4"/>
  <c r="G948" i="4"/>
  <c r="H948" i="4"/>
  <c r="I948" i="4"/>
  <c r="J948" i="4"/>
  <c r="K948" i="4"/>
  <c r="L948" i="4"/>
  <c r="M948" i="4"/>
  <c r="N948" i="4"/>
  <c r="O948" i="4"/>
  <c r="D949" i="4"/>
  <c r="E949" i="4"/>
  <c r="F949" i="4"/>
  <c r="G949" i="4"/>
  <c r="H949" i="4"/>
  <c r="I949" i="4"/>
  <c r="J949" i="4"/>
  <c r="K949" i="4"/>
  <c r="L949" i="4"/>
  <c r="M949" i="4"/>
  <c r="N949" i="4"/>
  <c r="O949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D518" i="4"/>
  <c r="E518" i="4"/>
  <c r="F518" i="4"/>
  <c r="G518" i="4"/>
  <c r="H518" i="4"/>
  <c r="I518" i="4"/>
  <c r="J518" i="4"/>
  <c r="K518" i="4"/>
  <c r="L518" i="4"/>
  <c r="M518" i="4"/>
  <c r="N518" i="4"/>
  <c r="O518" i="4"/>
  <c r="D950" i="4"/>
  <c r="E950" i="4"/>
  <c r="F950" i="4"/>
  <c r="G950" i="4"/>
  <c r="H950" i="4"/>
  <c r="I950" i="4"/>
  <c r="J950" i="4"/>
  <c r="K950" i="4"/>
  <c r="L950" i="4"/>
  <c r="M950" i="4"/>
  <c r="N950" i="4"/>
  <c r="O950" i="4"/>
  <c r="D519" i="4"/>
  <c r="E519" i="4"/>
  <c r="F519" i="4"/>
  <c r="G519" i="4"/>
  <c r="H519" i="4"/>
  <c r="I519" i="4"/>
  <c r="J519" i="4"/>
  <c r="K519" i="4"/>
  <c r="L519" i="4"/>
  <c r="M519" i="4"/>
  <c r="N519" i="4"/>
  <c r="O519" i="4"/>
  <c r="D520" i="4"/>
  <c r="E520" i="4"/>
  <c r="F520" i="4"/>
  <c r="G520" i="4"/>
  <c r="H520" i="4"/>
  <c r="I520" i="4"/>
  <c r="J520" i="4"/>
  <c r="K520" i="4"/>
  <c r="L520" i="4"/>
  <c r="M520" i="4"/>
  <c r="N520" i="4"/>
  <c r="O520" i="4"/>
  <c r="D521" i="4"/>
  <c r="E521" i="4"/>
  <c r="F521" i="4"/>
  <c r="G521" i="4"/>
  <c r="H521" i="4"/>
  <c r="I521" i="4"/>
  <c r="J521" i="4"/>
  <c r="K521" i="4"/>
  <c r="L521" i="4"/>
  <c r="M521" i="4"/>
  <c r="N521" i="4"/>
  <c r="O521" i="4"/>
  <c r="D951" i="4"/>
  <c r="E951" i="4"/>
  <c r="F951" i="4"/>
  <c r="G951" i="4"/>
  <c r="H951" i="4"/>
  <c r="I951" i="4"/>
  <c r="J951" i="4"/>
  <c r="K951" i="4"/>
  <c r="L951" i="4"/>
  <c r="M951" i="4"/>
  <c r="N951" i="4"/>
  <c r="O951" i="4"/>
  <c r="D952" i="4"/>
  <c r="E952" i="4"/>
  <c r="F952" i="4"/>
  <c r="G952" i="4"/>
  <c r="H952" i="4"/>
  <c r="I952" i="4"/>
  <c r="J952" i="4"/>
  <c r="K952" i="4"/>
  <c r="L952" i="4"/>
  <c r="M952" i="4"/>
  <c r="N952" i="4"/>
  <c r="O952" i="4"/>
  <c r="D953" i="4"/>
  <c r="E953" i="4"/>
  <c r="F953" i="4"/>
  <c r="G953" i="4"/>
  <c r="H953" i="4"/>
  <c r="I953" i="4"/>
  <c r="J953" i="4"/>
  <c r="K953" i="4"/>
  <c r="L953" i="4"/>
  <c r="M953" i="4"/>
  <c r="N953" i="4"/>
  <c r="O953" i="4"/>
  <c r="D954" i="4"/>
  <c r="E954" i="4"/>
  <c r="F954" i="4"/>
  <c r="G954" i="4"/>
  <c r="H954" i="4"/>
  <c r="I954" i="4"/>
  <c r="J954" i="4"/>
  <c r="K954" i="4"/>
  <c r="L954" i="4"/>
  <c r="M954" i="4"/>
  <c r="N954" i="4"/>
  <c r="O954" i="4"/>
  <c r="D955" i="4"/>
  <c r="E955" i="4"/>
  <c r="F955" i="4"/>
  <c r="G955" i="4"/>
  <c r="H955" i="4"/>
  <c r="I955" i="4"/>
  <c r="J955" i="4"/>
  <c r="K955" i="4"/>
  <c r="L955" i="4"/>
  <c r="M955" i="4"/>
  <c r="N955" i="4"/>
  <c r="O955" i="4"/>
  <c r="D956" i="4"/>
  <c r="E956" i="4"/>
  <c r="F956" i="4"/>
  <c r="G956" i="4"/>
  <c r="H956" i="4"/>
  <c r="I956" i="4"/>
  <c r="J956" i="4"/>
  <c r="K956" i="4"/>
  <c r="L956" i="4"/>
  <c r="M956" i="4"/>
  <c r="N956" i="4"/>
  <c r="O956" i="4"/>
  <c r="D957" i="4"/>
  <c r="E957" i="4"/>
  <c r="F957" i="4"/>
  <c r="G957" i="4"/>
  <c r="H957" i="4"/>
  <c r="I957" i="4"/>
  <c r="J957" i="4"/>
  <c r="K957" i="4"/>
  <c r="L957" i="4"/>
  <c r="M957" i="4"/>
  <c r="N957" i="4"/>
  <c r="O957" i="4"/>
  <c r="D958" i="4"/>
  <c r="E958" i="4"/>
  <c r="F958" i="4"/>
  <c r="G958" i="4"/>
  <c r="H958" i="4"/>
  <c r="I958" i="4"/>
  <c r="J958" i="4"/>
  <c r="K958" i="4"/>
  <c r="L958" i="4"/>
  <c r="M958" i="4"/>
  <c r="N958" i="4"/>
  <c r="O958" i="4"/>
  <c r="D959" i="4"/>
  <c r="E959" i="4"/>
  <c r="F959" i="4"/>
  <c r="G959" i="4"/>
  <c r="H959" i="4"/>
  <c r="I959" i="4"/>
  <c r="J959" i="4"/>
  <c r="K959" i="4"/>
  <c r="L959" i="4"/>
  <c r="M959" i="4"/>
  <c r="N959" i="4"/>
  <c r="O959" i="4"/>
  <c r="D960" i="4"/>
  <c r="E960" i="4"/>
  <c r="F960" i="4"/>
  <c r="G960" i="4"/>
  <c r="H960" i="4"/>
  <c r="I960" i="4"/>
  <c r="J960" i="4"/>
  <c r="K960" i="4"/>
  <c r="L960" i="4"/>
  <c r="M960" i="4"/>
  <c r="N960" i="4"/>
  <c r="O960" i="4"/>
  <c r="D961" i="4"/>
  <c r="E961" i="4"/>
  <c r="F961" i="4"/>
  <c r="G961" i="4"/>
  <c r="H961" i="4"/>
  <c r="I961" i="4"/>
  <c r="J961" i="4"/>
  <c r="K961" i="4"/>
  <c r="L961" i="4"/>
  <c r="M961" i="4"/>
  <c r="N961" i="4"/>
  <c r="O961" i="4"/>
  <c r="D522" i="4"/>
  <c r="E522" i="4"/>
  <c r="F522" i="4"/>
  <c r="G522" i="4"/>
  <c r="H522" i="4"/>
  <c r="I522" i="4"/>
  <c r="J522" i="4"/>
  <c r="K522" i="4"/>
  <c r="L522" i="4"/>
  <c r="M522" i="4"/>
  <c r="N522" i="4"/>
  <c r="O522" i="4"/>
  <c r="D523" i="4"/>
  <c r="E523" i="4"/>
  <c r="F523" i="4"/>
  <c r="G523" i="4"/>
  <c r="H523" i="4"/>
  <c r="I523" i="4"/>
  <c r="J523" i="4"/>
  <c r="K523" i="4"/>
  <c r="L523" i="4"/>
  <c r="M523" i="4"/>
  <c r="N523" i="4"/>
  <c r="O523" i="4"/>
  <c r="D524" i="4"/>
  <c r="E524" i="4"/>
  <c r="F524" i="4"/>
  <c r="G524" i="4"/>
  <c r="H524" i="4"/>
  <c r="I524" i="4"/>
  <c r="J524" i="4"/>
  <c r="K524" i="4"/>
  <c r="L524" i="4"/>
  <c r="M524" i="4"/>
  <c r="N524" i="4"/>
  <c r="O524" i="4"/>
  <c r="D525" i="4"/>
  <c r="E525" i="4"/>
  <c r="F525" i="4"/>
  <c r="G525" i="4"/>
  <c r="H525" i="4"/>
  <c r="I525" i="4"/>
  <c r="J525" i="4"/>
  <c r="K525" i="4"/>
  <c r="L525" i="4"/>
  <c r="M525" i="4"/>
  <c r="N525" i="4"/>
  <c r="O525" i="4"/>
  <c r="D526" i="4"/>
  <c r="E526" i="4"/>
  <c r="F526" i="4"/>
  <c r="G526" i="4"/>
  <c r="H526" i="4"/>
  <c r="I526" i="4"/>
  <c r="J526" i="4"/>
  <c r="K526" i="4"/>
  <c r="L526" i="4"/>
  <c r="M526" i="4"/>
  <c r="N526" i="4"/>
  <c r="O526" i="4"/>
  <c r="D962" i="4"/>
  <c r="E962" i="4"/>
  <c r="F962" i="4"/>
  <c r="G962" i="4"/>
  <c r="H962" i="4"/>
  <c r="I962" i="4"/>
  <c r="J962" i="4"/>
  <c r="K962" i="4"/>
  <c r="L962" i="4"/>
  <c r="M962" i="4"/>
  <c r="N962" i="4"/>
  <c r="O962" i="4"/>
  <c r="D527" i="4"/>
  <c r="E527" i="4"/>
  <c r="F527" i="4"/>
  <c r="G527" i="4"/>
  <c r="H527" i="4"/>
  <c r="I527" i="4"/>
  <c r="J527" i="4"/>
  <c r="K527" i="4"/>
  <c r="L527" i="4"/>
  <c r="M527" i="4"/>
  <c r="N527" i="4"/>
  <c r="O527" i="4"/>
  <c r="D528" i="4"/>
  <c r="E528" i="4"/>
  <c r="F528" i="4"/>
  <c r="G528" i="4"/>
  <c r="H528" i="4"/>
  <c r="I528" i="4"/>
  <c r="J528" i="4"/>
  <c r="K528" i="4"/>
  <c r="L528" i="4"/>
  <c r="M528" i="4"/>
  <c r="N528" i="4"/>
  <c r="O528" i="4"/>
  <c r="D529" i="4"/>
  <c r="E529" i="4"/>
  <c r="F529" i="4"/>
  <c r="G529" i="4"/>
  <c r="H529" i="4"/>
  <c r="I529" i="4"/>
  <c r="J529" i="4"/>
  <c r="K529" i="4"/>
  <c r="L529" i="4"/>
  <c r="M529" i="4"/>
  <c r="N529" i="4"/>
  <c r="O529" i="4"/>
  <c r="D530" i="4"/>
  <c r="E530" i="4"/>
  <c r="F530" i="4"/>
  <c r="G530" i="4"/>
  <c r="H530" i="4"/>
  <c r="I530" i="4"/>
  <c r="J530" i="4"/>
  <c r="K530" i="4"/>
  <c r="L530" i="4"/>
  <c r="M530" i="4"/>
  <c r="N530" i="4"/>
  <c r="O530" i="4"/>
  <c r="D963" i="4"/>
  <c r="E963" i="4"/>
  <c r="F963" i="4"/>
  <c r="G963" i="4"/>
  <c r="H963" i="4"/>
  <c r="I963" i="4"/>
  <c r="J963" i="4"/>
  <c r="K963" i="4"/>
  <c r="L963" i="4"/>
  <c r="M963" i="4"/>
  <c r="N963" i="4"/>
  <c r="O963" i="4"/>
  <c r="D964" i="4"/>
  <c r="E964" i="4"/>
  <c r="F964" i="4"/>
  <c r="G964" i="4"/>
  <c r="H964" i="4"/>
  <c r="I964" i="4"/>
  <c r="J964" i="4"/>
  <c r="K964" i="4"/>
  <c r="L964" i="4"/>
  <c r="M964" i="4"/>
  <c r="N964" i="4"/>
  <c r="O964" i="4"/>
  <c r="D531" i="4"/>
  <c r="E531" i="4"/>
  <c r="F531" i="4"/>
  <c r="G531" i="4"/>
  <c r="H531" i="4"/>
  <c r="I531" i="4"/>
  <c r="J531" i="4"/>
  <c r="K531" i="4"/>
  <c r="L531" i="4"/>
  <c r="M531" i="4"/>
  <c r="N531" i="4"/>
  <c r="O531" i="4"/>
  <c r="D532" i="4"/>
  <c r="E532" i="4"/>
  <c r="F532" i="4"/>
  <c r="G532" i="4"/>
  <c r="H532" i="4"/>
  <c r="I532" i="4"/>
  <c r="J532" i="4"/>
  <c r="K532" i="4"/>
  <c r="L532" i="4"/>
  <c r="M532" i="4"/>
  <c r="N532" i="4"/>
  <c r="O532" i="4"/>
  <c r="D533" i="4"/>
  <c r="E533" i="4"/>
  <c r="F533" i="4"/>
  <c r="G533" i="4"/>
  <c r="H533" i="4"/>
  <c r="I533" i="4"/>
  <c r="J533" i="4"/>
  <c r="K533" i="4"/>
  <c r="L533" i="4"/>
  <c r="M533" i="4"/>
  <c r="N533" i="4"/>
  <c r="O533" i="4"/>
  <c r="D534" i="4"/>
  <c r="E534" i="4"/>
  <c r="F534" i="4"/>
  <c r="G534" i="4"/>
  <c r="H534" i="4"/>
  <c r="I534" i="4"/>
  <c r="J534" i="4"/>
  <c r="K534" i="4"/>
  <c r="L534" i="4"/>
  <c r="M534" i="4"/>
  <c r="N534" i="4"/>
  <c r="O534" i="4"/>
  <c r="D965" i="4"/>
  <c r="E965" i="4"/>
  <c r="F965" i="4"/>
  <c r="G965" i="4"/>
  <c r="H965" i="4"/>
  <c r="I965" i="4"/>
  <c r="J965" i="4"/>
  <c r="K965" i="4"/>
  <c r="L965" i="4"/>
  <c r="M965" i="4"/>
  <c r="N965" i="4"/>
  <c r="O965" i="4"/>
  <c r="D966" i="4"/>
  <c r="E966" i="4"/>
  <c r="F966" i="4"/>
  <c r="G966" i="4"/>
  <c r="H966" i="4"/>
  <c r="I966" i="4"/>
  <c r="J966" i="4"/>
  <c r="K966" i="4"/>
  <c r="L966" i="4"/>
  <c r="M966" i="4"/>
  <c r="N966" i="4"/>
  <c r="O966" i="4"/>
  <c r="D967" i="4"/>
  <c r="E967" i="4"/>
  <c r="F967" i="4"/>
  <c r="G967" i="4"/>
  <c r="H967" i="4"/>
  <c r="I967" i="4"/>
  <c r="J967" i="4"/>
  <c r="K967" i="4"/>
  <c r="L967" i="4"/>
  <c r="M967" i="4"/>
  <c r="N967" i="4"/>
  <c r="O967" i="4"/>
  <c r="D968" i="4"/>
  <c r="E968" i="4"/>
  <c r="F968" i="4"/>
  <c r="G968" i="4"/>
  <c r="H968" i="4"/>
  <c r="I968" i="4"/>
  <c r="J968" i="4"/>
  <c r="K968" i="4"/>
  <c r="L968" i="4"/>
  <c r="M968" i="4"/>
  <c r="N968" i="4"/>
  <c r="O968" i="4"/>
  <c r="D535" i="4"/>
  <c r="E535" i="4"/>
  <c r="F535" i="4"/>
  <c r="G535" i="4"/>
  <c r="H535" i="4"/>
  <c r="I535" i="4"/>
  <c r="J535" i="4"/>
  <c r="K535" i="4"/>
  <c r="L535" i="4"/>
  <c r="M535" i="4"/>
  <c r="N535" i="4"/>
  <c r="O535" i="4"/>
  <c r="D536" i="4"/>
  <c r="E536" i="4"/>
  <c r="F536" i="4"/>
  <c r="G536" i="4"/>
  <c r="H536" i="4"/>
  <c r="I536" i="4"/>
  <c r="J536" i="4"/>
  <c r="K536" i="4"/>
  <c r="L536" i="4"/>
  <c r="M536" i="4"/>
  <c r="N536" i="4"/>
  <c r="O536" i="4"/>
  <c r="D969" i="4"/>
  <c r="E969" i="4"/>
  <c r="F969" i="4"/>
  <c r="G969" i="4"/>
  <c r="H969" i="4"/>
  <c r="I969" i="4"/>
  <c r="J969" i="4"/>
  <c r="K969" i="4"/>
  <c r="L969" i="4"/>
  <c r="M969" i="4"/>
  <c r="N969" i="4"/>
  <c r="O969" i="4"/>
  <c r="D970" i="4"/>
  <c r="E970" i="4"/>
  <c r="F970" i="4"/>
  <c r="G970" i="4"/>
  <c r="H970" i="4"/>
  <c r="I970" i="4"/>
  <c r="J970" i="4"/>
  <c r="K970" i="4"/>
  <c r="L970" i="4"/>
  <c r="M970" i="4"/>
  <c r="N970" i="4"/>
  <c r="O970" i="4"/>
  <c r="D537" i="4"/>
  <c r="E537" i="4"/>
  <c r="F537" i="4"/>
  <c r="G537" i="4"/>
  <c r="H537" i="4"/>
  <c r="I537" i="4"/>
  <c r="J537" i="4"/>
  <c r="K537" i="4"/>
  <c r="L537" i="4"/>
  <c r="M537" i="4"/>
  <c r="N537" i="4"/>
  <c r="O537" i="4"/>
  <c r="D538" i="4"/>
  <c r="E538" i="4"/>
  <c r="F538" i="4"/>
  <c r="G538" i="4"/>
  <c r="H538" i="4"/>
  <c r="I538" i="4"/>
  <c r="J538" i="4"/>
  <c r="K538" i="4"/>
  <c r="L538" i="4"/>
  <c r="M538" i="4"/>
  <c r="N538" i="4"/>
  <c r="O538" i="4"/>
  <c r="D971" i="4"/>
  <c r="E971" i="4"/>
  <c r="F971" i="4"/>
  <c r="G971" i="4"/>
  <c r="H971" i="4"/>
  <c r="I971" i="4"/>
  <c r="J971" i="4"/>
  <c r="K971" i="4"/>
  <c r="L971" i="4"/>
  <c r="M971" i="4"/>
  <c r="N971" i="4"/>
  <c r="O971" i="4"/>
  <c r="D539" i="4"/>
  <c r="E539" i="4"/>
  <c r="F539" i="4"/>
  <c r="G539" i="4"/>
  <c r="H539" i="4"/>
  <c r="I539" i="4"/>
  <c r="J539" i="4"/>
  <c r="K539" i="4"/>
  <c r="L539" i="4"/>
  <c r="M539" i="4"/>
  <c r="N539" i="4"/>
  <c r="O539" i="4"/>
  <c r="D540" i="4"/>
  <c r="E540" i="4"/>
  <c r="F540" i="4"/>
  <c r="G540" i="4"/>
  <c r="H540" i="4"/>
  <c r="I540" i="4"/>
  <c r="J540" i="4"/>
  <c r="K540" i="4"/>
  <c r="L540" i="4"/>
  <c r="M540" i="4"/>
  <c r="N540" i="4"/>
  <c r="O540" i="4"/>
  <c r="D541" i="4"/>
  <c r="E541" i="4"/>
  <c r="F541" i="4"/>
  <c r="G541" i="4"/>
  <c r="H541" i="4"/>
  <c r="I541" i="4"/>
  <c r="J541" i="4"/>
  <c r="K541" i="4"/>
  <c r="L541" i="4"/>
  <c r="M541" i="4"/>
  <c r="N541" i="4"/>
  <c r="O541" i="4"/>
  <c r="D542" i="4"/>
  <c r="E542" i="4"/>
  <c r="F542" i="4"/>
  <c r="G542" i="4"/>
  <c r="H542" i="4"/>
  <c r="I542" i="4"/>
  <c r="J542" i="4"/>
  <c r="K542" i="4"/>
  <c r="L542" i="4"/>
  <c r="M542" i="4"/>
  <c r="N542" i="4"/>
  <c r="O542" i="4"/>
  <c r="D543" i="4"/>
  <c r="E543" i="4"/>
  <c r="F543" i="4"/>
  <c r="G543" i="4"/>
  <c r="H543" i="4"/>
  <c r="I543" i="4"/>
  <c r="J543" i="4"/>
  <c r="K543" i="4"/>
  <c r="L543" i="4"/>
  <c r="M543" i="4"/>
  <c r="N543" i="4"/>
  <c r="O543" i="4"/>
  <c r="D972" i="4"/>
  <c r="E972" i="4"/>
  <c r="F972" i="4"/>
  <c r="G972" i="4"/>
  <c r="H972" i="4"/>
  <c r="I972" i="4"/>
  <c r="J972" i="4"/>
  <c r="K972" i="4"/>
  <c r="L972" i="4"/>
  <c r="M972" i="4"/>
  <c r="N972" i="4"/>
  <c r="O972" i="4"/>
  <c r="D544" i="4"/>
  <c r="E544" i="4"/>
  <c r="F544" i="4"/>
  <c r="G544" i="4"/>
  <c r="H544" i="4"/>
  <c r="I544" i="4"/>
  <c r="J544" i="4"/>
  <c r="K544" i="4"/>
  <c r="L544" i="4"/>
  <c r="M544" i="4"/>
  <c r="N544" i="4"/>
  <c r="O544" i="4"/>
  <c r="D973" i="4"/>
  <c r="E973" i="4"/>
  <c r="F973" i="4"/>
  <c r="G973" i="4"/>
  <c r="H973" i="4"/>
  <c r="I973" i="4"/>
  <c r="J973" i="4"/>
  <c r="K973" i="4"/>
  <c r="L973" i="4"/>
  <c r="M973" i="4"/>
  <c r="N973" i="4"/>
  <c r="O973" i="4"/>
  <c r="D545" i="4"/>
  <c r="E545" i="4"/>
  <c r="F545" i="4"/>
  <c r="G545" i="4"/>
  <c r="H545" i="4"/>
  <c r="I545" i="4"/>
  <c r="J545" i="4"/>
  <c r="K545" i="4"/>
  <c r="L545" i="4"/>
  <c r="M545" i="4"/>
  <c r="N545" i="4"/>
  <c r="O545" i="4"/>
  <c r="D546" i="4"/>
  <c r="E546" i="4"/>
  <c r="F546" i="4"/>
  <c r="G546" i="4"/>
  <c r="H546" i="4"/>
  <c r="I546" i="4"/>
  <c r="J546" i="4"/>
  <c r="K546" i="4"/>
  <c r="L546" i="4"/>
  <c r="M546" i="4"/>
  <c r="N546" i="4"/>
  <c r="O546" i="4"/>
  <c r="D547" i="4"/>
  <c r="E547" i="4"/>
  <c r="F547" i="4"/>
  <c r="G547" i="4"/>
  <c r="H547" i="4"/>
  <c r="I547" i="4"/>
  <c r="J547" i="4"/>
  <c r="K547" i="4"/>
  <c r="L547" i="4"/>
  <c r="M547" i="4"/>
  <c r="N547" i="4"/>
  <c r="O547" i="4"/>
  <c r="D548" i="4"/>
  <c r="E548" i="4"/>
  <c r="F548" i="4"/>
  <c r="G548" i="4"/>
  <c r="H548" i="4"/>
  <c r="I548" i="4"/>
  <c r="J548" i="4"/>
  <c r="K548" i="4"/>
  <c r="L548" i="4"/>
  <c r="M548" i="4"/>
  <c r="N548" i="4"/>
  <c r="O548" i="4"/>
  <c r="D549" i="4"/>
  <c r="E549" i="4"/>
  <c r="F549" i="4"/>
  <c r="G549" i="4"/>
  <c r="H549" i="4"/>
  <c r="I549" i="4"/>
  <c r="J549" i="4"/>
  <c r="K549" i="4"/>
  <c r="L549" i="4"/>
  <c r="M549" i="4"/>
  <c r="N549" i="4"/>
  <c r="O549" i="4"/>
  <c r="D550" i="4"/>
  <c r="E550" i="4"/>
  <c r="F550" i="4"/>
  <c r="G550" i="4"/>
  <c r="H550" i="4"/>
  <c r="I550" i="4"/>
  <c r="J550" i="4"/>
  <c r="K550" i="4"/>
  <c r="L550" i="4"/>
  <c r="M550" i="4"/>
  <c r="N550" i="4"/>
  <c r="O550" i="4"/>
  <c r="D974" i="4"/>
  <c r="E974" i="4"/>
  <c r="F974" i="4"/>
  <c r="G974" i="4"/>
  <c r="H974" i="4"/>
  <c r="I974" i="4"/>
  <c r="J974" i="4"/>
  <c r="K974" i="4"/>
  <c r="L974" i="4"/>
  <c r="M974" i="4"/>
  <c r="N974" i="4"/>
  <c r="O974" i="4"/>
  <c r="D551" i="4"/>
  <c r="E551" i="4"/>
  <c r="F551" i="4"/>
  <c r="G551" i="4"/>
  <c r="H551" i="4"/>
  <c r="I551" i="4"/>
  <c r="J551" i="4"/>
  <c r="K551" i="4"/>
  <c r="L551" i="4"/>
  <c r="M551" i="4"/>
  <c r="N551" i="4"/>
  <c r="O551" i="4"/>
  <c r="D552" i="4"/>
  <c r="E552" i="4"/>
  <c r="F552" i="4"/>
  <c r="G552" i="4"/>
  <c r="H552" i="4"/>
  <c r="I552" i="4"/>
  <c r="J552" i="4"/>
  <c r="K552" i="4"/>
  <c r="L552" i="4"/>
  <c r="M552" i="4"/>
  <c r="N552" i="4"/>
  <c r="O552" i="4"/>
  <c r="D975" i="4"/>
  <c r="E975" i="4"/>
  <c r="F975" i="4"/>
  <c r="G975" i="4"/>
  <c r="H975" i="4"/>
  <c r="I975" i="4"/>
  <c r="J975" i="4"/>
  <c r="K975" i="4"/>
  <c r="L975" i="4"/>
  <c r="M975" i="4"/>
  <c r="N975" i="4"/>
  <c r="O975" i="4"/>
  <c r="D976" i="4"/>
  <c r="E976" i="4"/>
  <c r="F976" i="4"/>
  <c r="G976" i="4"/>
  <c r="H976" i="4"/>
  <c r="I976" i="4"/>
  <c r="J976" i="4"/>
  <c r="K976" i="4"/>
  <c r="L976" i="4"/>
  <c r="M976" i="4"/>
  <c r="N976" i="4"/>
  <c r="O976" i="4"/>
  <c r="D977" i="4"/>
  <c r="E977" i="4"/>
  <c r="F977" i="4"/>
  <c r="G977" i="4"/>
  <c r="H977" i="4"/>
  <c r="I977" i="4"/>
  <c r="J977" i="4"/>
  <c r="K977" i="4"/>
  <c r="L977" i="4"/>
  <c r="M977" i="4"/>
  <c r="N977" i="4"/>
  <c r="O977" i="4"/>
  <c r="D978" i="4"/>
  <c r="E978" i="4"/>
  <c r="F978" i="4"/>
  <c r="G978" i="4"/>
  <c r="H978" i="4"/>
  <c r="I978" i="4"/>
  <c r="J978" i="4"/>
  <c r="K978" i="4"/>
  <c r="L978" i="4"/>
  <c r="M978" i="4"/>
  <c r="N978" i="4"/>
  <c r="O978" i="4"/>
  <c r="D553" i="4"/>
  <c r="E553" i="4"/>
  <c r="F553" i="4"/>
  <c r="G553" i="4"/>
  <c r="H553" i="4"/>
  <c r="I553" i="4"/>
  <c r="J553" i="4"/>
  <c r="K553" i="4"/>
  <c r="L553" i="4"/>
  <c r="M553" i="4"/>
  <c r="N553" i="4"/>
  <c r="O553" i="4"/>
  <c r="D554" i="4"/>
  <c r="E554" i="4"/>
  <c r="F554" i="4"/>
  <c r="G554" i="4"/>
  <c r="H554" i="4"/>
  <c r="I554" i="4"/>
  <c r="J554" i="4"/>
  <c r="K554" i="4"/>
  <c r="L554" i="4"/>
  <c r="M554" i="4"/>
  <c r="N554" i="4"/>
  <c r="O554" i="4"/>
  <c r="D555" i="4"/>
  <c r="E555" i="4"/>
  <c r="F555" i="4"/>
  <c r="G555" i="4"/>
  <c r="H555" i="4"/>
  <c r="I555" i="4"/>
  <c r="J555" i="4"/>
  <c r="K555" i="4"/>
  <c r="L555" i="4"/>
  <c r="M555" i="4"/>
  <c r="N555" i="4"/>
  <c r="O555" i="4"/>
  <c r="D556" i="4"/>
  <c r="E556" i="4"/>
  <c r="F556" i="4"/>
  <c r="G556" i="4"/>
  <c r="H556" i="4"/>
  <c r="I556" i="4"/>
  <c r="J556" i="4"/>
  <c r="K556" i="4"/>
  <c r="L556" i="4"/>
  <c r="M556" i="4"/>
  <c r="N556" i="4"/>
  <c r="O556" i="4"/>
  <c r="D557" i="4"/>
  <c r="E557" i="4"/>
  <c r="F557" i="4"/>
  <c r="G557" i="4"/>
  <c r="H557" i="4"/>
  <c r="I557" i="4"/>
  <c r="J557" i="4"/>
  <c r="K557" i="4"/>
  <c r="L557" i="4"/>
  <c r="M557" i="4"/>
  <c r="N557" i="4"/>
  <c r="O557" i="4"/>
  <c r="D979" i="4"/>
  <c r="E979" i="4"/>
  <c r="F979" i="4"/>
  <c r="G979" i="4"/>
  <c r="H979" i="4"/>
  <c r="I979" i="4"/>
  <c r="J979" i="4"/>
  <c r="K979" i="4"/>
  <c r="L979" i="4"/>
  <c r="M979" i="4"/>
  <c r="N979" i="4"/>
  <c r="O979" i="4"/>
  <c r="D558" i="4"/>
  <c r="E558" i="4"/>
  <c r="F558" i="4"/>
  <c r="G558" i="4"/>
  <c r="H558" i="4"/>
  <c r="I558" i="4"/>
  <c r="J558" i="4"/>
  <c r="K558" i="4"/>
  <c r="L558" i="4"/>
  <c r="M558" i="4"/>
  <c r="N558" i="4"/>
  <c r="O558" i="4"/>
  <c r="D559" i="4"/>
  <c r="E559" i="4"/>
  <c r="F559" i="4"/>
  <c r="G559" i="4"/>
  <c r="H559" i="4"/>
  <c r="I559" i="4"/>
  <c r="J559" i="4"/>
  <c r="K559" i="4"/>
  <c r="L559" i="4"/>
  <c r="M559" i="4"/>
  <c r="N559" i="4"/>
  <c r="O559" i="4"/>
  <c r="D560" i="4"/>
  <c r="E560" i="4"/>
  <c r="F560" i="4"/>
  <c r="G560" i="4"/>
  <c r="H560" i="4"/>
  <c r="I560" i="4"/>
  <c r="J560" i="4"/>
  <c r="K560" i="4"/>
  <c r="L560" i="4"/>
  <c r="M560" i="4"/>
  <c r="N560" i="4"/>
  <c r="O560" i="4"/>
  <c r="D561" i="4"/>
  <c r="E561" i="4"/>
  <c r="F561" i="4"/>
  <c r="G561" i="4"/>
  <c r="H561" i="4"/>
  <c r="I561" i="4"/>
  <c r="J561" i="4"/>
  <c r="K561" i="4"/>
  <c r="L561" i="4"/>
  <c r="M561" i="4"/>
  <c r="N561" i="4"/>
  <c r="O561" i="4"/>
  <c r="D562" i="4"/>
  <c r="E562" i="4"/>
  <c r="F562" i="4"/>
  <c r="G562" i="4"/>
  <c r="H562" i="4"/>
  <c r="I562" i="4"/>
  <c r="J562" i="4"/>
  <c r="K562" i="4"/>
  <c r="L562" i="4"/>
  <c r="M562" i="4"/>
  <c r="N562" i="4"/>
  <c r="O562" i="4"/>
  <c r="D563" i="4"/>
  <c r="E563" i="4"/>
  <c r="F563" i="4"/>
  <c r="G563" i="4"/>
  <c r="H563" i="4"/>
  <c r="I563" i="4"/>
  <c r="J563" i="4"/>
  <c r="K563" i="4"/>
  <c r="L563" i="4"/>
  <c r="M563" i="4"/>
  <c r="N563" i="4"/>
  <c r="O563" i="4"/>
  <c r="D980" i="4"/>
  <c r="E980" i="4"/>
  <c r="F980" i="4"/>
  <c r="G980" i="4"/>
  <c r="H980" i="4"/>
  <c r="I980" i="4"/>
  <c r="J980" i="4"/>
  <c r="K980" i="4"/>
  <c r="L980" i="4"/>
  <c r="M980" i="4"/>
  <c r="N980" i="4"/>
  <c r="O980" i="4"/>
  <c r="D981" i="4"/>
  <c r="E981" i="4"/>
  <c r="F981" i="4"/>
  <c r="G981" i="4"/>
  <c r="H981" i="4"/>
  <c r="I981" i="4"/>
  <c r="J981" i="4"/>
  <c r="K981" i="4"/>
  <c r="L981" i="4"/>
  <c r="M981" i="4"/>
  <c r="N981" i="4"/>
  <c r="O981" i="4"/>
  <c r="D564" i="4"/>
  <c r="E564" i="4"/>
  <c r="F564" i="4"/>
  <c r="G564" i="4"/>
  <c r="H564" i="4"/>
  <c r="I564" i="4"/>
  <c r="J564" i="4"/>
  <c r="K564" i="4"/>
  <c r="L564" i="4"/>
  <c r="M564" i="4"/>
  <c r="N564" i="4"/>
  <c r="O564" i="4"/>
  <c r="D565" i="4"/>
  <c r="E565" i="4"/>
  <c r="F565" i="4"/>
  <c r="G565" i="4"/>
  <c r="H565" i="4"/>
  <c r="I565" i="4"/>
  <c r="J565" i="4"/>
  <c r="K565" i="4"/>
  <c r="L565" i="4"/>
  <c r="M565" i="4"/>
  <c r="N565" i="4"/>
  <c r="O565" i="4"/>
  <c r="D566" i="4"/>
  <c r="E566" i="4"/>
  <c r="F566" i="4"/>
  <c r="G566" i="4"/>
  <c r="H566" i="4"/>
  <c r="I566" i="4"/>
  <c r="J566" i="4"/>
  <c r="K566" i="4"/>
  <c r="L566" i="4"/>
  <c r="M566" i="4"/>
  <c r="N566" i="4"/>
  <c r="O566" i="4"/>
  <c r="D982" i="4"/>
  <c r="E982" i="4"/>
  <c r="F982" i="4"/>
  <c r="G982" i="4"/>
  <c r="H982" i="4"/>
  <c r="I982" i="4"/>
  <c r="J982" i="4"/>
  <c r="K982" i="4"/>
  <c r="L982" i="4"/>
  <c r="M982" i="4"/>
  <c r="N982" i="4"/>
  <c r="O982" i="4"/>
  <c r="D983" i="4"/>
  <c r="E983" i="4"/>
  <c r="F983" i="4"/>
  <c r="G983" i="4"/>
  <c r="H983" i="4"/>
  <c r="I983" i="4"/>
  <c r="J983" i="4"/>
  <c r="K983" i="4"/>
  <c r="L983" i="4"/>
  <c r="M983" i="4"/>
  <c r="N983" i="4"/>
  <c r="O983" i="4"/>
  <c r="D567" i="4"/>
  <c r="E567" i="4"/>
  <c r="F567" i="4"/>
  <c r="G567" i="4"/>
  <c r="H567" i="4"/>
  <c r="I567" i="4"/>
  <c r="J567" i="4"/>
  <c r="K567" i="4"/>
  <c r="L567" i="4"/>
  <c r="M567" i="4"/>
  <c r="N567" i="4"/>
  <c r="O567" i="4"/>
  <c r="D568" i="4"/>
  <c r="E568" i="4"/>
  <c r="F568" i="4"/>
  <c r="G568" i="4"/>
  <c r="H568" i="4"/>
  <c r="I568" i="4"/>
  <c r="J568" i="4"/>
  <c r="K568" i="4"/>
  <c r="L568" i="4"/>
  <c r="M568" i="4"/>
  <c r="N568" i="4"/>
  <c r="O568" i="4"/>
  <c r="D569" i="4"/>
  <c r="E569" i="4"/>
  <c r="F569" i="4"/>
  <c r="G569" i="4"/>
  <c r="H569" i="4"/>
  <c r="I569" i="4"/>
  <c r="J569" i="4"/>
  <c r="K569" i="4"/>
  <c r="L569" i="4"/>
  <c r="M569" i="4"/>
  <c r="N569" i="4"/>
  <c r="O569" i="4"/>
  <c r="D570" i="4"/>
  <c r="E570" i="4"/>
  <c r="F570" i="4"/>
  <c r="G570" i="4"/>
  <c r="H570" i="4"/>
  <c r="I570" i="4"/>
  <c r="J570" i="4"/>
  <c r="K570" i="4"/>
  <c r="L570" i="4"/>
  <c r="M570" i="4"/>
  <c r="N570" i="4"/>
  <c r="O570" i="4"/>
  <c r="D571" i="4"/>
  <c r="E571" i="4"/>
  <c r="F571" i="4"/>
  <c r="G571" i="4"/>
  <c r="H571" i="4"/>
  <c r="I571" i="4"/>
  <c r="J571" i="4"/>
  <c r="K571" i="4"/>
  <c r="L571" i="4"/>
  <c r="M571" i="4"/>
  <c r="N571" i="4"/>
  <c r="O571" i="4"/>
  <c r="D572" i="4"/>
  <c r="E572" i="4"/>
  <c r="F572" i="4"/>
  <c r="G572" i="4"/>
  <c r="H572" i="4"/>
  <c r="I572" i="4"/>
  <c r="J572" i="4"/>
  <c r="K572" i="4"/>
  <c r="L572" i="4"/>
  <c r="M572" i="4"/>
  <c r="N572" i="4"/>
  <c r="O572" i="4"/>
  <c r="D573" i="4"/>
  <c r="E573" i="4"/>
  <c r="F573" i="4"/>
  <c r="G573" i="4"/>
  <c r="H573" i="4"/>
  <c r="I573" i="4"/>
  <c r="J573" i="4"/>
  <c r="K573" i="4"/>
  <c r="L573" i="4"/>
  <c r="M573" i="4"/>
  <c r="N573" i="4"/>
  <c r="O573" i="4"/>
  <c r="D574" i="4"/>
  <c r="E574" i="4"/>
  <c r="F574" i="4"/>
  <c r="G574" i="4"/>
  <c r="H574" i="4"/>
  <c r="I574" i="4"/>
  <c r="J574" i="4"/>
  <c r="K574" i="4"/>
  <c r="L574" i="4"/>
  <c r="M574" i="4"/>
  <c r="N574" i="4"/>
  <c r="O574" i="4"/>
  <c r="D575" i="4"/>
  <c r="E575" i="4"/>
  <c r="F575" i="4"/>
  <c r="G575" i="4"/>
  <c r="H575" i="4"/>
  <c r="I575" i="4"/>
  <c r="J575" i="4"/>
  <c r="K575" i="4"/>
  <c r="L575" i="4"/>
  <c r="M575" i="4"/>
  <c r="N575" i="4"/>
  <c r="O575" i="4"/>
  <c r="D576" i="4"/>
  <c r="E576" i="4"/>
  <c r="F576" i="4"/>
  <c r="G576" i="4"/>
  <c r="H576" i="4"/>
  <c r="I576" i="4"/>
  <c r="J576" i="4"/>
  <c r="K576" i="4"/>
  <c r="L576" i="4"/>
  <c r="M576" i="4"/>
  <c r="N576" i="4"/>
  <c r="O576" i="4"/>
  <c r="D577" i="4"/>
  <c r="E577" i="4"/>
  <c r="F577" i="4"/>
  <c r="G577" i="4"/>
  <c r="H577" i="4"/>
  <c r="I577" i="4"/>
  <c r="J577" i="4"/>
  <c r="K577" i="4"/>
  <c r="L577" i="4"/>
  <c r="M577" i="4"/>
  <c r="N577" i="4"/>
  <c r="O577" i="4"/>
  <c r="D578" i="4"/>
  <c r="E578" i="4"/>
  <c r="F578" i="4"/>
  <c r="G578" i="4"/>
  <c r="H578" i="4"/>
  <c r="I578" i="4"/>
  <c r="J578" i="4"/>
  <c r="K578" i="4"/>
  <c r="L578" i="4"/>
  <c r="M578" i="4"/>
  <c r="N578" i="4"/>
  <c r="O578" i="4"/>
  <c r="D579" i="4"/>
  <c r="E579" i="4"/>
  <c r="F579" i="4"/>
  <c r="G579" i="4"/>
  <c r="H579" i="4"/>
  <c r="I579" i="4"/>
  <c r="J579" i="4"/>
  <c r="K579" i="4"/>
  <c r="L579" i="4"/>
  <c r="M579" i="4"/>
  <c r="N579" i="4"/>
  <c r="O579" i="4"/>
  <c r="D580" i="4"/>
  <c r="E580" i="4"/>
  <c r="F580" i="4"/>
  <c r="G580" i="4"/>
  <c r="H580" i="4"/>
  <c r="I580" i="4"/>
  <c r="J580" i="4"/>
  <c r="K580" i="4"/>
  <c r="L580" i="4"/>
  <c r="M580" i="4"/>
  <c r="N580" i="4"/>
  <c r="O580" i="4"/>
  <c r="D581" i="4"/>
  <c r="E581" i="4"/>
  <c r="F581" i="4"/>
  <c r="G581" i="4"/>
  <c r="H581" i="4"/>
  <c r="I581" i="4"/>
  <c r="J581" i="4"/>
  <c r="K581" i="4"/>
  <c r="L581" i="4"/>
  <c r="M581" i="4"/>
  <c r="N581" i="4"/>
  <c r="O581" i="4"/>
  <c r="D984" i="4"/>
  <c r="E984" i="4"/>
  <c r="F984" i="4"/>
  <c r="G984" i="4"/>
  <c r="H984" i="4"/>
  <c r="I984" i="4"/>
  <c r="J984" i="4"/>
  <c r="K984" i="4"/>
  <c r="L984" i="4"/>
  <c r="M984" i="4"/>
  <c r="N984" i="4"/>
  <c r="O984" i="4"/>
  <c r="D582" i="4"/>
  <c r="E582" i="4"/>
  <c r="F582" i="4"/>
  <c r="G582" i="4"/>
  <c r="H582" i="4"/>
  <c r="I582" i="4"/>
  <c r="J582" i="4"/>
  <c r="K582" i="4"/>
  <c r="L582" i="4"/>
  <c r="M582" i="4"/>
  <c r="N582" i="4"/>
  <c r="O582" i="4"/>
  <c r="D583" i="4"/>
  <c r="E583" i="4"/>
  <c r="F583" i="4"/>
  <c r="G583" i="4"/>
  <c r="H583" i="4"/>
  <c r="I583" i="4"/>
  <c r="J583" i="4"/>
  <c r="K583" i="4"/>
  <c r="L583" i="4"/>
  <c r="M583" i="4"/>
  <c r="N583" i="4"/>
  <c r="O583" i="4"/>
  <c r="D584" i="4"/>
  <c r="E584" i="4"/>
  <c r="F584" i="4"/>
  <c r="G584" i="4"/>
  <c r="H584" i="4"/>
  <c r="I584" i="4"/>
  <c r="J584" i="4"/>
  <c r="K584" i="4"/>
  <c r="L584" i="4"/>
  <c r="M584" i="4"/>
  <c r="N584" i="4"/>
  <c r="O584" i="4"/>
  <c r="D585" i="4"/>
  <c r="E585" i="4"/>
  <c r="F585" i="4"/>
  <c r="G585" i="4"/>
  <c r="H585" i="4"/>
  <c r="I585" i="4"/>
  <c r="J585" i="4"/>
  <c r="K585" i="4"/>
  <c r="L585" i="4"/>
  <c r="M585" i="4"/>
  <c r="N585" i="4"/>
  <c r="O585" i="4"/>
  <c r="D985" i="4"/>
  <c r="E985" i="4"/>
  <c r="F985" i="4"/>
  <c r="G985" i="4"/>
  <c r="H985" i="4"/>
  <c r="I985" i="4"/>
  <c r="J985" i="4"/>
  <c r="K985" i="4"/>
  <c r="L985" i="4"/>
  <c r="M985" i="4"/>
  <c r="N985" i="4"/>
  <c r="O985" i="4"/>
  <c r="D986" i="4"/>
  <c r="E986" i="4"/>
  <c r="F986" i="4"/>
  <c r="G986" i="4"/>
  <c r="H986" i="4"/>
  <c r="I986" i="4"/>
  <c r="J986" i="4"/>
  <c r="K986" i="4"/>
  <c r="L986" i="4"/>
  <c r="M986" i="4"/>
  <c r="N986" i="4"/>
  <c r="O986" i="4"/>
  <c r="D586" i="4"/>
  <c r="E586" i="4"/>
  <c r="F586" i="4"/>
  <c r="G586" i="4"/>
  <c r="H586" i="4"/>
  <c r="I586" i="4"/>
  <c r="J586" i="4"/>
  <c r="K586" i="4"/>
  <c r="L586" i="4"/>
  <c r="M586" i="4"/>
  <c r="N586" i="4"/>
  <c r="O586" i="4"/>
  <c r="D587" i="4"/>
  <c r="E587" i="4"/>
  <c r="F587" i="4"/>
  <c r="G587" i="4"/>
  <c r="H587" i="4"/>
  <c r="I587" i="4"/>
  <c r="J587" i="4"/>
  <c r="K587" i="4"/>
  <c r="L587" i="4"/>
  <c r="M587" i="4"/>
  <c r="N587" i="4"/>
  <c r="O587" i="4"/>
  <c r="D588" i="4"/>
  <c r="E588" i="4"/>
  <c r="F588" i="4"/>
  <c r="G588" i="4"/>
  <c r="H588" i="4"/>
  <c r="I588" i="4"/>
  <c r="J588" i="4"/>
  <c r="K588" i="4"/>
  <c r="L588" i="4"/>
  <c r="M588" i="4"/>
  <c r="N588" i="4"/>
  <c r="O588" i="4"/>
  <c r="D987" i="4"/>
  <c r="E987" i="4"/>
  <c r="F987" i="4"/>
  <c r="G987" i="4"/>
  <c r="H987" i="4"/>
  <c r="I987" i="4"/>
  <c r="J987" i="4"/>
  <c r="K987" i="4"/>
  <c r="L987" i="4"/>
  <c r="M987" i="4"/>
  <c r="N987" i="4"/>
  <c r="O987" i="4"/>
  <c r="D589" i="4"/>
  <c r="E589" i="4"/>
  <c r="F589" i="4"/>
  <c r="G589" i="4"/>
  <c r="H589" i="4"/>
  <c r="I589" i="4"/>
  <c r="J589" i="4"/>
  <c r="K589" i="4"/>
  <c r="L589" i="4"/>
  <c r="M589" i="4"/>
  <c r="N589" i="4"/>
  <c r="O589" i="4"/>
  <c r="D590" i="4"/>
  <c r="E590" i="4"/>
  <c r="F590" i="4"/>
  <c r="G590" i="4"/>
  <c r="H590" i="4"/>
  <c r="I590" i="4"/>
  <c r="J590" i="4"/>
  <c r="K590" i="4"/>
  <c r="L590" i="4"/>
  <c r="M590" i="4"/>
  <c r="N590" i="4"/>
  <c r="O590" i="4"/>
  <c r="D591" i="4"/>
  <c r="E591" i="4"/>
  <c r="F591" i="4"/>
  <c r="G591" i="4"/>
  <c r="H591" i="4"/>
  <c r="I591" i="4"/>
  <c r="J591" i="4"/>
  <c r="K591" i="4"/>
  <c r="L591" i="4"/>
  <c r="M591" i="4"/>
  <c r="N591" i="4"/>
  <c r="O591" i="4"/>
  <c r="D592" i="4"/>
  <c r="E592" i="4"/>
  <c r="F592" i="4"/>
  <c r="G592" i="4"/>
  <c r="H592" i="4"/>
  <c r="I592" i="4"/>
  <c r="J592" i="4"/>
  <c r="K592" i="4"/>
  <c r="L592" i="4"/>
  <c r="M592" i="4"/>
  <c r="N592" i="4"/>
  <c r="O592" i="4"/>
  <c r="D593" i="4"/>
  <c r="E593" i="4"/>
  <c r="F593" i="4"/>
  <c r="G593" i="4"/>
  <c r="H593" i="4"/>
  <c r="I593" i="4"/>
  <c r="J593" i="4"/>
  <c r="K593" i="4"/>
  <c r="L593" i="4"/>
  <c r="M593" i="4"/>
  <c r="N593" i="4"/>
  <c r="O593" i="4"/>
  <c r="D594" i="4"/>
  <c r="E594" i="4"/>
  <c r="F594" i="4"/>
  <c r="G594" i="4"/>
  <c r="H594" i="4"/>
  <c r="I594" i="4"/>
  <c r="J594" i="4"/>
  <c r="K594" i="4"/>
  <c r="L594" i="4"/>
  <c r="M594" i="4"/>
  <c r="N594" i="4"/>
  <c r="O594" i="4"/>
  <c r="D988" i="4"/>
  <c r="E988" i="4"/>
  <c r="F988" i="4"/>
  <c r="G988" i="4"/>
  <c r="H988" i="4"/>
  <c r="I988" i="4"/>
  <c r="J988" i="4"/>
  <c r="K988" i="4"/>
  <c r="L988" i="4"/>
  <c r="M988" i="4"/>
  <c r="N988" i="4"/>
  <c r="O988" i="4"/>
  <c r="D989" i="4"/>
  <c r="E989" i="4"/>
  <c r="F989" i="4"/>
  <c r="G989" i="4"/>
  <c r="H989" i="4"/>
  <c r="I989" i="4"/>
  <c r="J989" i="4"/>
  <c r="K989" i="4"/>
  <c r="L989" i="4"/>
  <c r="M989" i="4"/>
  <c r="N989" i="4"/>
  <c r="O989" i="4"/>
  <c r="D990" i="4"/>
  <c r="E990" i="4"/>
  <c r="F990" i="4"/>
  <c r="G990" i="4"/>
  <c r="H990" i="4"/>
  <c r="I990" i="4"/>
  <c r="J990" i="4"/>
  <c r="K990" i="4"/>
  <c r="L990" i="4"/>
  <c r="M990" i="4"/>
  <c r="N990" i="4"/>
  <c r="O990" i="4"/>
  <c r="D991" i="4"/>
  <c r="E991" i="4"/>
  <c r="F991" i="4"/>
  <c r="G991" i="4"/>
  <c r="H991" i="4"/>
  <c r="I991" i="4"/>
  <c r="J991" i="4"/>
  <c r="K991" i="4"/>
  <c r="L991" i="4"/>
  <c r="M991" i="4"/>
  <c r="N991" i="4"/>
  <c r="O991" i="4"/>
  <c r="D992" i="4"/>
  <c r="E992" i="4"/>
  <c r="F992" i="4"/>
  <c r="G992" i="4"/>
  <c r="H992" i="4"/>
  <c r="I992" i="4"/>
  <c r="J992" i="4"/>
  <c r="K992" i="4"/>
  <c r="L992" i="4"/>
  <c r="M992" i="4"/>
  <c r="N992" i="4"/>
  <c r="O992" i="4"/>
  <c r="D993" i="4"/>
  <c r="E993" i="4"/>
  <c r="F993" i="4"/>
  <c r="G993" i="4"/>
  <c r="H993" i="4"/>
  <c r="I993" i="4"/>
  <c r="J993" i="4"/>
  <c r="K993" i="4"/>
  <c r="L993" i="4"/>
  <c r="M993" i="4"/>
  <c r="N993" i="4"/>
  <c r="O993" i="4"/>
  <c r="D595" i="4"/>
  <c r="E595" i="4"/>
  <c r="F595" i="4"/>
  <c r="G595" i="4"/>
  <c r="H595" i="4"/>
  <c r="I595" i="4"/>
  <c r="J595" i="4"/>
  <c r="K595" i="4"/>
  <c r="L595" i="4"/>
  <c r="M595" i="4"/>
  <c r="N595" i="4"/>
  <c r="O595" i="4"/>
  <c r="D596" i="4"/>
  <c r="E596" i="4"/>
  <c r="F596" i="4"/>
  <c r="G596" i="4"/>
  <c r="H596" i="4"/>
  <c r="I596" i="4"/>
  <c r="J596" i="4"/>
  <c r="K596" i="4"/>
  <c r="L596" i="4"/>
  <c r="M596" i="4"/>
  <c r="N596" i="4"/>
  <c r="O596" i="4"/>
  <c r="D597" i="4"/>
  <c r="E597" i="4"/>
  <c r="F597" i="4"/>
  <c r="G597" i="4"/>
  <c r="H597" i="4"/>
  <c r="I597" i="4"/>
  <c r="J597" i="4"/>
  <c r="K597" i="4"/>
  <c r="L597" i="4"/>
  <c r="M597" i="4"/>
  <c r="N597" i="4"/>
  <c r="O597" i="4"/>
  <c r="D598" i="4"/>
  <c r="E598" i="4"/>
  <c r="F598" i="4"/>
  <c r="G598" i="4"/>
  <c r="H598" i="4"/>
  <c r="I598" i="4"/>
  <c r="J598" i="4"/>
  <c r="K598" i="4"/>
  <c r="L598" i="4"/>
  <c r="M598" i="4"/>
  <c r="N598" i="4"/>
  <c r="O598" i="4"/>
  <c r="D599" i="4"/>
  <c r="E599" i="4"/>
  <c r="F599" i="4"/>
  <c r="G599" i="4"/>
  <c r="H599" i="4"/>
  <c r="I599" i="4"/>
  <c r="J599" i="4"/>
  <c r="K599" i="4"/>
  <c r="L599" i="4"/>
  <c r="M599" i="4"/>
  <c r="N599" i="4"/>
  <c r="O599" i="4"/>
  <c r="D600" i="4"/>
  <c r="E600" i="4"/>
  <c r="F600" i="4"/>
  <c r="G600" i="4"/>
  <c r="H600" i="4"/>
  <c r="I600" i="4"/>
  <c r="J600" i="4"/>
  <c r="K600" i="4"/>
  <c r="L600" i="4"/>
  <c r="M600" i="4"/>
  <c r="N600" i="4"/>
  <c r="O600" i="4"/>
  <c r="D601" i="4"/>
  <c r="E601" i="4"/>
  <c r="F601" i="4"/>
  <c r="G601" i="4"/>
  <c r="H601" i="4"/>
  <c r="I601" i="4"/>
  <c r="J601" i="4"/>
  <c r="K601" i="4"/>
  <c r="L601" i="4"/>
  <c r="M601" i="4"/>
  <c r="N601" i="4"/>
  <c r="O601" i="4"/>
  <c r="D994" i="4"/>
  <c r="E994" i="4"/>
  <c r="F994" i="4"/>
  <c r="G994" i="4"/>
  <c r="H994" i="4"/>
  <c r="I994" i="4"/>
  <c r="J994" i="4"/>
  <c r="K994" i="4"/>
  <c r="L994" i="4"/>
  <c r="M994" i="4"/>
  <c r="N994" i="4"/>
  <c r="O994" i="4"/>
  <c r="D602" i="4"/>
  <c r="E602" i="4"/>
  <c r="F602" i="4"/>
  <c r="G602" i="4"/>
  <c r="H602" i="4"/>
  <c r="I602" i="4"/>
  <c r="J602" i="4"/>
  <c r="K602" i="4"/>
  <c r="L602" i="4"/>
  <c r="M602" i="4"/>
  <c r="N602" i="4"/>
  <c r="O602" i="4"/>
  <c r="D603" i="4"/>
  <c r="E603" i="4"/>
  <c r="F603" i="4"/>
  <c r="G603" i="4"/>
  <c r="H603" i="4"/>
  <c r="I603" i="4"/>
  <c r="J603" i="4"/>
  <c r="K603" i="4"/>
  <c r="L603" i="4"/>
  <c r="M603" i="4"/>
  <c r="N603" i="4"/>
  <c r="O603" i="4"/>
  <c r="D604" i="4"/>
  <c r="E604" i="4"/>
  <c r="F604" i="4"/>
  <c r="G604" i="4"/>
  <c r="H604" i="4"/>
  <c r="I604" i="4"/>
  <c r="J604" i="4"/>
  <c r="K604" i="4"/>
  <c r="L604" i="4"/>
  <c r="M604" i="4"/>
  <c r="N604" i="4"/>
  <c r="O604" i="4"/>
  <c r="D605" i="4"/>
  <c r="E605" i="4"/>
  <c r="F605" i="4"/>
  <c r="G605" i="4"/>
  <c r="H605" i="4"/>
  <c r="I605" i="4"/>
  <c r="J605" i="4"/>
  <c r="K605" i="4"/>
  <c r="L605" i="4"/>
  <c r="M605" i="4"/>
  <c r="N605" i="4"/>
  <c r="O605" i="4"/>
  <c r="D606" i="4"/>
  <c r="E606" i="4"/>
  <c r="F606" i="4"/>
  <c r="G606" i="4"/>
  <c r="H606" i="4"/>
  <c r="I606" i="4"/>
  <c r="J606" i="4"/>
  <c r="K606" i="4"/>
  <c r="L606" i="4"/>
  <c r="M606" i="4"/>
  <c r="N606" i="4"/>
  <c r="O606" i="4"/>
  <c r="D607" i="4"/>
  <c r="E607" i="4"/>
  <c r="F607" i="4"/>
  <c r="G607" i="4"/>
  <c r="H607" i="4"/>
  <c r="I607" i="4"/>
  <c r="J607" i="4"/>
  <c r="K607" i="4"/>
  <c r="L607" i="4"/>
  <c r="M607" i="4"/>
  <c r="N607" i="4"/>
  <c r="O607" i="4"/>
  <c r="D995" i="4"/>
  <c r="E995" i="4"/>
  <c r="F995" i="4"/>
  <c r="G995" i="4"/>
  <c r="H995" i="4"/>
  <c r="I995" i="4"/>
  <c r="J995" i="4"/>
  <c r="K995" i="4"/>
  <c r="L995" i="4"/>
  <c r="M995" i="4"/>
  <c r="N995" i="4"/>
  <c r="O995" i="4"/>
  <c r="D996" i="4"/>
  <c r="E996" i="4"/>
  <c r="F996" i="4"/>
  <c r="G996" i="4"/>
  <c r="H996" i="4"/>
  <c r="I996" i="4"/>
  <c r="J996" i="4"/>
  <c r="K996" i="4"/>
  <c r="L996" i="4"/>
  <c r="M996" i="4"/>
  <c r="N996" i="4"/>
  <c r="O996" i="4"/>
  <c r="D608" i="4"/>
  <c r="E608" i="4"/>
  <c r="F608" i="4"/>
  <c r="G608" i="4"/>
  <c r="H608" i="4"/>
  <c r="I608" i="4"/>
  <c r="J608" i="4"/>
  <c r="K608" i="4"/>
  <c r="L608" i="4"/>
  <c r="M608" i="4"/>
  <c r="N608" i="4"/>
  <c r="O608" i="4"/>
  <c r="D609" i="4"/>
  <c r="E609" i="4"/>
  <c r="F609" i="4"/>
  <c r="G609" i="4"/>
  <c r="H609" i="4"/>
  <c r="I609" i="4"/>
  <c r="J609" i="4"/>
  <c r="K609" i="4"/>
  <c r="L609" i="4"/>
  <c r="M609" i="4"/>
  <c r="N609" i="4"/>
  <c r="O609" i="4"/>
  <c r="D997" i="4"/>
  <c r="E997" i="4"/>
  <c r="F997" i="4"/>
  <c r="G997" i="4"/>
  <c r="H997" i="4"/>
  <c r="I997" i="4"/>
  <c r="J997" i="4"/>
  <c r="K997" i="4"/>
  <c r="L997" i="4"/>
  <c r="M997" i="4"/>
  <c r="N997" i="4"/>
  <c r="O997" i="4"/>
  <c r="D610" i="4"/>
  <c r="E610" i="4"/>
  <c r="F610" i="4"/>
  <c r="G610" i="4"/>
  <c r="H610" i="4"/>
  <c r="I610" i="4"/>
  <c r="J610" i="4"/>
  <c r="K610" i="4"/>
  <c r="L610" i="4"/>
  <c r="M610" i="4"/>
  <c r="N610" i="4"/>
  <c r="O610" i="4"/>
  <c r="D611" i="4"/>
  <c r="E611" i="4"/>
  <c r="F611" i="4"/>
  <c r="G611" i="4"/>
  <c r="H611" i="4"/>
  <c r="I611" i="4"/>
  <c r="J611" i="4"/>
  <c r="K611" i="4"/>
  <c r="L611" i="4"/>
  <c r="M611" i="4"/>
  <c r="N611" i="4"/>
  <c r="O611" i="4"/>
  <c r="D612" i="4"/>
  <c r="E612" i="4"/>
  <c r="F612" i="4"/>
  <c r="G612" i="4"/>
  <c r="H612" i="4"/>
  <c r="I612" i="4"/>
  <c r="J612" i="4"/>
  <c r="K612" i="4"/>
  <c r="L612" i="4"/>
  <c r="M612" i="4"/>
  <c r="N612" i="4"/>
  <c r="O612" i="4"/>
  <c r="D613" i="4"/>
  <c r="E613" i="4"/>
  <c r="F613" i="4"/>
  <c r="G613" i="4"/>
  <c r="H613" i="4"/>
  <c r="I613" i="4"/>
  <c r="J613" i="4"/>
  <c r="K613" i="4"/>
  <c r="L613" i="4"/>
  <c r="M613" i="4"/>
  <c r="N613" i="4"/>
  <c r="O613" i="4"/>
  <c r="D614" i="4"/>
  <c r="E614" i="4"/>
  <c r="F614" i="4"/>
  <c r="G614" i="4"/>
  <c r="H614" i="4"/>
  <c r="I614" i="4"/>
  <c r="J614" i="4"/>
  <c r="K614" i="4"/>
  <c r="L614" i="4"/>
  <c r="M614" i="4"/>
  <c r="N614" i="4"/>
  <c r="O614" i="4"/>
  <c r="D615" i="4"/>
  <c r="E615" i="4"/>
  <c r="F615" i="4"/>
  <c r="G615" i="4"/>
  <c r="H615" i="4"/>
  <c r="I615" i="4"/>
  <c r="J615" i="4"/>
  <c r="K615" i="4"/>
  <c r="L615" i="4"/>
  <c r="M615" i="4"/>
  <c r="N615" i="4"/>
  <c r="O615" i="4"/>
  <c r="D616" i="4"/>
  <c r="E616" i="4"/>
  <c r="F616" i="4"/>
  <c r="G616" i="4"/>
  <c r="H616" i="4"/>
  <c r="I616" i="4"/>
  <c r="J616" i="4"/>
  <c r="K616" i="4"/>
  <c r="L616" i="4"/>
  <c r="M616" i="4"/>
  <c r="N616" i="4"/>
  <c r="O616" i="4"/>
  <c r="D617" i="4"/>
  <c r="E617" i="4"/>
  <c r="F617" i="4"/>
  <c r="G617" i="4"/>
  <c r="H617" i="4"/>
  <c r="I617" i="4"/>
  <c r="J617" i="4"/>
  <c r="K617" i="4"/>
  <c r="L617" i="4"/>
  <c r="M617" i="4"/>
  <c r="N617" i="4"/>
  <c r="O617" i="4"/>
  <c r="D618" i="4"/>
  <c r="E618" i="4"/>
  <c r="F618" i="4"/>
  <c r="G618" i="4"/>
  <c r="H618" i="4"/>
  <c r="I618" i="4"/>
  <c r="J618" i="4"/>
  <c r="K618" i="4"/>
  <c r="L618" i="4"/>
  <c r="M618" i="4"/>
  <c r="N618" i="4"/>
  <c r="O618" i="4"/>
  <c r="D619" i="4"/>
  <c r="E619" i="4"/>
  <c r="F619" i="4"/>
  <c r="G619" i="4"/>
  <c r="H619" i="4"/>
  <c r="I619" i="4"/>
  <c r="J619" i="4"/>
  <c r="K619" i="4"/>
  <c r="L619" i="4"/>
  <c r="M619" i="4"/>
  <c r="N619" i="4"/>
  <c r="O619" i="4"/>
  <c r="D998" i="4"/>
  <c r="E998" i="4"/>
  <c r="F998" i="4"/>
  <c r="G998" i="4"/>
  <c r="H998" i="4"/>
  <c r="I998" i="4"/>
  <c r="J998" i="4"/>
  <c r="K998" i="4"/>
  <c r="L998" i="4"/>
  <c r="M998" i="4"/>
  <c r="N998" i="4"/>
  <c r="O998" i="4"/>
  <c r="D620" i="4"/>
  <c r="E620" i="4"/>
  <c r="F620" i="4"/>
  <c r="G620" i="4"/>
  <c r="H620" i="4"/>
  <c r="I620" i="4"/>
  <c r="J620" i="4"/>
  <c r="K620" i="4"/>
  <c r="L620" i="4"/>
  <c r="M620" i="4"/>
  <c r="N620" i="4"/>
  <c r="O620" i="4"/>
  <c r="D621" i="4"/>
  <c r="E621" i="4"/>
  <c r="F621" i="4"/>
  <c r="G621" i="4"/>
  <c r="H621" i="4"/>
  <c r="I621" i="4"/>
  <c r="J621" i="4"/>
  <c r="K621" i="4"/>
  <c r="L621" i="4"/>
  <c r="M621" i="4"/>
  <c r="N621" i="4"/>
  <c r="O621" i="4"/>
  <c r="D622" i="4"/>
  <c r="E622" i="4"/>
  <c r="F622" i="4"/>
  <c r="G622" i="4"/>
  <c r="H622" i="4"/>
  <c r="I622" i="4"/>
  <c r="J622" i="4"/>
  <c r="K622" i="4"/>
  <c r="L622" i="4"/>
  <c r="M622" i="4"/>
  <c r="N622" i="4"/>
  <c r="O622" i="4"/>
  <c r="D623" i="4"/>
  <c r="E623" i="4"/>
  <c r="F623" i="4"/>
  <c r="G623" i="4"/>
  <c r="H623" i="4"/>
  <c r="I623" i="4"/>
  <c r="J623" i="4"/>
  <c r="K623" i="4"/>
  <c r="L623" i="4"/>
  <c r="M623" i="4"/>
  <c r="N623" i="4"/>
  <c r="O623" i="4"/>
  <c r="D624" i="4"/>
  <c r="E624" i="4"/>
  <c r="F624" i="4"/>
  <c r="G624" i="4"/>
  <c r="H624" i="4"/>
  <c r="I624" i="4"/>
  <c r="J624" i="4"/>
  <c r="K624" i="4"/>
  <c r="L624" i="4"/>
  <c r="M624" i="4"/>
  <c r="N624" i="4"/>
  <c r="O624" i="4"/>
  <c r="D625" i="4"/>
  <c r="E625" i="4"/>
  <c r="F625" i="4"/>
  <c r="G625" i="4"/>
  <c r="H625" i="4"/>
  <c r="I625" i="4"/>
  <c r="J625" i="4"/>
  <c r="K625" i="4"/>
  <c r="L625" i="4"/>
  <c r="M625" i="4"/>
  <c r="N625" i="4"/>
  <c r="O625" i="4"/>
  <c r="D626" i="4"/>
  <c r="E626" i="4"/>
  <c r="F626" i="4"/>
  <c r="G626" i="4"/>
  <c r="H626" i="4"/>
  <c r="I626" i="4"/>
  <c r="J626" i="4"/>
  <c r="K626" i="4"/>
  <c r="L626" i="4"/>
  <c r="M626" i="4"/>
  <c r="N626" i="4"/>
  <c r="O626" i="4"/>
  <c r="D627" i="4"/>
  <c r="E627" i="4"/>
  <c r="F627" i="4"/>
  <c r="G627" i="4"/>
  <c r="H627" i="4"/>
  <c r="I627" i="4"/>
  <c r="J627" i="4"/>
  <c r="K627" i="4"/>
  <c r="L627" i="4"/>
  <c r="M627" i="4"/>
  <c r="N627" i="4"/>
  <c r="O627" i="4"/>
  <c r="D999" i="4"/>
  <c r="E999" i="4"/>
  <c r="F999" i="4"/>
  <c r="G999" i="4"/>
  <c r="H999" i="4"/>
  <c r="I999" i="4"/>
  <c r="J999" i="4"/>
  <c r="K999" i="4"/>
  <c r="L999" i="4"/>
  <c r="M999" i="4"/>
  <c r="N999" i="4"/>
  <c r="O999" i="4"/>
  <c r="D1000" i="4"/>
  <c r="E1000" i="4"/>
  <c r="F1000" i="4"/>
  <c r="G1000" i="4"/>
  <c r="H1000" i="4"/>
  <c r="I1000" i="4"/>
  <c r="J1000" i="4"/>
  <c r="K1000" i="4"/>
  <c r="L1000" i="4"/>
  <c r="M1000" i="4"/>
  <c r="N1000" i="4"/>
  <c r="O1000" i="4"/>
  <c r="D1001" i="4"/>
  <c r="E1001" i="4"/>
  <c r="F1001" i="4"/>
  <c r="G1001" i="4"/>
  <c r="H1001" i="4"/>
  <c r="I1001" i="4"/>
  <c r="J1001" i="4"/>
  <c r="K1001" i="4"/>
  <c r="L1001" i="4"/>
  <c r="M1001" i="4"/>
  <c r="N1001" i="4"/>
  <c r="O1001" i="4"/>
  <c r="D1002" i="4"/>
  <c r="E1002" i="4"/>
  <c r="F1002" i="4"/>
  <c r="G1002" i="4"/>
  <c r="H1002" i="4"/>
  <c r="I1002" i="4"/>
  <c r="J1002" i="4"/>
  <c r="K1002" i="4"/>
  <c r="L1002" i="4"/>
  <c r="M1002" i="4"/>
  <c r="N1002" i="4"/>
  <c r="O1002" i="4"/>
  <c r="D628" i="4"/>
  <c r="E628" i="4"/>
  <c r="F628" i="4"/>
  <c r="G628" i="4"/>
  <c r="H628" i="4"/>
  <c r="I628" i="4"/>
  <c r="J628" i="4"/>
  <c r="K628" i="4"/>
  <c r="L628" i="4"/>
  <c r="M628" i="4"/>
  <c r="N628" i="4"/>
  <c r="O628" i="4"/>
  <c r="D629" i="4"/>
  <c r="E629" i="4"/>
  <c r="F629" i="4"/>
  <c r="G629" i="4"/>
  <c r="H629" i="4"/>
  <c r="I629" i="4"/>
  <c r="J629" i="4"/>
  <c r="K629" i="4"/>
  <c r="L629" i="4"/>
  <c r="M629" i="4"/>
  <c r="N629" i="4"/>
  <c r="O629" i="4"/>
  <c r="D1003" i="4"/>
  <c r="E1003" i="4"/>
  <c r="F1003" i="4"/>
  <c r="G1003" i="4"/>
  <c r="H1003" i="4"/>
  <c r="I1003" i="4"/>
  <c r="J1003" i="4"/>
  <c r="K1003" i="4"/>
  <c r="L1003" i="4"/>
  <c r="M1003" i="4"/>
  <c r="N1003" i="4"/>
  <c r="O1003" i="4"/>
  <c r="D630" i="4"/>
  <c r="E630" i="4"/>
  <c r="F630" i="4"/>
  <c r="G630" i="4"/>
  <c r="H630" i="4"/>
  <c r="I630" i="4"/>
  <c r="J630" i="4"/>
  <c r="K630" i="4"/>
  <c r="L630" i="4"/>
  <c r="M630" i="4"/>
  <c r="N630" i="4"/>
  <c r="O630" i="4"/>
  <c r="D631" i="4"/>
  <c r="E631" i="4"/>
  <c r="F631" i="4"/>
  <c r="G631" i="4"/>
  <c r="H631" i="4"/>
  <c r="I631" i="4"/>
  <c r="J631" i="4"/>
  <c r="K631" i="4"/>
  <c r="L631" i="4"/>
  <c r="M631" i="4"/>
  <c r="N631" i="4"/>
  <c r="O631" i="4"/>
  <c r="D632" i="4"/>
  <c r="E632" i="4"/>
  <c r="F632" i="4"/>
  <c r="G632" i="4"/>
  <c r="H632" i="4"/>
  <c r="I632" i="4"/>
  <c r="J632" i="4"/>
  <c r="K632" i="4"/>
  <c r="L632" i="4"/>
  <c r="M632" i="4"/>
  <c r="N632" i="4"/>
  <c r="O632" i="4"/>
  <c r="D1004" i="4"/>
  <c r="E1004" i="4"/>
  <c r="F1004" i="4"/>
  <c r="G1004" i="4"/>
  <c r="H1004" i="4"/>
  <c r="I1004" i="4"/>
  <c r="J1004" i="4"/>
  <c r="K1004" i="4"/>
  <c r="L1004" i="4"/>
  <c r="M1004" i="4"/>
  <c r="N1004" i="4"/>
  <c r="O1004" i="4"/>
  <c r="D633" i="4"/>
  <c r="E633" i="4"/>
  <c r="F633" i="4"/>
  <c r="G633" i="4"/>
  <c r="H633" i="4"/>
  <c r="I633" i="4"/>
  <c r="J633" i="4"/>
  <c r="K633" i="4"/>
  <c r="L633" i="4"/>
  <c r="M633" i="4"/>
  <c r="N633" i="4"/>
  <c r="O633" i="4"/>
  <c r="D634" i="4"/>
  <c r="E634" i="4"/>
  <c r="F634" i="4"/>
  <c r="G634" i="4"/>
  <c r="H634" i="4"/>
  <c r="I634" i="4"/>
  <c r="J634" i="4"/>
  <c r="K634" i="4"/>
  <c r="L634" i="4"/>
  <c r="M634" i="4"/>
  <c r="N634" i="4"/>
  <c r="O634" i="4"/>
  <c r="D635" i="4"/>
  <c r="E635" i="4"/>
  <c r="F635" i="4"/>
  <c r="G635" i="4"/>
  <c r="H635" i="4"/>
  <c r="I635" i="4"/>
  <c r="J635" i="4"/>
  <c r="K635" i="4"/>
  <c r="L635" i="4"/>
  <c r="M635" i="4"/>
  <c r="N635" i="4"/>
  <c r="O635" i="4"/>
  <c r="D1005" i="4"/>
  <c r="E1005" i="4"/>
  <c r="F1005" i="4"/>
  <c r="G1005" i="4"/>
  <c r="H1005" i="4"/>
  <c r="I1005" i="4"/>
  <c r="J1005" i="4"/>
  <c r="K1005" i="4"/>
  <c r="L1005" i="4"/>
  <c r="M1005" i="4"/>
  <c r="N1005" i="4"/>
  <c r="O1005" i="4"/>
  <c r="D636" i="4"/>
  <c r="E636" i="4"/>
  <c r="F636" i="4"/>
  <c r="G636" i="4"/>
  <c r="H636" i="4"/>
  <c r="I636" i="4"/>
  <c r="J636" i="4"/>
  <c r="K636" i="4"/>
  <c r="L636" i="4"/>
  <c r="M636" i="4"/>
  <c r="N636" i="4"/>
  <c r="O636" i="4"/>
  <c r="D637" i="4"/>
  <c r="E637" i="4"/>
  <c r="F637" i="4"/>
  <c r="G637" i="4"/>
  <c r="H637" i="4"/>
  <c r="I637" i="4"/>
  <c r="J637" i="4"/>
  <c r="K637" i="4"/>
  <c r="L637" i="4"/>
  <c r="M637" i="4"/>
  <c r="N637" i="4"/>
  <c r="O637" i="4"/>
  <c r="D638" i="4"/>
  <c r="E638" i="4"/>
  <c r="F638" i="4"/>
  <c r="G638" i="4"/>
  <c r="H638" i="4"/>
  <c r="I638" i="4"/>
  <c r="J638" i="4"/>
  <c r="K638" i="4"/>
  <c r="L638" i="4"/>
  <c r="M638" i="4"/>
  <c r="N638" i="4"/>
  <c r="O638" i="4"/>
  <c r="D639" i="4"/>
  <c r="E639" i="4"/>
  <c r="F639" i="4"/>
  <c r="G639" i="4"/>
  <c r="H639" i="4"/>
  <c r="I639" i="4"/>
  <c r="J639" i="4"/>
  <c r="K639" i="4"/>
  <c r="L639" i="4"/>
  <c r="M639" i="4"/>
  <c r="N639" i="4"/>
  <c r="O639" i="4"/>
  <c r="D640" i="4"/>
  <c r="E640" i="4"/>
  <c r="F640" i="4"/>
  <c r="G640" i="4"/>
  <c r="H640" i="4"/>
  <c r="I640" i="4"/>
  <c r="J640" i="4"/>
  <c r="K640" i="4"/>
  <c r="L640" i="4"/>
  <c r="M640" i="4"/>
  <c r="N640" i="4"/>
  <c r="O640" i="4"/>
  <c r="D641" i="4"/>
  <c r="E641" i="4"/>
  <c r="F641" i="4"/>
  <c r="G641" i="4"/>
  <c r="H641" i="4"/>
  <c r="I641" i="4"/>
  <c r="J641" i="4"/>
  <c r="K641" i="4"/>
  <c r="L641" i="4"/>
  <c r="M641" i="4"/>
  <c r="N641" i="4"/>
  <c r="O641" i="4"/>
  <c r="D642" i="4"/>
  <c r="E642" i="4"/>
  <c r="F642" i="4"/>
  <c r="G642" i="4"/>
  <c r="H642" i="4"/>
  <c r="I642" i="4"/>
  <c r="J642" i="4"/>
  <c r="K642" i="4"/>
  <c r="L642" i="4"/>
  <c r="M642" i="4"/>
  <c r="N642" i="4"/>
  <c r="O642" i="4"/>
  <c r="D643" i="4"/>
  <c r="E643" i="4"/>
  <c r="F643" i="4"/>
  <c r="G643" i="4"/>
  <c r="H643" i="4"/>
  <c r="I643" i="4"/>
  <c r="J643" i="4"/>
  <c r="K643" i="4"/>
  <c r="L643" i="4"/>
  <c r="M643" i="4"/>
  <c r="N643" i="4"/>
  <c r="O643" i="4"/>
  <c r="D644" i="4"/>
  <c r="E644" i="4"/>
  <c r="F644" i="4"/>
  <c r="G644" i="4"/>
  <c r="H644" i="4"/>
  <c r="I644" i="4"/>
  <c r="J644" i="4"/>
  <c r="K644" i="4"/>
  <c r="L644" i="4"/>
  <c r="M644" i="4"/>
  <c r="N644" i="4"/>
  <c r="O644" i="4"/>
  <c r="D645" i="4"/>
  <c r="E645" i="4"/>
  <c r="F645" i="4"/>
  <c r="G645" i="4"/>
  <c r="H645" i="4"/>
  <c r="I645" i="4"/>
  <c r="J645" i="4"/>
  <c r="K645" i="4"/>
  <c r="L645" i="4"/>
  <c r="M645" i="4"/>
  <c r="N645" i="4"/>
  <c r="O645" i="4"/>
  <c r="D646" i="4"/>
  <c r="E646" i="4"/>
  <c r="F646" i="4"/>
  <c r="G646" i="4"/>
  <c r="H646" i="4"/>
  <c r="I646" i="4"/>
  <c r="J646" i="4"/>
  <c r="K646" i="4"/>
  <c r="L646" i="4"/>
  <c r="M646" i="4"/>
  <c r="N646" i="4"/>
  <c r="O646" i="4"/>
  <c r="D647" i="4"/>
  <c r="E647" i="4"/>
  <c r="F647" i="4"/>
  <c r="G647" i="4"/>
  <c r="H647" i="4"/>
  <c r="I647" i="4"/>
  <c r="J647" i="4"/>
  <c r="K647" i="4"/>
  <c r="L647" i="4"/>
  <c r="M647" i="4"/>
  <c r="N647" i="4"/>
  <c r="O647" i="4"/>
  <c r="D648" i="4"/>
  <c r="E648" i="4"/>
  <c r="F648" i="4"/>
  <c r="G648" i="4"/>
  <c r="H648" i="4"/>
  <c r="I648" i="4"/>
  <c r="J648" i="4"/>
  <c r="K648" i="4"/>
  <c r="L648" i="4"/>
  <c r="M648" i="4"/>
  <c r="N648" i="4"/>
  <c r="O648" i="4"/>
  <c r="D649" i="4"/>
  <c r="E649" i="4"/>
  <c r="F649" i="4"/>
  <c r="G649" i="4"/>
  <c r="H649" i="4"/>
  <c r="I649" i="4"/>
  <c r="J649" i="4"/>
  <c r="K649" i="4"/>
  <c r="L649" i="4"/>
  <c r="M649" i="4"/>
  <c r="N649" i="4"/>
  <c r="O649" i="4"/>
  <c r="D650" i="4"/>
  <c r="E650" i="4"/>
  <c r="F650" i="4"/>
  <c r="G650" i="4"/>
  <c r="H650" i="4"/>
  <c r="I650" i="4"/>
  <c r="J650" i="4"/>
  <c r="K650" i="4"/>
  <c r="L650" i="4"/>
  <c r="M650" i="4"/>
  <c r="N650" i="4"/>
  <c r="O650" i="4"/>
  <c r="D651" i="4"/>
  <c r="E651" i="4"/>
  <c r="F651" i="4"/>
  <c r="G651" i="4"/>
  <c r="H651" i="4"/>
  <c r="I651" i="4"/>
  <c r="J651" i="4"/>
  <c r="K651" i="4"/>
  <c r="L651" i="4"/>
  <c r="M651" i="4"/>
  <c r="N651" i="4"/>
  <c r="O651" i="4"/>
  <c r="D652" i="4"/>
  <c r="E652" i="4"/>
  <c r="F652" i="4"/>
  <c r="G652" i="4"/>
  <c r="H652" i="4"/>
  <c r="I652" i="4"/>
  <c r="J652" i="4"/>
  <c r="K652" i="4"/>
  <c r="L652" i="4"/>
  <c r="M652" i="4"/>
  <c r="N652" i="4"/>
  <c r="O652" i="4"/>
  <c r="D653" i="4"/>
  <c r="E653" i="4"/>
  <c r="F653" i="4"/>
  <c r="G653" i="4"/>
  <c r="H653" i="4"/>
  <c r="I653" i="4"/>
  <c r="J653" i="4"/>
  <c r="K653" i="4"/>
  <c r="L653" i="4"/>
  <c r="M653" i="4"/>
  <c r="N653" i="4"/>
  <c r="O653" i="4"/>
  <c r="D654" i="4"/>
  <c r="E654" i="4"/>
  <c r="F654" i="4"/>
  <c r="G654" i="4"/>
  <c r="H654" i="4"/>
  <c r="I654" i="4"/>
  <c r="J654" i="4"/>
  <c r="K654" i="4"/>
  <c r="L654" i="4"/>
  <c r="M654" i="4"/>
  <c r="N654" i="4"/>
  <c r="O654" i="4"/>
  <c r="D655" i="4"/>
  <c r="E655" i="4"/>
  <c r="F655" i="4"/>
  <c r="G655" i="4"/>
  <c r="H655" i="4"/>
  <c r="I655" i="4"/>
  <c r="J655" i="4"/>
  <c r="K655" i="4"/>
  <c r="L655" i="4"/>
  <c r="M655" i="4"/>
  <c r="N655" i="4"/>
  <c r="O655" i="4"/>
  <c r="D1006" i="4"/>
  <c r="E1006" i="4"/>
  <c r="F1006" i="4"/>
  <c r="G1006" i="4"/>
  <c r="H1006" i="4"/>
  <c r="I1006" i="4"/>
  <c r="J1006" i="4"/>
  <c r="K1006" i="4"/>
  <c r="L1006" i="4"/>
  <c r="M1006" i="4"/>
  <c r="N1006" i="4"/>
  <c r="O1006" i="4"/>
  <c r="D656" i="4"/>
  <c r="E656" i="4"/>
  <c r="F656" i="4"/>
  <c r="G656" i="4"/>
  <c r="H656" i="4"/>
  <c r="I656" i="4"/>
  <c r="J656" i="4"/>
  <c r="K656" i="4"/>
  <c r="L656" i="4"/>
  <c r="M656" i="4"/>
  <c r="N656" i="4"/>
  <c r="O656" i="4"/>
  <c r="D1007" i="4"/>
  <c r="E1007" i="4"/>
  <c r="F1007" i="4"/>
  <c r="G1007" i="4"/>
  <c r="H1007" i="4"/>
  <c r="I1007" i="4"/>
  <c r="J1007" i="4"/>
  <c r="K1007" i="4"/>
  <c r="L1007" i="4"/>
  <c r="M1007" i="4"/>
  <c r="N1007" i="4"/>
  <c r="O1007" i="4"/>
  <c r="D1008" i="4"/>
  <c r="E1008" i="4"/>
  <c r="F1008" i="4"/>
  <c r="G1008" i="4"/>
  <c r="H1008" i="4"/>
  <c r="I1008" i="4"/>
  <c r="J1008" i="4"/>
  <c r="K1008" i="4"/>
  <c r="L1008" i="4"/>
  <c r="M1008" i="4"/>
  <c r="N1008" i="4"/>
  <c r="O1008" i="4"/>
  <c r="D657" i="4"/>
  <c r="E657" i="4"/>
  <c r="F657" i="4"/>
  <c r="G657" i="4"/>
  <c r="H657" i="4"/>
  <c r="I657" i="4"/>
  <c r="J657" i="4"/>
  <c r="K657" i="4"/>
  <c r="L657" i="4"/>
  <c r="M657" i="4"/>
  <c r="N657" i="4"/>
  <c r="O657" i="4"/>
  <c r="D658" i="4"/>
  <c r="E658" i="4"/>
  <c r="F658" i="4"/>
  <c r="G658" i="4"/>
  <c r="H658" i="4"/>
  <c r="I658" i="4"/>
  <c r="J658" i="4"/>
  <c r="K658" i="4"/>
  <c r="L658" i="4"/>
  <c r="M658" i="4"/>
  <c r="N658" i="4"/>
  <c r="O658" i="4"/>
  <c r="D659" i="4"/>
  <c r="E659" i="4"/>
  <c r="F659" i="4"/>
  <c r="G659" i="4"/>
  <c r="H659" i="4"/>
  <c r="I659" i="4"/>
  <c r="J659" i="4"/>
  <c r="K659" i="4"/>
  <c r="L659" i="4"/>
  <c r="M659" i="4"/>
  <c r="N659" i="4"/>
  <c r="O659" i="4"/>
  <c r="D660" i="4"/>
  <c r="E660" i="4"/>
  <c r="F660" i="4"/>
  <c r="G660" i="4"/>
  <c r="H660" i="4"/>
  <c r="I660" i="4"/>
  <c r="J660" i="4"/>
  <c r="K660" i="4"/>
  <c r="L660" i="4"/>
  <c r="M660" i="4"/>
  <c r="N660" i="4"/>
  <c r="O660" i="4"/>
  <c r="D661" i="4"/>
  <c r="E661" i="4"/>
  <c r="F661" i="4"/>
  <c r="G661" i="4"/>
  <c r="H661" i="4"/>
  <c r="I661" i="4"/>
  <c r="J661" i="4"/>
  <c r="K661" i="4"/>
  <c r="L661" i="4"/>
  <c r="M661" i="4"/>
  <c r="N661" i="4"/>
  <c r="O661" i="4"/>
  <c r="D662" i="4"/>
  <c r="E662" i="4"/>
  <c r="F662" i="4"/>
  <c r="G662" i="4"/>
  <c r="H662" i="4"/>
  <c r="I662" i="4"/>
  <c r="J662" i="4"/>
  <c r="K662" i="4"/>
  <c r="L662" i="4"/>
  <c r="M662" i="4"/>
  <c r="N662" i="4"/>
  <c r="O662" i="4"/>
  <c r="D663" i="4"/>
  <c r="E663" i="4"/>
  <c r="F663" i="4"/>
  <c r="G663" i="4"/>
  <c r="H663" i="4"/>
  <c r="I663" i="4"/>
  <c r="J663" i="4"/>
  <c r="K663" i="4"/>
  <c r="L663" i="4"/>
  <c r="M663" i="4"/>
  <c r="N663" i="4"/>
  <c r="O663" i="4"/>
  <c r="D664" i="4"/>
  <c r="E664" i="4"/>
  <c r="F664" i="4"/>
  <c r="G664" i="4"/>
  <c r="H664" i="4"/>
  <c r="I664" i="4"/>
  <c r="J664" i="4"/>
  <c r="K664" i="4"/>
  <c r="L664" i="4"/>
  <c r="M664" i="4"/>
  <c r="N664" i="4"/>
  <c r="O664" i="4"/>
  <c r="D665" i="4"/>
  <c r="E665" i="4"/>
  <c r="F665" i="4"/>
  <c r="G665" i="4"/>
  <c r="H665" i="4"/>
  <c r="I665" i="4"/>
  <c r="J665" i="4"/>
  <c r="K665" i="4"/>
  <c r="L665" i="4"/>
  <c r="M665" i="4"/>
  <c r="N665" i="4"/>
  <c r="O665" i="4"/>
  <c r="D666" i="4"/>
  <c r="E666" i="4"/>
  <c r="F666" i="4"/>
  <c r="G666" i="4"/>
  <c r="H666" i="4"/>
  <c r="I666" i="4"/>
  <c r="J666" i="4"/>
  <c r="K666" i="4"/>
  <c r="L666" i="4"/>
  <c r="M666" i="4"/>
  <c r="N666" i="4"/>
  <c r="O666" i="4"/>
  <c r="D667" i="4"/>
  <c r="E667" i="4"/>
  <c r="F667" i="4"/>
  <c r="G667" i="4"/>
  <c r="H667" i="4"/>
  <c r="I667" i="4"/>
  <c r="J667" i="4"/>
  <c r="K667" i="4"/>
  <c r="L667" i="4"/>
  <c r="M667" i="4"/>
  <c r="N667" i="4"/>
  <c r="O667" i="4"/>
  <c r="D1009" i="4"/>
  <c r="E1009" i="4"/>
  <c r="F1009" i="4"/>
  <c r="G1009" i="4"/>
  <c r="H1009" i="4"/>
  <c r="I1009" i="4"/>
  <c r="J1009" i="4"/>
  <c r="K1009" i="4"/>
  <c r="L1009" i="4"/>
  <c r="M1009" i="4"/>
  <c r="N1009" i="4"/>
  <c r="O1009" i="4"/>
  <c r="D668" i="4"/>
  <c r="E668" i="4"/>
  <c r="F668" i="4"/>
  <c r="G668" i="4"/>
  <c r="H668" i="4"/>
  <c r="I668" i="4"/>
  <c r="J668" i="4"/>
  <c r="K668" i="4"/>
  <c r="L668" i="4"/>
  <c r="M668" i="4"/>
  <c r="N668" i="4"/>
  <c r="O668" i="4"/>
  <c r="D669" i="4"/>
  <c r="E669" i="4"/>
  <c r="F669" i="4"/>
  <c r="G669" i="4"/>
  <c r="H669" i="4"/>
  <c r="I669" i="4"/>
  <c r="J669" i="4"/>
  <c r="K669" i="4"/>
  <c r="L669" i="4"/>
  <c r="M669" i="4"/>
  <c r="N669" i="4"/>
  <c r="O669" i="4"/>
  <c r="D670" i="4"/>
  <c r="E670" i="4"/>
  <c r="F670" i="4"/>
  <c r="G670" i="4"/>
  <c r="H670" i="4"/>
  <c r="I670" i="4"/>
  <c r="J670" i="4"/>
  <c r="K670" i="4"/>
  <c r="L670" i="4"/>
  <c r="M670" i="4"/>
  <c r="N670" i="4"/>
  <c r="O670" i="4"/>
  <c r="D1010" i="4"/>
  <c r="E1010" i="4"/>
  <c r="F1010" i="4"/>
  <c r="G1010" i="4"/>
  <c r="H1010" i="4"/>
  <c r="I1010" i="4"/>
  <c r="J1010" i="4"/>
  <c r="K1010" i="4"/>
  <c r="L1010" i="4"/>
  <c r="M1010" i="4"/>
  <c r="N1010" i="4"/>
  <c r="O1010" i="4"/>
  <c r="D1011" i="4"/>
  <c r="E1011" i="4"/>
  <c r="F1011" i="4"/>
  <c r="G1011" i="4"/>
  <c r="H1011" i="4"/>
  <c r="I1011" i="4"/>
  <c r="J1011" i="4"/>
  <c r="K1011" i="4"/>
  <c r="L1011" i="4"/>
  <c r="M1011" i="4"/>
  <c r="N1011" i="4"/>
  <c r="O1011" i="4"/>
  <c r="D1012" i="4"/>
  <c r="E1012" i="4"/>
  <c r="F1012" i="4"/>
  <c r="G1012" i="4"/>
  <c r="H1012" i="4"/>
  <c r="I1012" i="4"/>
  <c r="J1012" i="4"/>
  <c r="K1012" i="4"/>
  <c r="L1012" i="4"/>
  <c r="M1012" i="4"/>
  <c r="N1012" i="4"/>
  <c r="O1012" i="4"/>
  <c r="D1013" i="4"/>
  <c r="E1013" i="4"/>
  <c r="F1013" i="4"/>
  <c r="G1013" i="4"/>
  <c r="H1013" i="4"/>
  <c r="I1013" i="4"/>
  <c r="J1013" i="4"/>
  <c r="K1013" i="4"/>
  <c r="L1013" i="4"/>
  <c r="M1013" i="4"/>
  <c r="N1013" i="4"/>
  <c r="O1013" i="4"/>
  <c r="D1014" i="4"/>
  <c r="E1014" i="4"/>
  <c r="F1014" i="4"/>
  <c r="G1014" i="4"/>
  <c r="H1014" i="4"/>
  <c r="I1014" i="4"/>
  <c r="J1014" i="4"/>
  <c r="K1014" i="4"/>
  <c r="L1014" i="4"/>
  <c r="M1014" i="4"/>
  <c r="N1014" i="4"/>
  <c r="O1014" i="4"/>
  <c r="D1015" i="4"/>
  <c r="E1015" i="4"/>
  <c r="F1015" i="4"/>
  <c r="G1015" i="4"/>
  <c r="H1015" i="4"/>
  <c r="I1015" i="4"/>
  <c r="J1015" i="4"/>
  <c r="K1015" i="4"/>
  <c r="L1015" i="4"/>
  <c r="M1015" i="4"/>
  <c r="N1015" i="4"/>
  <c r="O1015" i="4"/>
  <c r="D1016" i="4"/>
  <c r="E1016" i="4"/>
  <c r="F1016" i="4"/>
  <c r="G1016" i="4"/>
  <c r="H1016" i="4"/>
  <c r="I1016" i="4"/>
  <c r="J1016" i="4"/>
  <c r="K1016" i="4"/>
  <c r="L1016" i="4"/>
  <c r="M1016" i="4"/>
  <c r="N1016" i="4"/>
  <c r="O1016" i="4"/>
  <c r="D1017" i="4"/>
  <c r="E1017" i="4"/>
  <c r="F1017" i="4"/>
  <c r="G1017" i="4"/>
  <c r="H1017" i="4"/>
  <c r="I1017" i="4"/>
  <c r="J1017" i="4"/>
  <c r="K1017" i="4"/>
  <c r="L1017" i="4"/>
  <c r="M1017" i="4"/>
  <c r="N1017" i="4"/>
  <c r="O1017" i="4"/>
  <c r="D1018" i="4"/>
  <c r="E1018" i="4"/>
  <c r="F1018" i="4"/>
  <c r="G1018" i="4"/>
  <c r="H1018" i="4"/>
  <c r="I1018" i="4"/>
  <c r="J1018" i="4"/>
  <c r="K1018" i="4"/>
  <c r="L1018" i="4"/>
  <c r="M1018" i="4"/>
  <c r="N1018" i="4"/>
  <c r="O1018" i="4"/>
  <c r="D1019" i="4"/>
  <c r="E1019" i="4"/>
  <c r="F1019" i="4"/>
  <c r="G1019" i="4"/>
  <c r="H1019" i="4"/>
  <c r="I1019" i="4"/>
  <c r="J1019" i="4"/>
  <c r="K1019" i="4"/>
  <c r="L1019" i="4"/>
  <c r="M1019" i="4"/>
  <c r="N1019" i="4"/>
  <c r="O1019" i="4"/>
  <c r="D671" i="4"/>
  <c r="E671" i="4"/>
  <c r="F671" i="4"/>
  <c r="G671" i="4"/>
  <c r="H671" i="4"/>
  <c r="I671" i="4"/>
  <c r="J671" i="4"/>
  <c r="K671" i="4"/>
  <c r="L671" i="4"/>
  <c r="M671" i="4"/>
  <c r="N671" i="4"/>
  <c r="O671" i="4"/>
  <c r="D672" i="4"/>
  <c r="E672" i="4"/>
  <c r="F672" i="4"/>
  <c r="G672" i="4"/>
  <c r="H672" i="4"/>
  <c r="I672" i="4"/>
  <c r="J672" i="4"/>
  <c r="K672" i="4"/>
  <c r="L672" i="4"/>
  <c r="M672" i="4"/>
  <c r="N672" i="4"/>
  <c r="O672" i="4"/>
  <c r="D673" i="4"/>
  <c r="E673" i="4"/>
  <c r="F673" i="4"/>
  <c r="G673" i="4"/>
  <c r="H673" i="4"/>
  <c r="I673" i="4"/>
  <c r="J673" i="4"/>
  <c r="K673" i="4"/>
  <c r="L673" i="4"/>
  <c r="M673" i="4"/>
  <c r="N673" i="4"/>
  <c r="O673" i="4"/>
  <c r="D674" i="4"/>
  <c r="E674" i="4"/>
  <c r="F674" i="4"/>
  <c r="G674" i="4"/>
  <c r="H674" i="4"/>
  <c r="I674" i="4"/>
  <c r="J674" i="4"/>
  <c r="K674" i="4"/>
  <c r="L674" i="4"/>
  <c r="M674" i="4"/>
  <c r="N674" i="4"/>
  <c r="O674" i="4"/>
  <c r="D675" i="4"/>
  <c r="E675" i="4"/>
  <c r="F675" i="4"/>
  <c r="G675" i="4"/>
  <c r="H675" i="4"/>
  <c r="I675" i="4"/>
  <c r="J675" i="4"/>
  <c r="K675" i="4"/>
  <c r="L675" i="4"/>
  <c r="M675" i="4"/>
  <c r="N675" i="4"/>
  <c r="O675" i="4"/>
  <c r="D1020" i="4"/>
  <c r="E1020" i="4"/>
  <c r="F1020" i="4"/>
  <c r="G1020" i="4"/>
  <c r="H1020" i="4"/>
  <c r="I1020" i="4"/>
  <c r="J1020" i="4"/>
  <c r="K1020" i="4"/>
  <c r="L1020" i="4"/>
  <c r="M1020" i="4"/>
  <c r="N1020" i="4"/>
  <c r="O1020" i="4"/>
  <c r="D676" i="4"/>
  <c r="E676" i="4"/>
  <c r="F676" i="4"/>
  <c r="G676" i="4"/>
  <c r="H676" i="4"/>
  <c r="I676" i="4"/>
  <c r="J676" i="4"/>
  <c r="K676" i="4"/>
  <c r="L676" i="4"/>
  <c r="M676" i="4"/>
  <c r="N676" i="4"/>
  <c r="O676" i="4"/>
  <c r="D677" i="4"/>
  <c r="E677" i="4"/>
  <c r="F677" i="4"/>
  <c r="G677" i="4"/>
  <c r="H677" i="4"/>
  <c r="I677" i="4"/>
  <c r="J677" i="4"/>
  <c r="K677" i="4"/>
  <c r="L677" i="4"/>
  <c r="M677" i="4"/>
  <c r="N677" i="4"/>
  <c r="O677" i="4"/>
  <c r="D678" i="4"/>
  <c r="E678" i="4"/>
  <c r="F678" i="4"/>
  <c r="G678" i="4"/>
  <c r="H678" i="4"/>
  <c r="I678" i="4"/>
  <c r="J678" i="4"/>
  <c r="K678" i="4"/>
  <c r="L678" i="4"/>
  <c r="M678" i="4"/>
  <c r="N678" i="4"/>
  <c r="O678" i="4"/>
  <c r="D1021" i="4"/>
  <c r="E1021" i="4"/>
  <c r="F1021" i="4"/>
  <c r="G1021" i="4"/>
  <c r="H1021" i="4"/>
  <c r="I1021" i="4"/>
  <c r="J1021" i="4"/>
  <c r="K1021" i="4"/>
  <c r="L1021" i="4"/>
  <c r="M1021" i="4"/>
  <c r="N1021" i="4"/>
  <c r="O1021" i="4"/>
  <c r="D1022" i="4"/>
  <c r="E1022" i="4"/>
  <c r="F1022" i="4"/>
  <c r="G1022" i="4"/>
  <c r="H1022" i="4"/>
  <c r="I1022" i="4"/>
  <c r="J1022" i="4"/>
  <c r="K1022" i="4"/>
  <c r="L1022" i="4"/>
  <c r="M1022" i="4"/>
  <c r="N1022" i="4"/>
  <c r="O1022" i="4"/>
  <c r="D679" i="4"/>
  <c r="E679" i="4"/>
  <c r="F679" i="4"/>
  <c r="G679" i="4"/>
  <c r="H679" i="4"/>
  <c r="I679" i="4"/>
  <c r="J679" i="4"/>
  <c r="K679" i="4"/>
  <c r="L679" i="4"/>
  <c r="M679" i="4"/>
  <c r="N679" i="4"/>
  <c r="O679" i="4"/>
  <c r="D680" i="4"/>
  <c r="E680" i="4"/>
  <c r="F680" i="4"/>
  <c r="G680" i="4"/>
  <c r="H680" i="4"/>
  <c r="I680" i="4"/>
  <c r="J680" i="4"/>
  <c r="K680" i="4"/>
  <c r="L680" i="4"/>
  <c r="M680" i="4"/>
  <c r="N680" i="4"/>
  <c r="O680" i="4"/>
  <c r="D681" i="4"/>
  <c r="E681" i="4"/>
  <c r="F681" i="4"/>
  <c r="G681" i="4"/>
  <c r="H681" i="4"/>
  <c r="I681" i="4"/>
  <c r="J681" i="4"/>
  <c r="K681" i="4"/>
  <c r="L681" i="4"/>
  <c r="M681" i="4"/>
  <c r="N681" i="4"/>
  <c r="O681" i="4"/>
  <c r="D682" i="4"/>
  <c r="E682" i="4"/>
  <c r="F682" i="4"/>
  <c r="G682" i="4"/>
  <c r="H682" i="4"/>
  <c r="I682" i="4"/>
  <c r="J682" i="4"/>
  <c r="K682" i="4"/>
  <c r="L682" i="4"/>
  <c r="M682" i="4"/>
  <c r="N682" i="4"/>
  <c r="O682" i="4"/>
  <c r="D683" i="4"/>
  <c r="E683" i="4"/>
  <c r="F683" i="4"/>
  <c r="G683" i="4"/>
  <c r="H683" i="4"/>
  <c r="I683" i="4"/>
  <c r="J683" i="4"/>
  <c r="K683" i="4"/>
  <c r="L683" i="4"/>
  <c r="M683" i="4"/>
  <c r="N683" i="4"/>
  <c r="O683" i="4"/>
  <c r="D1023" i="4"/>
  <c r="E1023" i="4"/>
  <c r="F1023" i="4"/>
  <c r="G1023" i="4"/>
  <c r="H1023" i="4"/>
  <c r="I1023" i="4"/>
  <c r="J1023" i="4"/>
  <c r="K1023" i="4"/>
  <c r="L1023" i="4"/>
  <c r="M1023" i="4"/>
  <c r="N1023" i="4"/>
  <c r="O1023" i="4"/>
  <c r="D1024" i="4"/>
  <c r="E1024" i="4"/>
  <c r="F1024" i="4"/>
  <c r="G1024" i="4"/>
  <c r="H1024" i="4"/>
  <c r="I1024" i="4"/>
  <c r="J1024" i="4"/>
  <c r="K1024" i="4"/>
  <c r="L1024" i="4"/>
  <c r="M1024" i="4"/>
  <c r="N1024" i="4"/>
  <c r="O1024" i="4"/>
  <c r="D1025" i="4"/>
  <c r="E1025" i="4"/>
  <c r="F1025" i="4"/>
  <c r="G1025" i="4"/>
  <c r="H1025" i="4"/>
  <c r="I1025" i="4"/>
  <c r="J1025" i="4"/>
  <c r="K1025" i="4"/>
  <c r="L1025" i="4"/>
  <c r="M1025" i="4"/>
  <c r="N1025" i="4"/>
  <c r="O1025" i="4"/>
  <c r="D1026" i="4"/>
  <c r="E1026" i="4"/>
  <c r="F1026" i="4"/>
  <c r="G1026" i="4"/>
  <c r="H1026" i="4"/>
  <c r="I1026" i="4"/>
  <c r="J1026" i="4"/>
  <c r="K1026" i="4"/>
  <c r="L1026" i="4"/>
  <c r="M1026" i="4"/>
  <c r="N1026" i="4"/>
  <c r="O1026" i="4"/>
  <c r="D1027" i="4"/>
  <c r="E1027" i="4"/>
  <c r="F1027" i="4"/>
  <c r="G1027" i="4"/>
  <c r="H1027" i="4"/>
  <c r="I1027" i="4"/>
  <c r="J1027" i="4"/>
  <c r="K1027" i="4"/>
  <c r="L1027" i="4"/>
  <c r="M1027" i="4"/>
  <c r="N1027" i="4"/>
  <c r="O1027" i="4"/>
  <c r="D684" i="4"/>
  <c r="E684" i="4"/>
  <c r="F684" i="4"/>
  <c r="G684" i="4"/>
  <c r="H684" i="4"/>
  <c r="I684" i="4"/>
  <c r="J684" i="4"/>
  <c r="K684" i="4"/>
  <c r="L684" i="4"/>
  <c r="M684" i="4"/>
  <c r="N684" i="4"/>
  <c r="O684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D685" i="4"/>
  <c r="E685" i="4"/>
  <c r="F685" i="4"/>
  <c r="G685" i="4"/>
  <c r="H685" i="4"/>
  <c r="I685" i="4"/>
  <c r="J685" i="4"/>
  <c r="K685" i="4"/>
  <c r="L685" i="4"/>
  <c r="M685" i="4"/>
  <c r="N685" i="4"/>
  <c r="O685" i="4"/>
  <c r="D686" i="4"/>
  <c r="E686" i="4"/>
  <c r="F686" i="4"/>
  <c r="G686" i="4"/>
  <c r="H686" i="4"/>
  <c r="I686" i="4"/>
  <c r="J686" i="4"/>
  <c r="K686" i="4"/>
  <c r="L686" i="4"/>
  <c r="M686" i="4"/>
  <c r="N686" i="4"/>
  <c r="O686" i="4"/>
  <c r="D687" i="4"/>
  <c r="E687" i="4"/>
  <c r="F687" i="4"/>
  <c r="G687" i="4"/>
  <c r="H687" i="4"/>
  <c r="I687" i="4"/>
  <c r="J687" i="4"/>
  <c r="K687" i="4"/>
  <c r="L687" i="4"/>
  <c r="M687" i="4"/>
  <c r="N687" i="4"/>
  <c r="O687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D688" i="4"/>
  <c r="E688" i="4"/>
  <c r="F688" i="4"/>
  <c r="G688" i="4"/>
  <c r="H688" i="4"/>
  <c r="I688" i="4"/>
  <c r="J688" i="4"/>
  <c r="K688" i="4"/>
  <c r="L688" i="4"/>
  <c r="M688" i="4"/>
  <c r="N688" i="4"/>
  <c r="O688" i="4"/>
  <c r="D689" i="4"/>
  <c r="E689" i="4"/>
  <c r="F689" i="4"/>
  <c r="G689" i="4"/>
  <c r="H689" i="4"/>
  <c r="I689" i="4"/>
  <c r="J689" i="4"/>
  <c r="K689" i="4"/>
  <c r="L689" i="4"/>
  <c r="M689" i="4"/>
  <c r="N689" i="4"/>
  <c r="O689" i="4"/>
  <c r="D690" i="4"/>
  <c r="E690" i="4"/>
  <c r="F690" i="4"/>
  <c r="G690" i="4"/>
  <c r="H690" i="4"/>
  <c r="I690" i="4"/>
  <c r="J690" i="4"/>
  <c r="K690" i="4"/>
  <c r="L690" i="4"/>
  <c r="M690" i="4"/>
  <c r="N690" i="4"/>
  <c r="O690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D691" i="4"/>
  <c r="E691" i="4"/>
  <c r="F691" i="4"/>
  <c r="G691" i="4"/>
  <c r="H691" i="4"/>
  <c r="I691" i="4"/>
  <c r="J691" i="4"/>
  <c r="K691" i="4"/>
  <c r="L691" i="4"/>
  <c r="M691" i="4"/>
  <c r="N691" i="4"/>
  <c r="O691" i="4"/>
  <c r="D692" i="4"/>
  <c r="E692" i="4"/>
  <c r="F692" i="4"/>
  <c r="G692" i="4"/>
  <c r="H692" i="4"/>
  <c r="I692" i="4"/>
  <c r="J692" i="4"/>
  <c r="K692" i="4"/>
  <c r="L692" i="4"/>
  <c r="M692" i="4"/>
  <c r="N692" i="4"/>
  <c r="O692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D693" i="4"/>
  <c r="E693" i="4"/>
  <c r="F693" i="4"/>
  <c r="G693" i="4"/>
  <c r="H693" i="4"/>
  <c r="I693" i="4"/>
  <c r="J693" i="4"/>
  <c r="K693" i="4"/>
  <c r="L693" i="4"/>
  <c r="M693" i="4"/>
  <c r="N693" i="4"/>
  <c r="O69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D694" i="4"/>
  <c r="E694" i="4"/>
  <c r="F694" i="4"/>
  <c r="G694" i="4"/>
  <c r="H694" i="4"/>
  <c r="I694" i="4"/>
  <c r="J694" i="4"/>
  <c r="K694" i="4"/>
  <c r="L694" i="4"/>
  <c r="M694" i="4"/>
  <c r="N694" i="4"/>
  <c r="O69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D1028" i="4"/>
  <c r="E1028" i="4"/>
  <c r="F1028" i="4"/>
  <c r="G1028" i="4"/>
  <c r="H1028" i="4"/>
  <c r="I1028" i="4"/>
  <c r="J1028" i="4"/>
  <c r="K1028" i="4"/>
  <c r="L1028" i="4"/>
  <c r="M1028" i="4"/>
  <c r="N1028" i="4"/>
  <c r="O1028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D695" i="4"/>
  <c r="E695" i="4"/>
  <c r="F695" i="4"/>
  <c r="G695" i="4"/>
  <c r="H695" i="4"/>
  <c r="I695" i="4"/>
  <c r="J695" i="4"/>
  <c r="K695" i="4"/>
  <c r="L695" i="4"/>
  <c r="M695" i="4"/>
  <c r="N695" i="4"/>
  <c r="O695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D1029" i="4"/>
  <c r="E1029" i="4"/>
  <c r="F1029" i="4"/>
  <c r="G1029" i="4"/>
  <c r="H1029" i="4"/>
  <c r="I1029" i="4"/>
  <c r="J1029" i="4"/>
  <c r="K1029" i="4"/>
  <c r="L1029" i="4"/>
  <c r="M1029" i="4"/>
  <c r="N1029" i="4"/>
  <c r="O1029" i="4"/>
  <c r="D1030" i="4"/>
  <c r="E1030" i="4"/>
  <c r="F1030" i="4"/>
  <c r="G1030" i="4"/>
  <c r="H1030" i="4"/>
  <c r="I1030" i="4"/>
  <c r="J1030" i="4"/>
  <c r="K1030" i="4"/>
  <c r="L1030" i="4"/>
  <c r="M1030" i="4"/>
  <c r="N1030" i="4"/>
  <c r="O1030" i="4"/>
  <c r="D696" i="4"/>
  <c r="E696" i="4"/>
  <c r="F696" i="4"/>
  <c r="G696" i="4"/>
  <c r="H696" i="4"/>
  <c r="I696" i="4"/>
  <c r="J696" i="4"/>
  <c r="K696" i="4"/>
  <c r="L696" i="4"/>
  <c r="M696" i="4"/>
  <c r="N696" i="4"/>
  <c r="O696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D697" i="4"/>
  <c r="E697" i="4"/>
  <c r="F697" i="4"/>
  <c r="G697" i="4"/>
  <c r="H697" i="4"/>
  <c r="I697" i="4"/>
  <c r="J697" i="4"/>
  <c r="K697" i="4"/>
  <c r="L697" i="4"/>
  <c r="M697" i="4"/>
  <c r="N697" i="4"/>
  <c r="O697" i="4"/>
  <c r="D1031" i="4"/>
  <c r="E1031" i="4"/>
  <c r="F1031" i="4"/>
  <c r="G1031" i="4"/>
  <c r="H1031" i="4"/>
  <c r="I1031" i="4"/>
  <c r="J1031" i="4"/>
  <c r="K1031" i="4"/>
  <c r="L1031" i="4"/>
  <c r="M1031" i="4"/>
  <c r="N1031" i="4"/>
  <c r="O1031" i="4"/>
  <c r="D1032" i="4"/>
  <c r="E1032" i="4"/>
  <c r="F1032" i="4"/>
  <c r="G1032" i="4"/>
  <c r="H1032" i="4"/>
  <c r="I1032" i="4"/>
  <c r="J1032" i="4"/>
  <c r="K1032" i="4"/>
  <c r="L1032" i="4"/>
  <c r="M1032" i="4"/>
  <c r="N1032" i="4"/>
  <c r="O1032" i="4"/>
  <c r="D1033" i="4"/>
  <c r="E1033" i="4"/>
  <c r="F1033" i="4"/>
  <c r="G1033" i="4"/>
  <c r="H1033" i="4"/>
  <c r="I1033" i="4"/>
  <c r="J1033" i="4"/>
  <c r="K1033" i="4"/>
  <c r="L1033" i="4"/>
  <c r="M1033" i="4"/>
  <c r="N1033" i="4"/>
  <c r="O1033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D1034" i="4"/>
  <c r="E1034" i="4"/>
  <c r="F1034" i="4"/>
  <c r="G1034" i="4"/>
  <c r="H1034" i="4"/>
  <c r="I1034" i="4"/>
  <c r="J1034" i="4"/>
  <c r="K1034" i="4"/>
  <c r="L1034" i="4"/>
  <c r="M1034" i="4"/>
  <c r="N1034" i="4"/>
  <c r="O1034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D1035" i="4"/>
  <c r="E1035" i="4"/>
  <c r="F1035" i="4"/>
  <c r="G1035" i="4"/>
  <c r="H1035" i="4"/>
  <c r="I1035" i="4"/>
  <c r="J1035" i="4"/>
  <c r="K1035" i="4"/>
  <c r="L1035" i="4"/>
  <c r="M1035" i="4"/>
  <c r="N1035" i="4"/>
  <c r="O1035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D698" i="4"/>
  <c r="E698" i="4"/>
  <c r="F698" i="4"/>
  <c r="G698" i="4"/>
  <c r="H698" i="4"/>
  <c r="I698" i="4"/>
  <c r="J698" i="4"/>
  <c r="K698" i="4"/>
  <c r="L698" i="4"/>
  <c r="M698" i="4"/>
  <c r="N698" i="4"/>
  <c r="O698" i="4"/>
  <c r="D699" i="4"/>
  <c r="E699" i="4"/>
  <c r="F699" i="4"/>
  <c r="G699" i="4"/>
  <c r="H699" i="4"/>
  <c r="I699" i="4"/>
  <c r="J699" i="4"/>
  <c r="K699" i="4"/>
  <c r="L699" i="4"/>
  <c r="M699" i="4"/>
  <c r="N699" i="4"/>
  <c r="O699" i="4"/>
  <c r="D700" i="4"/>
  <c r="E700" i="4"/>
  <c r="F700" i="4"/>
  <c r="G700" i="4"/>
  <c r="H700" i="4"/>
  <c r="I700" i="4"/>
  <c r="J700" i="4"/>
  <c r="K700" i="4"/>
  <c r="L700" i="4"/>
  <c r="M700" i="4"/>
  <c r="N700" i="4"/>
  <c r="O700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D1036" i="4"/>
  <c r="E1036" i="4"/>
  <c r="F1036" i="4"/>
  <c r="G1036" i="4"/>
  <c r="H1036" i="4"/>
  <c r="I1036" i="4"/>
  <c r="J1036" i="4"/>
  <c r="K1036" i="4"/>
  <c r="L1036" i="4"/>
  <c r="M1036" i="4"/>
  <c r="N1036" i="4"/>
  <c r="O103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D701" i="4"/>
  <c r="E701" i="4"/>
  <c r="F701" i="4"/>
  <c r="G701" i="4"/>
  <c r="H701" i="4"/>
  <c r="I701" i="4"/>
  <c r="J701" i="4"/>
  <c r="K701" i="4"/>
  <c r="L701" i="4"/>
  <c r="M701" i="4"/>
  <c r="N701" i="4"/>
  <c r="O701" i="4"/>
  <c r="D702" i="4"/>
  <c r="E702" i="4"/>
  <c r="F702" i="4"/>
  <c r="G702" i="4"/>
  <c r="H702" i="4"/>
  <c r="I702" i="4"/>
  <c r="J702" i="4"/>
  <c r="K702" i="4"/>
  <c r="L702" i="4"/>
  <c r="M702" i="4"/>
  <c r="N702" i="4"/>
  <c r="O702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D703" i="4"/>
  <c r="E703" i="4"/>
  <c r="F703" i="4"/>
  <c r="G703" i="4"/>
  <c r="H703" i="4"/>
  <c r="I703" i="4"/>
  <c r="J703" i="4"/>
  <c r="K703" i="4"/>
  <c r="L703" i="4"/>
  <c r="M703" i="4"/>
  <c r="N703" i="4"/>
  <c r="O703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D704" i="4"/>
  <c r="E704" i="4"/>
  <c r="F704" i="4"/>
  <c r="G704" i="4"/>
  <c r="H704" i="4"/>
  <c r="I704" i="4"/>
  <c r="J704" i="4"/>
  <c r="K704" i="4"/>
  <c r="L704" i="4"/>
  <c r="M704" i="4"/>
  <c r="N704" i="4"/>
  <c r="O704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D705" i="4"/>
  <c r="E705" i="4"/>
  <c r="F705" i="4"/>
  <c r="G705" i="4"/>
  <c r="H705" i="4"/>
  <c r="I705" i="4"/>
  <c r="J705" i="4"/>
  <c r="K705" i="4"/>
  <c r="L705" i="4"/>
  <c r="M705" i="4"/>
  <c r="N705" i="4"/>
  <c r="O705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D706" i="4"/>
  <c r="E706" i="4"/>
  <c r="F706" i="4"/>
  <c r="G706" i="4"/>
  <c r="H706" i="4"/>
  <c r="I706" i="4"/>
  <c r="J706" i="4"/>
  <c r="K706" i="4"/>
  <c r="L706" i="4"/>
  <c r="M706" i="4"/>
  <c r="N706" i="4"/>
  <c r="O706" i="4"/>
  <c r="D1037" i="4"/>
  <c r="E1037" i="4"/>
  <c r="F1037" i="4"/>
  <c r="G1037" i="4"/>
  <c r="H1037" i="4"/>
  <c r="I1037" i="4"/>
  <c r="J1037" i="4"/>
  <c r="K1037" i="4"/>
  <c r="L1037" i="4"/>
  <c r="M1037" i="4"/>
  <c r="N1037" i="4"/>
  <c r="O1037" i="4"/>
  <c r="D1038" i="4"/>
  <c r="E1038" i="4"/>
  <c r="F1038" i="4"/>
  <c r="G1038" i="4"/>
  <c r="H1038" i="4"/>
  <c r="I1038" i="4"/>
  <c r="J1038" i="4"/>
  <c r="K1038" i="4"/>
  <c r="L1038" i="4"/>
  <c r="M1038" i="4"/>
  <c r="N1038" i="4"/>
  <c r="O1038" i="4"/>
  <c r="D707" i="4"/>
  <c r="E707" i="4"/>
  <c r="F707" i="4"/>
  <c r="G707" i="4"/>
  <c r="H707" i="4"/>
  <c r="I707" i="4"/>
  <c r="J707" i="4"/>
  <c r="K707" i="4"/>
  <c r="L707" i="4"/>
  <c r="M707" i="4"/>
  <c r="N707" i="4"/>
  <c r="O707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D708" i="4"/>
  <c r="E708" i="4"/>
  <c r="F708" i="4"/>
  <c r="G708" i="4"/>
  <c r="H708" i="4"/>
  <c r="I708" i="4"/>
  <c r="J708" i="4"/>
  <c r="K708" i="4"/>
  <c r="L708" i="4"/>
  <c r="M708" i="4"/>
  <c r="N708" i="4"/>
  <c r="O708" i="4"/>
  <c r="D709" i="4"/>
  <c r="E709" i="4"/>
  <c r="F709" i="4"/>
  <c r="G709" i="4"/>
  <c r="H709" i="4"/>
  <c r="I709" i="4"/>
  <c r="J709" i="4"/>
  <c r="K709" i="4"/>
  <c r="L709" i="4"/>
  <c r="M709" i="4"/>
  <c r="N709" i="4"/>
  <c r="O709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D710" i="4"/>
  <c r="E710" i="4"/>
  <c r="F710" i="4"/>
  <c r="G710" i="4"/>
  <c r="H710" i="4"/>
  <c r="I710" i="4"/>
  <c r="J710" i="4"/>
  <c r="K710" i="4"/>
  <c r="L710" i="4"/>
  <c r="M710" i="4"/>
  <c r="N710" i="4"/>
  <c r="O710" i="4"/>
  <c r="D1039" i="4"/>
  <c r="E1039" i="4"/>
  <c r="F1039" i="4"/>
  <c r="G1039" i="4"/>
  <c r="H1039" i="4"/>
  <c r="I1039" i="4"/>
  <c r="J1039" i="4"/>
  <c r="K1039" i="4"/>
  <c r="L1039" i="4"/>
  <c r="M1039" i="4"/>
  <c r="N1039" i="4"/>
  <c r="O1039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D711" i="4"/>
  <c r="E711" i="4"/>
  <c r="F711" i="4"/>
  <c r="G711" i="4"/>
  <c r="H711" i="4"/>
  <c r="I711" i="4"/>
  <c r="J711" i="4"/>
  <c r="K711" i="4"/>
  <c r="L711" i="4"/>
  <c r="M711" i="4"/>
  <c r="N711" i="4"/>
  <c r="O711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D1040" i="4"/>
  <c r="E1040" i="4"/>
  <c r="F1040" i="4"/>
  <c r="G1040" i="4"/>
  <c r="H1040" i="4"/>
  <c r="I1040" i="4"/>
  <c r="J1040" i="4"/>
  <c r="K1040" i="4"/>
  <c r="L1040" i="4"/>
  <c r="M1040" i="4"/>
  <c r="N1040" i="4"/>
  <c r="O1040" i="4"/>
  <c r="D712" i="4"/>
  <c r="E712" i="4"/>
  <c r="F712" i="4"/>
  <c r="G712" i="4"/>
  <c r="H712" i="4"/>
  <c r="I712" i="4"/>
  <c r="J712" i="4"/>
  <c r="K712" i="4"/>
  <c r="L712" i="4"/>
  <c r="M712" i="4"/>
  <c r="N712" i="4"/>
  <c r="O712" i="4"/>
  <c r="D713" i="4"/>
  <c r="E713" i="4"/>
  <c r="F713" i="4"/>
  <c r="G713" i="4"/>
  <c r="H713" i="4"/>
  <c r="I713" i="4"/>
  <c r="J713" i="4"/>
  <c r="K713" i="4"/>
  <c r="L713" i="4"/>
  <c r="M713" i="4"/>
  <c r="N713" i="4"/>
  <c r="O713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D1041" i="4"/>
  <c r="E1041" i="4"/>
  <c r="F1041" i="4"/>
  <c r="G1041" i="4"/>
  <c r="H1041" i="4"/>
  <c r="I1041" i="4"/>
  <c r="J1041" i="4"/>
  <c r="K1041" i="4"/>
  <c r="L1041" i="4"/>
  <c r="M1041" i="4"/>
  <c r="N1041" i="4"/>
  <c r="O1041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D1042" i="4"/>
  <c r="E1042" i="4"/>
  <c r="F1042" i="4"/>
  <c r="G1042" i="4"/>
  <c r="H1042" i="4"/>
  <c r="I1042" i="4"/>
  <c r="J1042" i="4"/>
  <c r="K1042" i="4"/>
  <c r="L1042" i="4"/>
  <c r="M1042" i="4"/>
  <c r="N1042" i="4"/>
  <c r="O1042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D1043" i="4"/>
  <c r="E1043" i="4"/>
  <c r="F1043" i="4"/>
  <c r="G1043" i="4"/>
  <c r="H1043" i="4"/>
  <c r="I1043" i="4"/>
  <c r="J1043" i="4"/>
  <c r="K1043" i="4"/>
  <c r="L1043" i="4"/>
  <c r="M1043" i="4"/>
  <c r="N1043" i="4"/>
  <c r="O1043" i="4"/>
  <c r="D714" i="4"/>
  <c r="E714" i="4"/>
  <c r="F714" i="4"/>
  <c r="G714" i="4"/>
  <c r="H714" i="4"/>
  <c r="I714" i="4"/>
  <c r="J714" i="4"/>
  <c r="K714" i="4"/>
  <c r="L714" i="4"/>
  <c r="M714" i="4"/>
  <c r="N714" i="4"/>
  <c r="O714" i="4"/>
  <c r="D715" i="4"/>
  <c r="E715" i="4"/>
  <c r="F715" i="4"/>
  <c r="G715" i="4"/>
  <c r="H715" i="4"/>
  <c r="I715" i="4"/>
  <c r="J715" i="4"/>
  <c r="K715" i="4"/>
  <c r="L715" i="4"/>
  <c r="M715" i="4"/>
  <c r="N715" i="4"/>
  <c r="O715" i="4"/>
  <c r="D1044" i="4"/>
  <c r="E1044" i="4"/>
  <c r="F1044" i="4"/>
  <c r="G1044" i="4"/>
  <c r="H1044" i="4"/>
  <c r="I1044" i="4"/>
  <c r="J1044" i="4"/>
  <c r="K1044" i="4"/>
  <c r="L1044" i="4"/>
  <c r="M1044" i="4"/>
  <c r="N1044" i="4"/>
  <c r="O1044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D716" i="4"/>
  <c r="E716" i="4"/>
  <c r="F716" i="4"/>
  <c r="G716" i="4"/>
  <c r="H716" i="4"/>
  <c r="I716" i="4"/>
  <c r="J716" i="4"/>
  <c r="K716" i="4"/>
  <c r="L716" i="4"/>
  <c r="M716" i="4"/>
  <c r="N716" i="4"/>
  <c r="O716" i="4"/>
  <c r="D1045" i="4"/>
  <c r="E1045" i="4"/>
  <c r="F1045" i="4"/>
  <c r="G1045" i="4"/>
  <c r="H1045" i="4"/>
  <c r="I1045" i="4"/>
  <c r="J1045" i="4"/>
  <c r="K1045" i="4"/>
  <c r="L1045" i="4"/>
  <c r="M1045" i="4"/>
  <c r="N1045" i="4"/>
  <c r="O1045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D717" i="4"/>
  <c r="E717" i="4"/>
  <c r="F717" i="4"/>
  <c r="G717" i="4"/>
  <c r="H717" i="4"/>
  <c r="I717" i="4"/>
  <c r="J717" i="4"/>
  <c r="K717" i="4"/>
  <c r="L717" i="4"/>
  <c r="M717" i="4"/>
  <c r="N717" i="4"/>
  <c r="O717" i="4"/>
  <c r="D718" i="4"/>
  <c r="E718" i="4"/>
  <c r="F718" i="4"/>
  <c r="G718" i="4"/>
  <c r="H718" i="4"/>
  <c r="I718" i="4"/>
  <c r="J718" i="4"/>
  <c r="K718" i="4"/>
  <c r="L718" i="4"/>
  <c r="M718" i="4"/>
  <c r="N718" i="4"/>
  <c r="O718" i="4"/>
  <c r="D1046" i="4"/>
  <c r="E1046" i="4"/>
  <c r="F1046" i="4"/>
  <c r="G1046" i="4"/>
  <c r="H1046" i="4"/>
  <c r="I1046" i="4"/>
  <c r="J1046" i="4"/>
  <c r="K1046" i="4"/>
  <c r="L1046" i="4"/>
  <c r="M1046" i="4"/>
  <c r="N1046" i="4"/>
  <c r="O1046" i="4"/>
  <c r="D1047" i="4"/>
  <c r="E1047" i="4"/>
  <c r="F1047" i="4"/>
  <c r="G1047" i="4"/>
  <c r="H1047" i="4"/>
  <c r="I1047" i="4"/>
  <c r="J1047" i="4"/>
  <c r="K1047" i="4"/>
  <c r="L1047" i="4"/>
  <c r="M1047" i="4"/>
  <c r="N1047" i="4"/>
  <c r="O1047" i="4"/>
  <c r="D1048" i="4"/>
  <c r="E1048" i="4"/>
  <c r="F1048" i="4"/>
  <c r="G1048" i="4"/>
  <c r="H1048" i="4"/>
  <c r="I1048" i="4"/>
  <c r="J1048" i="4"/>
  <c r="K1048" i="4"/>
  <c r="L1048" i="4"/>
  <c r="M1048" i="4"/>
  <c r="N1048" i="4"/>
  <c r="O1048" i="4"/>
  <c r="D1049" i="4"/>
  <c r="E1049" i="4"/>
  <c r="F1049" i="4"/>
  <c r="G1049" i="4"/>
  <c r="H1049" i="4"/>
  <c r="I1049" i="4"/>
  <c r="J1049" i="4"/>
  <c r="K1049" i="4"/>
  <c r="L1049" i="4"/>
  <c r="M1049" i="4"/>
  <c r="N1049" i="4"/>
  <c r="O1049" i="4"/>
  <c r="D1050" i="4"/>
  <c r="E1050" i="4"/>
  <c r="F1050" i="4"/>
  <c r="G1050" i="4"/>
  <c r="H1050" i="4"/>
  <c r="I1050" i="4"/>
  <c r="J1050" i="4"/>
  <c r="K1050" i="4"/>
  <c r="L1050" i="4"/>
  <c r="M1050" i="4"/>
  <c r="N1050" i="4"/>
  <c r="O1050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D1051" i="4"/>
  <c r="E1051" i="4"/>
  <c r="F1051" i="4"/>
  <c r="G1051" i="4"/>
  <c r="H1051" i="4"/>
  <c r="I1051" i="4"/>
  <c r="J1051" i="4"/>
  <c r="K1051" i="4"/>
  <c r="L1051" i="4"/>
  <c r="M1051" i="4"/>
  <c r="N1051" i="4"/>
  <c r="O1051" i="4"/>
  <c r="D1052" i="4"/>
  <c r="E1052" i="4"/>
  <c r="F1052" i="4"/>
  <c r="G1052" i="4"/>
  <c r="H1052" i="4"/>
  <c r="I1052" i="4"/>
  <c r="J1052" i="4"/>
  <c r="K1052" i="4"/>
  <c r="L1052" i="4"/>
  <c r="M1052" i="4"/>
  <c r="N1052" i="4"/>
  <c r="O1052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D1053" i="4"/>
  <c r="E1053" i="4"/>
  <c r="F1053" i="4"/>
  <c r="G1053" i="4"/>
  <c r="H1053" i="4"/>
  <c r="I1053" i="4"/>
  <c r="J1053" i="4"/>
  <c r="K1053" i="4"/>
  <c r="L1053" i="4"/>
  <c r="M1053" i="4"/>
  <c r="N1053" i="4"/>
  <c r="O1053" i="4"/>
  <c r="D1054" i="4"/>
  <c r="E1054" i="4"/>
  <c r="F1054" i="4"/>
  <c r="G1054" i="4"/>
  <c r="H1054" i="4"/>
  <c r="I1054" i="4"/>
  <c r="J1054" i="4"/>
  <c r="K1054" i="4"/>
  <c r="L1054" i="4"/>
  <c r="M1054" i="4"/>
  <c r="N1054" i="4"/>
  <c r="O1054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D1055" i="4"/>
  <c r="E1055" i="4"/>
  <c r="F1055" i="4"/>
  <c r="G1055" i="4"/>
  <c r="H1055" i="4"/>
  <c r="I1055" i="4"/>
  <c r="J1055" i="4"/>
  <c r="K1055" i="4"/>
  <c r="L1055" i="4"/>
  <c r="M1055" i="4"/>
  <c r="N1055" i="4"/>
  <c r="O1055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D1056" i="4"/>
  <c r="E1056" i="4"/>
  <c r="F1056" i="4"/>
  <c r="G1056" i="4"/>
  <c r="H1056" i="4"/>
  <c r="I1056" i="4"/>
  <c r="J1056" i="4"/>
  <c r="K1056" i="4"/>
  <c r="L1056" i="4"/>
  <c r="M1056" i="4"/>
  <c r="N1056" i="4"/>
  <c r="O1056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D1057" i="4"/>
  <c r="E1057" i="4"/>
  <c r="F1057" i="4"/>
  <c r="G1057" i="4"/>
  <c r="H1057" i="4"/>
  <c r="I1057" i="4"/>
  <c r="J1057" i="4"/>
  <c r="K1057" i="4"/>
  <c r="L1057" i="4"/>
  <c r="M1057" i="4"/>
  <c r="N1057" i="4"/>
  <c r="O1057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D1058" i="4"/>
  <c r="E1058" i="4"/>
  <c r="F1058" i="4"/>
  <c r="G1058" i="4"/>
  <c r="H1058" i="4"/>
  <c r="I1058" i="4"/>
  <c r="J1058" i="4"/>
  <c r="K1058" i="4"/>
  <c r="L1058" i="4"/>
  <c r="M1058" i="4"/>
  <c r="N1058" i="4"/>
  <c r="O1058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D1059" i="4"/>
  <c r="E1059" i="4"/>
  <c r="F1059" i="4"/>
  <c r="G1059" i="4"/>
  <c r="H1059" i="4"/>
  <c r="I1059" i="4"/>
  <c r="J1059" i="4"/>
  <c r="K1059" i="4"/>
  <c r="L1059" i="4"/>
  <c r="M1059" i="4"/>
  <c r="N1059" i="4"/>
  <c r="O1059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D1060" i="4"/>
  <c r="E1060" i="4"/>
  <c r="F1060" i="4"/>
  <c r="G1060" i="4"/>
  <c r="H1060" i="4"/>
  <c r="I1060" i="4"/>
  <c r="J1060" i="4"/>
  <c r="K1060" i="4"/>
  <c r="L1060" i="4"/>
  <c r="M1060" i="4"/>
  <c r="N1060" i="4"/>
  <c r="O1060" i="4"/>
  <c r="D1061" i="4"/>
  <c r="E1061" i="4"/>
  <c r="F1061" i="4"/>
  <c r="G1061" i="4"/>
  <c r="H1061" i="4"/>
  <c r="I1061" i="4"/>
  <c r="J1061" i="4"/>
  <c r="K1061" i="4"/>
  <c r="L1061" i="4"/>
  <c r="M1061" i="4"/>
  <c r="N1061" i="4"/>
  <c r="O1061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D1062" i="4"/>
  <c r="E1062" i="4"/>
  <c r="F1062" i="4"/>
  <c r="G1062" i="4"/>
  <c r="H1062" i="4"/>
  <c r="I1062" i="4"/>
  <c r="J1062" i="4"/>
  <c r="K1062" i="4"/>
  <c r="L1062" i="4"/>
  <c r="M1062" i="4"/>
  <c r="N1062" i="4"/>
  <c r="O1062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D1063" i="4"/>
  <c r="E1063" i="4"/>
  <c r="F1063" i="4"/>
  <c r="G1063" i="4"/>
  <c r="H1063" i="4"/>
  <c r="I1063" i="4"/>
  <c r="J1063" i="4"/>
  <c r="K1063" i="4"/>
  <c r="L1063" i="4"/>
  <c r="M1063" i="4"/>
  <c r="N1063" i="4"/>
  <c r="O1063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D1064" i="4"/>
  <c r="E1064" i="4"/>
  <c r="F1064" i="4"/>
  <c r="G1064" i="4"/>
  <c r="H1064" i="4"/>
  <c r="I1064" i="4"/>
  <c r="J1064" i="4"/>
  <c r="K1064" i="4"/>
  <c r="L1064" i="4"/>
  <c r="M1064" i="4"/>
  <c r="N1064" i="4"/>
  <c r="O1064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D1065" i="4"/>
  <c r="E1065" i="4"/>
  <c r="F1065" i="4"/>
  <c r="G1065" i="4"/>
  <c r="H1065" i="4"/>
  <c r="I1065" i="4"/>
  <c r="J1065" i="4"/>
  <c r="K1065" i="4"/>
  <c r="L1065" i="4"/>
  <c r="M1065" i="4"/>
  <c r="N1065" i="4"/>
  <c r="O1065" i="4"/>
  <c r="D1066" i="4"/>
  <c r="E1066" i="4"/>
  <c r="F1066" i="4"/>
  <c r="G1066" i="4"/>
  <c r="H1066" i="4"/>
  <c r="I1066" i="4"/>
  <c r="J1066" i="4"/>
  <c r="K1066" i="4"/>
  <c r="L1066" i="4"/>
  <c r="M1066" i="4"/>
  <c r="N1066" i="4"/>
  <c r="O1066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D1067" i="4"/>
  <c r="E1067" i="4"/>
  <c r="F1067" i="4"/>
  <c r="G1067" i="4"/>
  <c r="H1067" i="4"/>
  <c r="I1067" i="4"/>
  <c r="J1067" i="4"/>
  <c r="K1067" i="4"/>
  <c r="L1067" i="4"/>
  <c r="M1067" i="4"/>
  <c r="N1067" i="4"/>
  <c r="O1067" i="4"/>
  <c r="D1068" i="4"/>
  <c r="E1068" i="4"/>
  <c r="F1068" i="4"/>
  <c r="G1068" i="4"/>
  <c r="H1068" i="4"/>
  <c r="I1068" i="4"/>
  <c r="J1068" i="4"/>
  <c r="K1068" i="4"/>
  <c r="L1068" i="4"/>
  <c r="M1068" i="4"/>
  <c r="N1068" i="4"/>
  <c r="O1068" i="4"/>
  <c r="D719" i="4"/>
  <c r="E719" i="4"/>
  <c r="F719" i="4"/>
  <c r="G719" i="4"/>
  <c r="H719" i="4"/>
  <c r="I719" i="4"/>
  <c r="J719" i="4"/>
  <c r="K719" i="4"/>
  <c r="L719" i="4"/>
  <c r="M719" i="4"/>
  <c r="N719" i="4"/>
  <c r="O719" i="4"/>
  <c r="D720" i="4"/>
  <c r="E720" i="4"/>
  <c r="F720" i="4"/>
  <c r="G720" i="4"/>
  <c r="H720" i="4"/>
  <c r="I720" i="4"/>
  <c r="J720" i="4"/>
  <c r="K720" i="4"/>
  <c r="L720" i="4"/>
  <c r="M720" i="4"/>
  <c r="N720" i="4"/>
  <c r="O720" i="4"/>
  <c r="D721" i="4"/>
  <c r="E721" i="4"/>
  <c r="F721" i="4"/>
  <c r="G721" i="4"/>
  <c r="H721" i="4"/>
  <c r="I721" i="4"/>
  <c r="J721" i="4"/>
  <c r="K721" i="4"/>
  <c r="L721" i="4"/>
  <c r="M721" i="4"/>
  <c r="N721" i="4"/>
  <c r="O721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D722" i="4"/>
  <c r="E722" i="4"/>
  <c r="F722" i="4"/>
  <c r="G722" i="4"/>
  <c r="H722" i="4"/>
  <c r="I722" i="4"/>
  <c r="J722" i="4"/>
  <c r="K722" i="4"/>
  <c r="L722" i="4"/>
  <c r="M722" i="4"/>
  <c r="N722" i="4"/>
  <c r="O722" i="4"/>
  <c r="D1069" i="4"/>
  <c r="E1069" i="4"/>
  <c r="F1069" i="4"/>
  <c r="G1069" i="4"/>
  <c r="H1069" i="4"/>
  <c r="I1069" i="4"/>
  <c r="J1069" i="4"/>
  <c r="K1069" i="4"/>
  <c r="L1069" i="4"/>
  <c r="M1069" i="4"/>
  <c r="N1069" i="4"/>
  <c r="O1069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D723" i="4"/>
  <c r="E723" i="4"/>
  <c r="F723" i="4"/>
  <c r="G723" i="4"/>
  <c r="H723" i="4"/>
  <c r="I723" i="4"/>
  <c r="J723" i="4"/>
  <c r="K723" i="4"/>
  <c r="L723" i="4"/>
  <c r="M723" i="4"/>
  <c r="N723" i="4"/>
  <c r="O723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D1070" i="4"/>
  <c r="E1070" i="4"/>
  <c r="F1070" i="4"/>
  <c r="G1070" i="4"/>
  <c r="H1070" i="4"/>
  <c r="I1070" i="4"/>
  <c r="J1070" i="4"/>
  <c r="K1070" i="4"/>
  <c r="L1070" i="4"/>
  <c r="M1070" i="4"/>
  <c r="N1070" i="4"/>
  <c r="O1070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D1071" i="4"/>
  <c r="E1071" i="4"/>
  <c r="F1071" i="4"/>
  <c r="G1071" i="4"/>
  <c r="H1071" i="4"/>
  <c r="I1071" i="4"/>
  <c r="J1071" i="4"/>
  <c r="K1071" i="4"/>
  <c r="L1071" i="4"/>
  <c r="M1071" i="4"/>
  <c r="N1071" i="4"/>
  <c r="O1071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D1072" i="4"/>
  <c r="E1072" i="4"/>
  <c r="F1072" i="4"/>
  <c r="G1072" i="4"/>
  <c r="H1072" i="4"/>
  <c r="I1072" i="4"/>
  <c r="J1072" i="4"/>
  <c r="K1072" i="4"/>
  <c r="L1072" i="4"/>
  <c r="M1072" i="4"/>
  <c r="N1072" i="4"/>
  <c r="O107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D1073" i="4"/>
  <c r="E1073" i="4"/>
  <c r="F1073" i="4"/>
  <c r="G1073" i="4"/>
  <c r="H1073" i="4"/>
  <c r="I1073" i="4"/>
  <c r="J1073" i="4"/>
  <c r="K1073" i="4"/>
  <c r="L1073" i="4"/>
  <c r="M1073" i="4"/>
  <c r="N1073" i="4"/>
  <c r="O1073" i="4"/>
  <c r="D1074" i="4"/>
  <c r="E1074" i="4"/>
  <c r="F1074" i="4"/>
  <c r="G1074" i="4"/>
  <c r="H1074" i="4"/>
  <c r="I1074" i="4"/>
  <c r="J1074" i="4"/>
  <c r="K1074" i="4"/>
  <c r="L1074" i="4"/>
  <c r="M1074" i="4"/>
  <c r="N1074" i="4"/>
  <c r="O1074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D1075" i="4"/>
  <c r="E1075" i="4"/>
  <c r="F1075" i="4"/>
  <c r="G1075" i="4"/>
  <c r="H1075" i="4"/>
  <c r="I1075" i="4"/>
  <c r="J1075" i="4"/>
  <c r="K1075" i="4"/>
  <c r="L1075" i="4"/>
  <c r="M1075" i="4"/>
  <c r="N1075" i="4"/>
  <c r="O1075" i="4"/>
  <c r="D1076" i="4"/>
  <c r="E1076" i="4"/>
  <c r="F1076" i="4"/>
  <c r="G1076" i="4"/>
  <c r="H1076" i="4"/>
  <c r="I1076" i="4"/>
  <c r="J1076" i="4"/>
  <c r="K1076" i="4"/>
  <c r="L1076" i="4"/>
  <c r="M1076" i="4"/>
  <c r="N1076" i="4"/>
  <c r="O1076" i="4"/>
  <c r="D1077" i="4"/>
  <c r="E1077" i="4"/>
  <c r="F1077" i="4"/>
  <c r="G1077" i="4"/>
  <c r="H1077" i="4"/>
  <c r="I1077" i="4"/>
  <c r="J1077" i="4"/>
  <c r="K1077" i="4"/>
  <c r="L1077" i="4"/>
  <c r="M1077" i="4"/>
  <c r="N1077" i="4"/>
  <c r="O1077" i="4"/>
  <c r="O319" i="4"/>
  <c r="N319" i="4"/>
  <c r="M319" i="4"/>
  <c r="L319" i="4"/>
  <c r="K319" i="4"/>
  <c r="J319" i="4"/>
  <c r="I319" i="4"/>
  <c r="H319" i="4"/>
  <c r="G319" i="4"/>
  <c r="F319" i="4"/>
  <c r="E319" i="4"/>
  <c r="D319" i="4"/>
</calcChain>
</file>

<file path=xl/sharedStrings.xml><?xml version="1.0" encoding="utf-8"?>
<sst xmlns="http://schemas.openxmlformats.org/spreadsheetml/2006/main" count="11022" uniqueCount="4411">
  <si>
    <t>TGNR_6</t>
  </si>
  <si>
    <t>year</t>
  </si>
  <si>
    <t>Phylogroup_lineage</t>
  </si>
  <si>
    <t>Gender</t>
  </si>
  <si>
    <t>Immunosuppression</t>
  </si>
  <si>
    <t>age</t>
  </si>
  <si>
    <t>papGII</t>
  </si>
  <si>
    <t>CTR_RES</t>
  </si>
  <si>
    <t>Invasiveness</t>
  </si>
  <si>
    <t>ICU.stay</t>
  </si>
  <si>
    <t>thirty_day_mortality_since_sample</t>
  </si>
  <si>
    <t>UTI.symptoms</t>
  </si>
  <si>
    <t>B2-2</t>
  </si>
  <si>
    <t>w</t>
  </si>
  <si>
    <t>invasive</t>
  </si>
  <si>
    <t>D3</t>
  </si>
  <si>
    <t>m</t>
  </si>
  <si>
    <t>B1</t>
  </si>
  <si>
    <t>NA</t>
  </si>
  <si>
    <t>C</t>
  </si>
  <si>
    <t>D1</t>
  </si>
  <si>
    <t>B2-1</t>
  </si>
  <si>
    <t>A</t>
  </si>
  <si>
    <t>F</t>
  </si>
  <si>
    <t>D2</t>
  </si>
  <si>
    <t>G</t>
  </si>
  <si>
    <t>non-invasive</t>
  </si>
  <si>
    <t>E2</t>
  </si>
  <si>
    <t>E1</t>
  </si>
  <si>
    <t>Summe.der.Punkte.for.Charlson.Comorbidity.Index</t>
  </si>
  <si>
    <t>“TGNR</t>
  </si>
  <si>
    <t>6”: 6 digit bacterial strain identifier (xxxxxx)</t>
  </si>
  <si>
    <t>“year”: Year of collection (20yy)</t>
  </si>
  <si>
    <t>These two columns together are how the genomes are labelled: xxxxxx-yy</t>
  </si>
  <si>
    <t>“Phylogroup</t>
  </si>
  <si>
    <t>lineage”: The E. coli phylogroup</t>
  </si>
  <si>
    <t>“Gender”: Sex of the patient (binary w/m)</t>
  </si>
  <si>
    <t>“Immunosuppression”: Whether the patient was immunosuppressed or not (binary 1/0)</t>
  </si>
  <si>
    <t>“Summe.der.Punkte.für.Charlson.Comorbidity.Index”: Sum of the CCI, calculated by Jessica Agnetti (an MD from the University Hospital of Basel)</t>
  </si>
  <si>
    <t>“age”: Age of the patient in years</t>
  </si>
  <si>
    <t>“papGII”: Whether the bacterial strain encoded papGII or not (binary 1/0)</t>
  </si>
  <si>
    <t>“CTR</t>
  </si>
  <si>
    <t>RES”: Whther the bacterial strain was phenotypically tested Ceftriaxone resistant or not (binary 1/0)</t>
  </si>
  <si>
    <t>“Invasiveness”: Whether the patient had a positive E. Coli blood culture within 7 days of collection of the urine sample (binary 1/0)</t>
  </si>
  <si>
    <t>“ICU.stay”: Whether the patient had to be admitted to the ICU during his hospital stay (binary 1/0)</t>
  </si>
  <si>
    <t>“thirty</t>
  </si>
  <si>
    <t>day</t>
  </si>
  <si>
    <t>mortality</t>
  </si>
  <si>
    <t>since</t>
  </si>
  <si>
    <t>sample”: Whether the patint died within 30 days after collection of the sample (binary 1/0)</t>
  </si>
  <si>
    <t>“UTI.symptoms”: Whether the patient experienced typical UTI symptoms</t>
  </si>
  <si>
    <t>sample_accession</t>
  </si>
  <si>
    <t>SAMEA111330839</t>
  </si>
  <si>
    <t>SAMEA111330840</t>
  </si>
  <si>
    <t>SAMEA111330841</t>
  </si>
  <si>
    <t>SAMEA111330842</t>
  </si>
  <si>
    <t>SAMEA111330843</t>
  </si>
  <si>
    <t>SAMEA111330844</t>
  </si>
  <si>
    <t>SAMEA111330845</t>
  </si>
  <si>
    <t>SAMEA111330847</t>
  </si>
  <si>
    <t>SAMEA111330848</t>
  </si>
  <si>
    <t>SAMEA111330849</t>
  </si>
  <si>
    <t>SAMEA111330850</t>
  </si>
  <si>
    <t>SAMEA111330851</t>
  </si>
  <si>
    <t>SAMEA111330852</t>
  </si>
  <si>
    <t>SAMEA111330853</t>
  </si>
  <si>
    <t>SAMEA111330854</t>
  </si>
  <si>
    <t>SAMEA111330855</t>
  </si>
  <si>
    <t>SAMEA111330856</t>
  </si>
  <si>
    <t>SAMEA111330857</t>
  </si>
  <si>
    <t>SAMEA111330858</t>
  </si>
  <si>
    <t>SAMEA111330859</t>
  </si>
  <si>
    <t>SAMEA111330860</t>
  </si>
  <si>
    <t>SAMEA111330861</t>
  </si>
  <si>
    <t>SAMEA111330862</t>
  </si>
  <si>
    <t>SAMEA111330863</t>
  </si>
  <si>
    <t>SAMEA111330864</t>
  </si>
  <si>
    <t>SAMEA111330865</t>
  </si>
  <si>
    <t>SAMEA111330866</t>
  </si>
  <si>
    <t>SAMEA111330867</t>
  </si>
  <si>
    <t>SAMEA111330868</t>
  </si>
  <si>
    <t>SAMEA111330869</t>
  </si>
  <si>
    <t>SAMEA111330870</t>
  </si>
  <si>
    <t>SAMEA111330871</t>
  </si>
  <si>
    <t>SAMEA111330872</t>
  </si>
  <si>
    <t>SAMEA111330873</t>
  </si>
  <si>
    <t>SAMEA111330874</t>
  </si>
  <si>
    <t>SAMEA111330875</t>
  </si>
  <si>
    <t>SAMEA111330876</t>
  </si>
  <si>
    <t>SAMEA111330877</t>
  </si>
  <si>
    <t>SAMEA111330878</t>
  </si>
  <si>
    <t>SAMEA111330879</t>
  </si>
  <si>
    <t>SAMEA111330881</t>
  </si>
  <si>
    <t>SAMEA111330883</t>
  </si>
  <si>
    <t>SAMEA111330884</t>
  </si>
  <si>
    <t>SAMEA111330885</t>
  </si>
  <si>
    <t>SAMEA111330886</t>
  </si>
  <si>
    <t>SAMEA111330888</t>
  </si>
  <si>
    <t>SAMEA111330890</t>
  </si>
  <si>
    <t>SAMEA111330891</t>
  </si>
  <si>
    <t>SAMEA111330892</t>
  </si>
  <si>
    <t>SAMEA111330893</t>
  </si>
  <si>
    <t>SAMEA111330894</t>
  </si>
  <si>
    <t>SAMEA111330895</t>
  </si>
  <si>
    <t>SAMEA111330896</t>
  </si>
  <si>
    <t>SAMEA111330897</t>
  </si>
  <si>
    <t>SAMEA111330898</t>
  </si>
  <si>
    <t>SAMEA111330899</t>
  </si>
  <si>
    <t>SAMEA111330901</t>
  </si>
  <si>
    <t>SAMEA111330902</t>
  </si>
  <si>
    <t>SAMEA111330903</t>
  </si>
  <si>
    <t>SAMEA111330904</t>
  </si>
  <si>
    <t>SAMEA111330905</t>
  </si>
  <si>
    <t>SAMEA111330906</t>
  </si>
  <si>
    <t>SAMEA111330907</t>
  </si>
  <si>
    <t>SAMEA111330908</t>
  </si>
  <si>
    <t>SAMEA111330909</t>
  </si>
  <si>
    <t>SAMEA111330910</t>
  </si>
  <si>
    <t>SAMEA111330911</t>
  </si>
  <si>
    <t>SAMEA111330912</t>
  </si>
  <si>
    <t>SAMEA111330913</t>
  </si>
  <si>
    <t>SAMEA111330917</t>
  </si>
  <si>
    <t>SAMEA111330918</t>
  </si>
  <si>
    <t>SAMEA111330919</t>
  </si>
  <si>
    <t>SAMEA111330920</t>
  </si>
  <si>
    <t>SAMEA111330921</t>
  </si>
  <si>
    <t>SAMEA111330922</t>
  </si>
  <si>
    <t>SAMEA111330923</t>
  </si>
  <si>
    <t>SAMEA111330924</t>
  </si>
  <si>
    <t>SAMEA111330925</t>
  </si>
  <si>
    <t>SAMEA111330927</t>
  </si>
  <si>
    <t>SAMEA111330928</t>
  </si>
  <si>
    <t>SAMEA111330929</t>
  </si>
  <si>
    <t>SAMEA111330930</t>
  </si>
  <si>
    <t>SAMEA111330931</t>
  </si>
  <si>
    <t>SAMEA111330932</t>
  </si>
  <si>
    <t>SAMEA111330933</t>
  </si>
  <si>
    <t>SAMEA111330934</t>
  </si>
  <si>
    <t>SAMEA111330935</t>
  </si>
  <si>
    <t>SAMEA111330936</t>
  </si>
  <si>
    <t>SAMEA111330937</t>
  </si>
  <si>
    <t>SAMEA111330938</t>
  </si>
  <si>
    <t>SAMEA111330939</t>
  </si>
  <si>
    <t>SAMEA111330940</t>
  </si>
  <si>
    <t>SAMEA111330942</t>
  </si>
  <si>
    <t>SAMEA111330943</t>
  </si>
  <si>
    <t>SAMEA111330944</t>
  </si>
  <si>
    <t>SAMEA111330945</t>
  </si>
  <si>
    <t>SAMEA111330946</t>
  </si>
  <si>
    <t>SAMEA111330947</t>
  </si>
  <si>
    <t>SAMEA111330948</t>
  </si>
  <si>
    <t>SAMEA111330949</t>
  </si>
  <si>
    <t>SAMEA111330950</t>
  </si>
  <si>
    <t>SAMEA111330952</t>
  </si>
  <si>
    <t>SAMEA111330954</t>
  </si>
  <si>
    <t>SAMEA111330955</t>
  </si>
  <si>
    <t>SAMEA111330956</t>
  </si>
  <si>
    <t>SAMEA111330957</t>
  </si>
  <si>
    <t>SAMEA111330958</t>
  </si>
  <si>
    <t>SAMEA111330959</t>
  </si>
  <si>
    <t>SAMEA111330960</t>
  </si>
  <si>
    <t>SAMEA111330961</t>
  </si>
  <si>
    <t>SAMEA111330962</t>
  </si>
  <si>
    <t>SAMEA111330963</t>
  </si>
  <si>
    <t>SAMEA111330964</t>
  </si>
  <si>
    <t>SAMEA111330965</t>
  </si>
  <si>
    <t>SAMEA111330966</t>
  </si>
  <si>
    <t>SAMEA111330967</t>
  </si>
  <si>
    <t>SAMEA111330968</t>
  </si>
  <si>
    <t>SAMEA111330969</t>
  </si>
  <si>
    <t>SAMEA111330970</t>
  </si>
  <si>
    <t>SAMEA111330971</t>
  </si>
  <si>
    <t>SAMEA111330972</t>
  </si>
  <si>
    <t>SAMEA111330973</t>
  </si>
  <si>
    <t>SAMEA111330974</t>
  </si>
  <si>
    <t>SAMEA111330975</t>
  </si>
  <si>
    <t>SAMEA111330976</t>
  </si>
  <si>
    <t>SAMEA111330977</t>
  </si>
  <si>
    <t>SAMEA111330978</t>
  </si>
  <si>
    <t>SAMEA111330979</t>
  </si>
  <si>
    <t>SAMEA111330980</t>
  </si>
  <si>
    <t>SAMEA111330981</t>
  </si>
  <si>
    <t>SAMEA111330982</t>
  </si>
  <si>
    <t>SAMEA111330983</t>
  </si>
  <si>
    <t>SAMEA111330984</t>
  </si>
  <si>
    <t>SAMEA111330985</t>
  </si>
  <si>
    <t>SAMEA111330986</t>
  </si>
  <si>
    <t>SAMEA111330987</t>
  </si>
  <si>
    <t>SAMEA111330989</t>
  </si>
  <si>
    <t>SAMEA111330990</t>
  </si>
  <si>
    <t>SAMEA111330991</t>
  </si>
  <si>
    <t>SAMEA111330992</t>
  </si>
  <si>
    <t>SAMEA111330993</t>
  </si>
  <si>
    <t>SAMEA111330994</t>
  </si>
  <si>
    <t>SAMEA111330995</t>
  </si>
  <si>
    <t>SAMEA111330996</t>
  </si>
  <si>
    <t>SAMEA111330997</t>
  </si>
  <si>
    <t>SAMEA111330998</t>
  </si>
  <si>
    <t>SAMEA111330999</t>
  </si>
  <si>
    <t>SAMEA111331000</t>
  </si>
  <si>
    <t>SAMEA111331001</t>
  </si>
  <si>
    <t>SAMEA111331002</t>
  </si>
  <si>
    <t>SAMEA111331003</t>
  </si>
  <si>
    <t>SAMEA111331004</t>
  </si>
  <si>
    <t>SAMEA111331005</t>
  </si>
  <si>
    <t>SAMEA111331006</t>
  </si>
  <si>
    <t>SAMEA111331007</t>
  </si>
  <si>
    <t>SAMEA111331012</t>
  </si>
  <si>
    <t>SAMEA111331018</t>
  </si>
  <si>
    <t>SAMEA111331019</t>
  </si>
  <si>
    <t>SAMEA111331020</t>
  </si>
  <si>
    <t>SAMEA111331021</t>
  </si>
  <si>
    <t>SAMEA111331022</t>
  </si>
  <si>
    <t>SAMEA111331023</t>
  </si>
  <si>
    <t>SAMEA111331024</t>
  </si>
  <si>
    <t>SAMEA111331026</t>
  </si>
  <si>
    <t>SAMEA111331027</t>
  </si>
  <si>
    <t>SAMEA111331028</t>
  </si>
  <si>
    <t>SAMEA111331030</t>
  </si>
  <si>
    <t>SAMEA111331031</t>
  </si>
  <si>
    <t>SAMEA111331032</t>
  </si>
  <si>
    <t>SAMEA111331034</t>
  </si>
  <si>
    <t>SAMEA111331043</t>
  </si>
  <si>
    <t>SAMEA111331044</t>
  </si>
  <si>
    <t>SAMEA111331045</t>
  </si>
  <si>
    <t>SAMEA111331046</t>
  </si>
  <si>
    <t>SAMEA111331047</t>
  </si>
  <si>
    <t>SAMEA111331048</t>
  </si>
  <si>
    <t>SAMEA111331049</t>
  </si>
  <si>
    <t>SAMEA111331050</t>
  </si>
  <si>
    <t>SAMEA111331051</t>
  </si>
  <si>
    <t>SAMEA111331052</t>
  </si>
  <si>
    <t>SAMEA111331053</t>
  </si>
  <si>
    <t>SAMEA111331054</t>
  </si>
  <si>
    <t>SAMEA111331055</t>
  </si>
  <si>
    <t>SAMEA111331056</t>
  </si>
  <si>
    <t>SAMEA111331057</t>
  </si>
  <si>
    <t>SAMEA111331058</t>
  </si>
  <si>
    <t>SAMEA111331059</t>
  </si>
  <si>
    <t>SAMEA111331060</t>
  </si>
  <si>
    <t>SAMEA111331061</t>
  </si>
  <si>
    <t>SAMEA111331062</t>
  </si>
  <si>
    <t>SAMEA111331063</t>
  </si>
  <si>
    <t>SAMEA111331064</t>
  </si>
  <si>
    <t>SAMEA111331065</t>
  </si>
  <si>
    <t>SAMEA111331067</t>
  </si>
  <si>
    <t>SAMEA111331068</t>
  </si>
  <si>
    <t>SAMEA111331069</t>
  </si>
  <si>
    <t>SAMEA111331070</t>
  </si>
  <si>
    <t>SAMEA111331071</t>
  </si>
  <si>
    <t>SAMEA111331072</t>
  </si>
  <si>
    <t>SAMEA111331073</t>
  </si>
  <si>
    <t>SAMEA111331074</t>
  </si>
  <si>
    <t>SAMEA111331075</t>
  </si>
  <si>
    <t>SAMEA111331076</t>
  </si>
  <si>
    <t>SAMEA111331077</t>
  </si>
  <si>
    <t>SAMEA111331078</t>
  </si>
  <si>
    <t>SAMEA111331079</t>
  </si>
  <si>
    <t>SAMEA111331081</t>
  </si>
  <si>
    <t>SAMEA111331082</t>
  </si>
  <si>
    <t>SAMEA111331083</t>
  </si>
  <si>
    <t>SAMEA111331084</t>
  </si>
  <si>
    <t>SAMEA111331085</t>
  </si>
  <si>
    <t>SAMEA111331086</t>
  </si>
  <si>
    <t>SAMEA111331087</t>
  </si>
  <si>
    <t>SAMEA111331088</t>
  </si>
  <si>
    <t>SAMEA111331089</t>
  </si>
  <si>
    <t>SAMEA111331090</t>
  </si>
  <si>
    <t>SAMEA111331091</t>
  </si>
  <si>
    <t>SAMEA111331092</t>
  </si>
  <si>
    <t>SAMEA111331093</t>
  </si>
  <si>
    <t>SAMEA111331094</t>
  </si>
  <si>
    <t>SAMEA111331095</t>
  </si>
  <si>
    <t>SAMEA111331096</t>
  </si>
  <si>
    <t>SAMEA111331097</t>
  </si>
  <si>
    <t>SAMEA111331098</t>
  </si>
  <si>
    <t>SAMEA111331099</t>
  </si>
  <si>
    <t>SAMEA111331100</t>
  </si>
  <si>
    <t>SAMEA111331101</t>
  </si>
  <si>
    <t>SAMEA111331102</t>
  </si>
  <si>
    <t>SAMEA111331103</t>
  </si>
  <si>
    <t>SAMEA111331104</t>
  </si>
  <si>
    <t>SAMEA111331105</t>
  </si>
  <si>
    <t>SAMEA111331112</t>
  </si>
  <si>
    <t>SAMEA111331116</t>
  </si>
  <si>
    <t>SAMEA111331117</t>
  </si>
  <si>
    <t>SAMEA111331118</t>
  </si>
  <si>
    <t>SAMEA111331119</t>
  </si>
  <si>
    <t>SAMEA111331120</t>
  </si>
  <si>
    <t>SAMEA111331121</t>
  </si>
  <si>
    <t>SAMEA111331122</t>
  </si>
  <si>
    <t>SAMEA111331123</t>
  </si>
  <si>
    <t>SAMEA111331124</t>
  </si>
  <si>
    <t>SAMEA111331127</t>
  </si>
  <si>
    <t>SAMEA111331128</t>
  </si>
  <si>
    <t>SAMEA111331129</t>
  </si>
  <si>
    <t>SAMEA111331131</t>
  </si>
  <si>
    <t>SAMEA111331132</t>
  </si>
  <si>
    <t>SAMEA111331133</t>
  </si>
  <si>
    <t>SAMEA111331134</t>
  </si>
  <si>
    <t>SAMEA111331137</t>
  </si>
  <si>
    <t>SAMEA111331139</t>
  </si>
  <si>
    <t>SAMEA111331140</t>
  </si>
  <si>
    <t>SAMEA111331142</t>
  </si>
  <si>
    <t>SAMEA111331143</t>
  </si>
  <si>
    <t>SAMEA111331144</t>
  </si>
  <si>
    <t>SAMEA111331145</t>
  </si>
  <si>
    <t>SAMEA111331146</t>
  </si>
  <si>
    <t>SAMEA111331147</t>
  </si>
  <si>
    <t>SAMEA111331148</t>
  </si>
  <si>
    <t>SAMEA111331149</t>
  </si>
  <si>
    <t>SAMEA111331150</t>
  </si>
  <si>
    <t>SAMEA111331152</t>
  </si>
  <si>
    <t>SAMEA111331153</t>
  </si>
  <si>
    <t>SAMEA111331154</t>
  </si>
  <si>
    <t>SAMEA111331155</t>
  </si>
  <si>
    <t>SAMEA111331156</t>
  </si>
  <si>
    <t>SAMEA111331157</t>
  </si>
  <si>
    <t>SAMEA111331159</t>
  </si>
  <si>
    <t>SAMEA111331160</t>
  </si>
  <si>
    <t>SAMEA111331161</t>
  </si>
  <si>
    <t>SAMEA111331162</t>
  </si>
  <si>
    <t>SAMEA111331163</t>
  </si>
  <si>
    <t>SAMEA111331164</t>
  </si>
  <si>
    <t>SAMEA111331165</t>
  </si>
  <si>
    <t>SAMEA111331167</t>
  </si>
  <si>
    <t>SAMEA111331168</t>
  </si>
  <si>
    <t>SAMEA111331170</t>
  </si>
  <si>
    <t>SAMEA111331172</t>
  </si>
  <si>
    <t>SAMEA111331174</t>
  </si>
  <si>
    <t>SAMEA111331175</t>
  </si>
  <si>
    <t>SAMEA111331176</t>
  </si>
  <si>
    <t>SAMEA111331178</t>
  </si>
  <si>
    <t>SAMEA111331179</t>
  </si>
  <si>
    <t>SAMEA111331182</t>
  </si>
  <si>
    <t>SAMEA111331183</t>
  </si>
  <si>
    <t>SAMEA111331184</t>
  </si>
  <si>
    <t>SAMEA111331185</t>
  </si>
  <si>
    <t>SAMEA111331186</t>
  </si>
  <si>
    <t>SAMEA111331187</t>
  </si>
  <si>
    <t>SAMEA111331188</t>
  </si>
  <si>
    <t>SAMEA111331190</t>
  </si>
  <si>
    <t>SAMEA111331191</t>
  </si>
  <si>
    <t>SAMEA111331192</t>
  </si>
  <si>
    <t>SAMEA111331194</t>
  </si>
  <si>
    <t>SAMEA111331195</t>
  </si>
  <si>
    <t>SAMEA111331197</t>
  </si>
  <si>
    <t>SAMEA111331198</t>
  </si>
  <si>
    <t>SAMEA111331199</t>
  </si>
  <si>
    <t>SAMEA111331200</t>
  </si>
  <si>
    <t>SAMEA111331201</t>
  </si>
  <si>
    <t>SAMEA111331202</t>
  </si>
  <si>
    <t>SAMEA111331203</t>
  </si>
  <si>
    <t>SAMEA111331204</t>
  </si>
  <si>
    <t>SAMEA111331205</t>
  </si>
  <si>
    <t>SAMEA111331206</t>
  </si>
  <si>
    <t>SAMEA111331207</t>
  </si>
  <si>
    <t>SAMEA111331208</t>
  </si>
  <si>
    <t>SAMEA111331209</t>
  </si>
  <si>
    <t>SAMEA111331210</t>
  </si>
  <si>
    <t>SAMEA111331211</t>
  </si>
  <si>
    <t>SAMEA111331212</t>
  </si>
  <si>
    <t>SAMEA111331213</t>
  </si>
  <si>
    <t>SAMEA111331214</t>
  </si>
  <si>
    <t>SAMEA111331215</t>
  </si>
  <si>
    <t>SAMEA111331216</t>
  </si>
  <si>
    <t>SAMEA111331217</t>
  </si>
  <si>
    <t>SAMEA111331218</t>
  </si>
  <si>
    <t>SAMEA111331219</t>
  </si>
  <si>
    <t>SAMEA111331220</t>
  </si>
  <si>
    <t>SAMEA111331221</t>
  </si>
  <si>
    <t>SAMEA111331222</t>
  </si>
  <si>
    <t>SAMEA111331223</t>
  </si>
  <si>
    <t>SAMEA111331224</t>
  </si>
  <si>
    <t>SAMEA111331225</t>
  </si>
  <si>
    <t>SAMEA111331227</t>
  </si>
  <si>
    <t>SAMEA111331228</t>
  </si>
  <si>
    <t>SAMEA111331229</t>
  </si>
  <si>
    <t>SAMEA111331231</t>
  </si>
  <si>
    <t>SAMEA111331232</t>
  </si>
  <si>
    <t>SAMEA111331234</t>
  </si>
  <si>
    <t>SAMEA111331235</t>
  </si>
  <si>
    <t>SAMEA111331236</t>
  </si>
  <si>
    <t>SAMEA111331237</t>
  </si>
  <si>
    <t>SAMEA111331238</t>
  </si>
  <si>
    <t>SAMEA111331239</t>
  </si>
  <si>
    <t>SAMEA111331240</t>
  </si>
  <si>
    <t>SAMEA111331241</t>
  </si>
  <si>
    <t>SAMEA111331242</t>
  </si>
  <si>
    <t>SAMEA111331244</t>
  </si>
  <si>
    <t>SAMEA111331245</t>
  </si>
  <si>
    <t>SAMEA111331246</t>
  </si>
  <si>
    <t>SAMEA111331247</t>
  </si>
  <si>
    <t>SAMEA111331248</t>
  </si>
  <si>
    <t>SAMEA111331249</t>
  </si>
  <si>
    <t>SAMEA111331250</t>
  </si>
  <si>
    <t>SAMEA111331252</t>
  </si>
  <si>
    <t>SAMEA111331253</t>
  </si>
  <si>
    <t>SAMEA111331254</t>
  </si>
  <si>
    <t>SAMEA111331255</t>
  </si>
  <si>
    <t>SAMEA111331256</t>
  </si>
  <si>
    <t>SAMEA111331257</t>
  </si>
  <si>
    <t>SAMEA111331258</t>
  </si>
  <si>
    <t>SAMEA111331259</t>
  </si>
  <si>
    <t>SAMEA111331260</t>
  </si>
  <si>
    <t>SAMEA111331261</t>
  </si>
  <si>
    <t>SAMEA111331262</t>
  </si>
  <si>
    <t>SAMEA111331263</t>
  </si>
  <si>
    <t>SAMEA111331264</t>
  </si>
  <si>
    <t>SAMEA111331267</t>
  </si>
  <si>
    <t>SAMEA111331268</t>
  </si>
  <si>
    <t>SAMEA111331269</t>
  </si>
  <si>
    <t>SAMEA111331270</t>
  </si>
  <si>
    <t>SAMEA111331295</t>
  </si>
  <si>
    <t>SAMEA111331296</t>
  </si>
  <si>
    <t>SAMEA111331297</t>
  </si>
  <si>
    <t>SAMEA111331299</t>
  </si>
  <si>
    <t>SAMEA111331300</t>
  </si>
  <si>
    <t>SAMEA111331301</t>
  </si>
  <si>
    <t>SAMEA111331302</t>
  </si>
  <si>
    <t>SAMEA111331303</t>
  </si>
  <si>
    <t>SAMEA111331304</t>
  </si>
  <si>
    <t>SAMEA111331305</t>
  </si>
  <si>
    <t>SAMEA111331306</t>
  </si>
  <si>
    <t>SAMEA111331307</t>
  </si>
  <si>
    <t>SAMEA111331308</t>
  </si>
  <si>
    <t>SAMEA111331310</t>
  </si>
  <si>
    <t>SAMEA111331311</t>
  </si>
  <si>
    <t>SAMEA111331312</t>
  </si>
  <si>
    <t>SAMEA111331313</t>
  </si>
  <si>
    <t>SAMEA111331314</t>
  </si>
  <si>
    <t>SAMEA111331315</t>
  </si>
  <si>
    <t>SAMEA111331316</t>
  </si>
  <si>
    <t>SAMEA111331318</t>
  </si>
  <si>
    <t>SAMEA111331319</t>
  </si>
  <si>
    <t>SAMEA111331320</t>
  </si>
  <si>
    <t>SAMEA111331321</t>
  </si>
  <si>
    <t>SAMEA111331322</t>
  </si>
  <si>
    <t>SAMEA111331323</t>
  </si>
  <si>
    <t>SAMEA111331324</t>
  </si>
  <si>
    <t>SAMEA111331327</t>
  </si>
  <si>
    <t>SAMEA111331328</t>
  </si>
  <si>
    <t>SAMEA111331330</t>
  </si>
  <si>
    <t>SAMEA111331331</t>
  </si>
  <si>
    <t>SAMEA111331333</t>
  </si>
  <si>
    <t>SAMEA111331334</t>
  </si>
  <si>
    <t>SAMEA111331335</t>
  </si>
  <si>
    <t>SAMEA111331336</t>
  </si>
  <si>
    <t>SAMEA111331337</t>
  </si>
  <si>
    <t>SAMEA111331339</t>
  </si>
  <si>
    <t>SAMEA111331340</t>
  </si>
  <si>
    <t>SAMEA111331341</t>
  </si>
  <si>
    <t>SAMEA111331343</t>
  </si>
  <si>
    <t>SAMEA111331344</t>
  </si>
  <si>
    <t>SAMEA111331345</t>
  </si>
  <si>
    <t>SAMEA111331346</t>
  </si>
  <si>
    <t>SAMEA111331347</t>
  </si>
  <si>
    <t>SAMEA111331348</t>
  </si>
  <si>
    <t>SAMEA111331351</t>
  </si>
  <si>
    <t>SAMEA111331352</t>
  </si>
  <si>
    <t>SAMEA111331353</t>
  </si>
  <si>
    <t>SAMEA111331354</t>
  </si>
  <si>
    <t>SAMEA111331355</t>
  </si>
  <si>
    <t>SAMEA111331356</t>
  </si>
  <si>
    <t>SAMEA111331357</t>
  </si>
  <si>
    <t>SAMEA111331358</t>
  </si>
  <si>
    <t>SAMEA111331359</t>
  </si>
  <si>
    <t>SAMEA111331360</t>
  </si>
  <si>
    <t>SAMEA111331361</t>
  </si>
  <si>
    <t>SAMEA111331363</t>
  </si>
  <si>
    <t>SAMEA111331364</t>
  </si>
  <si>
    <t>SAMEA111331366</t>
  </si>
  <si>
    <t>SAMEA111331367</t>
  </si>
  <si>
    <t>SAMEA111331368</t>
  </si>
  <si>
    <t>SAMEA111331369</t>
  </si>
  <si>
    <t>SAMEA111331370</t>
  </si>
  <si>
    <t>SAMEA111331373</t>
  </si>
  <si>
    <t>SAMEA111331376</t>
  </si>
  <si>
    <t>SAMEA111331377</t>
  </si>
  <si>
    <t>SAMEA111331378</t>
  </si>
  <si>
    <t>SAMEA111331379</t>
  </si>
  <si>
    <t>SAMEA111331380</t>
  </si>
  <si>
    <t>SAMEA111331381</t>
  </si>
  <si>
    <t>SAMEA111331382</t>
  </si>
  <si>
    <t>SAMEA111331383</t>
  </si>
  <si>
    <t>SAMEA111331394</t>
  </si>
  <si>
    <t>SAMEA111331395</t>
  </si>
  <si>
    <t>SAMEA111331397</t>
  </si>
  <si>
    <t>SAMEA111331398</t>
  </si>
  <si>
    <t>SAMEA111331399</t>
  </si>
  <si>
    <t>SAMEA111331411</t>
  </si>
  <si>
    <t>SAMEA111331412</t>
  </si>
  <si>
    <t>SAMEA111331413</t>
  </si>
  <si>
    <t>SAMEA111331414</t>
  </si>
  <si>
    <t>SAMEA111331415</t>
  </si>
  <si>
    <t>SAMEA111331417</t>
  </si>
  <si>
    <t>SAMEA111331418</t>
  </si>
  <si>
    <t>SAMEA111331419</t>
  </si>
  <si>
    <t>SAMEA111331420</t>
  </si>
  <si>
    <t>SAMEA111331423</t>
  </si>
  <si>
    <t>SAMEA111331424</t>
  </si>
  <si>
    <t>SAMEA111331425</t>
  </si>
  <si>
    <t>SAMEA111331426</t>
  </si>
  <si>
    <t>SAMEA111331431</t>
  </si>
  <si>
    <t>SAMEA111331432</t>
  </si>
  <si>
    <t>SAMEA111331435</t>
  </si>
  <si>
    <t>SAMEA111331436</t>
  </si>
  <si>
    <t>SAMEA111331438</t>
  </si>
  <si>
    <t>SAMEA111331439</t>
  </si>
  <si>
    <t>SAMEA111331440</t>
  </si>
  <si>
    <t>SAMEA111331441</t>
  </si>
  <si>
    <t>SAMEA111331442</t>
  </si>
  <si>
    <t>SAMEA111331444</t>
  </si>
  <si>
    <t>SAMEA111331446</t>
  </si>
  <si>
    <t>SAMEA111331447</t>
  </si>
  <si>
    <t>SAMEA111331448</t>
  </si>
  <si>
    <t>SAMEA111331449</t>
  </si>
  <si>
    <t>SAMEA111331450</t>
  </si>
  <si>
    <t>SAMEA111331451</t>
  </si>
  <si>
    <t>SAMEA111331453</t>
  </si>
  <si>
    <t>SAMEA111331454</t>
  </si>
  <si>
    <t>SAMEA111331459</t>
  </si>
  <si>
    <t>SAMEA111331460</t>
  </si>
  <si>
    <t>SAMEA111331461</t>
  </si>
  <si>
    <t>SAMEA111331462</t>
  </si>
  <si>
    <t>SAMEA111331463</t>
  </si>
  <si>
    <t>SAMEA111331465</t>
  </si>
  <si>
    <t>SAMEA111331466</t>
  </si>
  <si>
    <t>SAMEA111331467</t>
  </si>
  <si>
    <t>SAMEA111331468</t>
  </si>
  <si>
    <t>SAMEA111331469</t>
  </si>
  <si>
    <t>SAMEA111331470</t>
  </si>
  <si>
    <t>SAMEA111331473</t>
  </si>
  <si>
    <t>SAMEA111331474</t>
  </si>
  <si>
    <t>SAMEA111331475</t>
  </si>
  <si>
    <t>SAMEA111331478</t>
  </si>
  <si>
    <t>SAMEA111331479</t>
  </si>
  <si>
    <t>SAMEA111331480</t>
  </si>
  <si>
    <t>SAMEA111331481</t>
  </si>
  <si>
    <t>SAMEA111331482</t>
  </si>
  <si>
    <t>SAMEA111331483</t>
  </si>
  <si>
    <t>SAMEA111331484</t>
  </si>
  <si>
    <t>SAMEA111331485</t>
  </si>
  <si>
    <t>SAMEA111331486</t>
  </si>
  <si>
    <t>SAMEA111331487</t>
  </si>
  <si>
    <t>SAMEA111331488</t>
  </si>
  <si>
    <t>SAMEA111331489</t>
  </si>
  <si>
    <t>SAMEA111331490</t>
  </si>
  <si>
    <t>SAMEA111331491</t>
  </si>
  <si>
    <t>SAMEA111331492</t>
  </si>
  <si>
    <t>SAMEA111331494</t>
  </si>
  <si>
    <t>SAMEA111331495</t>
  </si>
  <si>
    <t>SAMEA111331496</t>
  </si>
  <si>
    <t>SAMEA111331497</t>
  </si>
  <si>
    <t>SAMEA111331500</t>
  </si>
  <si>
    <t>SAMEA111331501</t>
  </si>
  <si>
    <t>SAMEA111331502</t>
  </si>
  <si>
    <t>SAMEA111331504</t>
  </si>
  <si>
    <t>SAMEA111331505</t>
  </si>
  <si>
    <t>SAMEA111331506</t>
  </si>
  <si>
    <t>SAMEA111331507</t>
  </si>
  <si>
    <t>SAMEA111331508</t>
  </si>
  <si>
    <t>SAMEA111331509</t>
  </si>
  <si>
    <t>SAMEA111331516</t>
  </si>
  <si>
    <t>SAMEA111331517</t>
  </si>
  <si>
    <t>SAMEA111331518</t>
  </si>
  <si>
    <t>SAMEA111331519</t>
  </si>
  <si>
    <t>SAMEA111331520</t>
  </si>
  <si>
    <t>SAMEA111331521</t>
  </si>
  <si>
    <t>SAMEA111331522</t>
  </si>
  <si>
    <t>SAMEA111331524</t>
  </si>
  <si>
    <t>SAMEA111331525</t>
  </si>
  <si>
    <t>SAMEA111331526</t>
  </si>
  <si>
    <t>SAMEA111331527</t>
  </si>
  <si>
    <t>SAMEA111331528</t>
  </si>
  <si>
    <t>SAMEA111331529</t>
  </si>
  <si>
    <t>SAMEA111331532</t>
  </si>
  <si>
    <t>SAMEA111331533</t>
  </si>
  <si>
    <t>SAMEA111331535</t>
  </si>
  <si>
    <t>SAMEA111331536</t>
  </si>
  <si>
    <t>SAMEA111331537</t>
  </si>
  <si>
    <t>SAMEA111331538</t>
  </si>
  <si>
    <t>SAMEA111331539</t>
  </si>
  <si>
    <t>SAMEA111331540</t>
  </si>
  <si>
    <t>SAMEA111331541</t>
  </si>
  <si>
    <t>SAMEA111331542</t>
  </si>
  <si>
    <t>SAMEA111331543</t>
  </si>
  <si>
    <t>SAMEA111331544</t>
  </si>
  <si>
    <t>SAMEA111331546</t>
  </si>
  <si>
    <t>SAMEA111331547</t>
  </si>
  <si>
    <t>SAMEA111331548</t>
  </si>
  <si>
    <t>SAMEA111331549</t>
  </si>
  <si>
    <t>SAMEA111331550</t>
  </si>
  <si>
    <t>SAMEA111331551</t>
  </si>
  <si>
    <t>SAMEA111331552</t>
  </si>
  <si>
    <t>SAMEA111331553</t>
  </si>
  <si>
    <t>SAMEA111331558</t>
  </si>
  <si>
    <t>SAMEA111331559</t>
  </si>
  <si>
    <t>SAMEA111331561</t>
  </si>
  <si>
    <t>SAMEA111331562</t>
  </si>
  <si>
    <t>SAMEA111331563</t>
  </si>
  <si>
    <t>SAMEA111331565</t>
  </si>
  <si>
    <t>SAMEA111331566</t>
  </si>
  <si>
    <t>SAMEA111331567</t>
  </si>
  <si>
    <t>SAMEA111331569</t>
  </si>
  <si>
    <t>SAMEA111331570</t>
  </si>
  <si>
    <t>SAMEA111331571</t>
  </si>
  <si>
    <t>SAMEA111331572</t>
  </si>
  <si>
    <t>SAMEA111331573</t>
  </si>
  <si>
    <t>SAMEA111331574</t>
  </si>
  <si>
    <t>SAMEA111331575</t>
  </si>
  <si>
    <t>SAMEA111331576</t>
  </si>
  <si>
    <t>SAMEA111331577</t>
  </si>
  <si>
    <t>SAMEA111331578</t>
  </si>
  <si>
    <t>SAMEA111331579</t>
  </si>
  <si>
    <t>SAMEA111331580</t>
  </si>
  <si>
    <t>SAMEA111331581</t>
  </si>
  <si>
    <t>SAMEA111331582</t>
  </si>
  <si>
    <t>SAMEA111331583</t>
  </si>
  <si>
    <t>SAMEA111331584</t>
  </si>
  <si>
    <t>SAMEA111331585</t>
  </si>
  <si>
    <t>SAMEA111331586</t>
  </si>
  <si>
    <t>SAMEA111331587</t>
  </si>
  <si>
    <t>SAMEA111331588</t>
  </si>
  <si>
    <t>SAMEA111331590</t>
  </si>
  <si>
    <t>SAMEA111331593</t>
  </si>
  <si>
    <t>SAMEA111331594</t>
  </si>
  <si>
    <t>SAMEA111331595</t>
  </si>
  <si>
    <t>SAMEA111331596</t>
  </si>
  <si>
    <t>SAMEA111331597</t>
  </si>
  <si>
    <t>SAMEA111331598</t>
  </si>
  <si>
    <t>SAMEA111331599</t>
  </si>
  <si>
    <t>SAMEA111331600</t>
  </si>
  <si>
    <t>SAMEA111331601</t>
  </si>
  <si>
    <t>SAMEA111331602</t>
  </si>
  <si>
    <t>SAMEA111331603</t>
  </si>
  <si>
    <t>SAMEA111331605</t>
  </si>
  <si>
    <t>SAMEA111331606</t>
  </si>
  <si>
    <t>SAMEA111331607</t>
  </si>
  <si>
    <t>SAMEA111331618</t>
  </si>
  <si>
    <t>SAMEA111331619</t>
  </si>
  <si>
    <t>SAMEA111331620</t>
  </si>
  <si>
    <t>SAMEA111331621</t>
  </si>
  <si>
    <t>SAMEA111331622</t>
  </si>
  <si>
    <t>SAMEA111331624</t>
  </si>
  <si>
    <t>SAMEA111331625</t>
  </si>
  <si>
    <t>SAMEA111331626</t>
  </si>
  <si>
    <t>SAMEA111331629</t>
  </si>
  <si>
    <t>SAMEA111331630</t>
  </si>
  <si>
    <t>SAMEA111331631</t>
  </si>
  <si>
    <t>SAMEA111331632</t>
  </si>
  <si>
    <t>SAMEA111331633</t>
  </si>
  <si>
    <t>SAMEA111331639</t>
  </si>
  <si>
    <t>SAMEA111331640</t>
  </si>
  <si>
    <t>SAMEA111331641</t>
  </si>
  <si>
    <t>SAMEA111331642</t>
  </si>
  <si>
    <t>SAMEA111331643</t>
  </si>
  <si>
    <t>SAMEA111331644</t>
  </si>
  <si>
    <t>SAMEA111331646</t>
  </si>
  <si>
    <t>SAMEA111331647</t>
  </si>
  <si>
    <t>SAMEA111331648</t>
  </si>
  <si>
    <t>SAMEA111331649</t>
  </si>
  <si>
    <t>SAMEA111331650</t>
  </si>
  <si>
    <t>SAMEA111331651</t>
  </si>
  <si>
    <t>SAMEA111331652</t>
  </si>
  <si>
    <t>SAMEA111331653</t>
  </si>
  <si>
    <t>SAMEA111331654</t>
  </si>
  <si>
    <t>SAMEA111331655</t>
  </si>
  <si>
    <t>SAMEA111331656</t>
  </si>
  <si>
    <t>SAMEA111331657</t>
  </si>
  <si>
    <t>SAMEA111331658</t>
  </si>
  <si>
    <t>SAMEA111331659</t>
  </si>
  <si>
    <t>SAMEA111331660</t>
  </si>
  <si>
    <t>SAMEA111331661</t>
  </si>
  <si>
    <t>SAMEA111331662</t>
  </si>
  <si>
    <t>SAMEA111331663</t>
  </si>
  <si>
    <t>SAMEA111331664</t>
  </si>
  <si>
    <t>SAMEA111331665</t>
  </si>
  <si>
    <t>SAMEA111331666</t>
  </si>
  <si>
    <t>SAMEA111331667</t>
  </si>
  <si>
    <t>SAMEA111331668</t>
  </si>
  <si>
    <t>SAMEA111331669</t>
  </si>
  <si>
    <t>SAMEA111331670</t>
  </si>
  <si>
    <t>SAMEA111331671</t>
  </si>
  <si>
    <t>SAMEA111331672</t>
  </si>
  <si>
    <t>SAMEA111331673</t>
  </si>
  <si>
    <t>SAMEA111331674</t>
  </si>
  <si>
    <t>SAMEA111331675</t>
  </si>
  <si>
    <t>SAMEA111331676</t>
  </si>
  <si>
    <t>SAMEA111331677</t>
  </si>
  <si>
    <t>SAMEA111331678</t>
  </si>
  <si>
    <t>SAMEA111331679</t>
  </si>
  <si>
    <t>SAMEA111331680</t>
  </si>
  <si>
    <t>SAMEA111331681</t>
  </si>
  <si>
    <t>SAMEA111331683</t>
  </si>
  <si>
    <t>SAMEA111331684</t>
  </si>
  <si>
    <t>SAMEA111331685</t>
  </si>
  <si>
    <t>SAMEA111331686</t>
  </si>
  <si>
    <t>SAMEA111331690</t>
  </si>
  <si>
    <t>SAMEA111331691</t>
  </si>
  <si>
    <t>SAMEA111331693</t>
  </si>
  <si>
    <t>SAMEA111331697</t>
  </si>
  <si>
    <t>SAMEA111331698</t>
  </si>
  <si>
    <t>SAMEA111331699</t>
  </si>
  <si>
    <t>SAMEA111331700</t>
  </si>
  <si>
    <t>SAMEA111331702</t>
  </si>
  <si>
    <t>SAMEA111331704</t>
  </si>
  <si>
    <t>SAMEA111331705</t>
  </si>
  <si>
    <t>SAMEA111331706</t>
  </si>
  <si>
    <t>SAMEA111331707</t>
  </si>
  <si>
    <t>SAMEA111331708</t>
  </si>
  <si>
    <t>SAMEA111331709</t>
  </si>
  <si>
    <t>SAMEA111331710</t>
  </si>
  <si>
    <t>SAMEA111331711</t>
  </si>
  <si>
    <t>SAMEA111331712</t>
  </si>
  <si>
    <t>SAMEA111331713</t>
  </si>
  <si>
    <t>SAMEA111331714</t>
  </si>
  <si>
    <t>SAMEA111331715</t>
  </si>
  <si>
    <t>SAMEA111331716</t>
  </si>
  <si>
    <t>SAMEA111331718</t>
  </si>
  <si>
    <t>SAMEA111331719</t>
  </si>
  <si>
    <t>SAMEA111331720</t>
  </si>
  <si>
    <t>SAMEA111331721</t>
  </si>
  <si>
    <t>SAMEA111331722</t>
  </si>
  <si>
    <t>SAMEA111331723</t>
  </si>
  <si>
    <t>SAMEA111331724</t>
  </si>
  <si>
    <t>SAMEA111331725</t>
  </si>
  <si>
    <t>SAMEA111331726</t>
  </si>
  <si>
    <t>SAMEA111331727</t>
  </si>
  <si>
    <t>SAMEA111331728</t>
  </si>
  <si>
    <t>SAMEA111331729</t>
  </si>
  <si>
    <t>SAMEA111331730</t>
  </si>
  <si>
    <t>SAMEA111331731</t>
  </si>
  <si>
    <t>SAMEA111331734</t>
  </si>
  <si>
    <t>SAMEA111331735</t>
  </si>
  <si>
    <t>SAMEA111331736</t>
  </si>
  <si>
    <t>SAMEA111331737</t>
  </si>
  <si>
    <t>SAMEA111331738</t>
  </si>
  <si>
    <t>SAMEA111331739</t>
  </si>
  <si>
    <t>SAMEA111331740</t>
  </si>
  <si>
    <t>SAMEA111331741</t>
  </si>
  <si>
    <t>SAMEA111331742</t>
  </si>
  <si>
    <t>SAMEA111331743</t>
  </si>
  <si>
    <t>SAMEA111331744</t>
  </si>
  <si>
    <t>SAMEA111331745</t>
  </si>
  <si>
    <t>SAMEA111331746</t>
  </si>
  <si>
    <t>SAMEA111331747</t>
  </si>
  <si>
    <t>SAMEA111331748</t>
  </si>
  <si>
    <t>SAMEA111331749</t>
  </si>
  <si>
    <t>SAMEA111331750</t>
  </si>
  <si>
    <t>SAMEA111331751</t>
  </si>
  <si>
    <t>SAMEA111331752</t>
  </si>
  <si>
    <t>SAMEA111331753</t>
  </si>
  <si>
    <t>SAMEA111331754</t>
  </si>
  <si>
    <t>SAMEA111331755</t>
  </si>
  <si>
    <t>SAMEA111331756</t>
  </si>
  <si>
    <t>SAMEA111331757</t>
  </si>
  <si>
    <t>SAMEA111331758</t>
  </si>
  <si>
    <t>SAMEA111331759</t>
  </si>
  <si>
    <t>SAMEA111331761</t>
  </si>
  <si>
    <t>SAMEA111331762</t>
  </si>
  <si>
    <t>SAMEA111331763</t>
  </si>
  <si>
    <t>SAMEA111331764</t>
  </si>
  <si>
    <t>SAMEA111331766</t>
  </si>
  <si>
    <t>SAMEA111331767</t>
  </si>
  <si>
    <t>SAMEA111331768</t>
  </si>
  <si>
    <t>SAMEA111331769</t>
  </si>
  <si>
    <t>SAMEA111331770</t>
  </si>
  <si>
    <t>SAMEA111331771</t>
  </si>
  <si>
    <t>SAMEA111331773</t>
  </si>
  <si>
    <t>SAMEA111331774</t>
  </si>
  <si>
    <t>SAMEA111331775</t>
  </si>
  <si>
    <t>SAMEA111331776</t>
  </si>
  <si>
    <t>SAMEA111331777</t>
  </si>
  <si>
    <t>SAMEA111331779</t>
  </si>
  <si>
    <t>SAMEA111331781</t>
  </si>
  <si>
    <t>SAMEA111331782</t>
  </si>
  <si>
    <t>SAMEA111331784</t>
  </si>
  <si>
    <t>SAMEA111331785</t>
  </si>
  <si>
    <t>SAMEA111331787</t>
  </si>
  <si>
    <t>SAMEA111331788</t>
  </si>
  <si>
    <t>SAMEA111331789</t>
  </si>
  <si>
    <t>SAMEA111331795</t>
  </si>
  <si>
    <t>SAMEA111331796</t>
  </si>
  <si>
    <t>SAMEA111331797</t>
  </si>
  <si>
    <t>SAMEA111331798</t>
  </si>
  <si>
    <t>SAMEA111331799</t>
  </si>
  <si>
    <t>SAMEA111331800</t>
  </si>
  <si>
    <t>SAMEA111331803</t>
  </si>
  <si>
    <t>SAMEA111331804</t>
  </si>
  <si>
    <t>SAMEA111331805</t>
  </si>
  <si>
    <t>SAMEA111331806</t>
  </si>
  <si>
    <t>SAMEA111331807</t>
  </si>
  <si>
    <t>SAMEA111331808</t>
  </si>
  <si>
    <t>SAMEA111331809</t>
  </si>
  <si>
    <t>SAMEA111331810</t>
  </si>
  <si>
    <t>SAMEA111331811</t>
  </si>
  <si>
    <t>SAMEA111331812</t>
  </si>
  <si>
    <t>SAMEA111331813</t>
  </si>
  <si>
    <t>SAMEA111331814</t>
  </si>
  <si>
    <t>SAMEA111331815</t>
  </si>
  <si>
    <t>SAMEA111331816</t>
  </si>
  <si>
    <t>SAMEA111331819</t>
  </si>
  <si>
    <t>SAMEA111331820</t>
  </si>
  <si>
    <t>SAMEA111331821</t>
  </si>
  <si>
    <t>SAMEA111331822</t>
  </si>
  <si>
    <t>SAMEA111331823</t>
  </si>
  <si>
    <t>SAMEA111331824</t>
  </si>
  <si>
    <t>SAMEA111331825</t>
  </si>
  <si>
    <t>SAMEA111331826</t>
  </si>
  <si>
    <t>SAMEA111331828</t>
  </si>
  <si>
    <t>SAMEA111331829</t>
  </si>
  <si>
    <t>SAMEA111331830</t>
  </si>
  <si>
    <t>SAMEA111331831</t>
  </si>
  <si>
    <t>SAMEA111331832</t>
  </si>
  <si>
    <t>SAMEA111331833</t>
  </si>
  <si>
    <t>SAMEA111331834</t>
  </si>
  <si>
    <t>SAMEA111331835</t>
  </si>
  <si>
    <t>SAMEA111331836</t>
  </si>
  <si>
    <t>SAMEA111331837</t>
  </si>
  <si>
    <t>SAMEA111331839</t>
  </si>
  <si>
    <t>SAMEA111331840</t>
  </si>
  <si>
    <t>SAMEA111331841</t>
  </si>
  <si>
    <t>SAMEA111331842</t>
  </si>
  <si>
    <t>SAMEA111331843</t>
  </si>
  <si>
    <t>SAMEA111331844</t>
  </si>
  <si>
    <t>SAMEA111331845</t>
  </si>
  <si>
    <t>SAMEA111331847</t>
  </si>
  <si>
    <t>SAMEA111331849</t>
  </si>
  <si>
    <t>SAMEA111331850</t>
  </si>
  <si>
    <t>SAMEA111331851</t>
  </si>
  <si>
    <t>SAMEA111331852</t>
  </si>
  <si>
    <t>SAMEA111331854</t>
  </si>
  <si>
    <t>SAMEA111331855</t>
  </si>
  <si>
    <t>SAMEA111331856</t>
  </si>
  <si>
    <t>SAMEA111331859</t>
  </si>
  <si>
    <t>SAMEA111331861</t>
  </si>
  <si>
    <t>SAMEA111331862</t>
  </si>
  <si>
    <t>SAMEA111331864</t>
  </si>
  <si>
    <t>SAMEA111331865</t>
  </si>
  <si>
    <t>SAMEA111331867</t>
  </si>
  <si>
    <t>SAMEA111331868</t>
  </si>
  <si>
    <t>SAMEA111331871</t>
  </si>
  <si>
    <t>SAMEA111331872</t>
  </si>
  <si>
    <t>SAMEA111331874</t>
  </si>
  <si>
    <t>SAMEA111331877</t>
  </si>
  <si>
    <t>SAMEA111331878</t>
  </si>
  <si>
    <t>SAMEA111331879</t>
  </si>
  <si>
    <t>SAMEA111331880</t>
  </si>
  <si>
    <t>SAMEA111331881</t>
  </si>
  <si>
    <t>SAMEA111331882</t>
  </si>
  <si>
    <t>SAMEA111331883</t>
  </si>
  <si>
    <t>SAMEA111331884</t>
  </si>
  <si>
    <t>SAMEA111331885</t>
  </si>
  <si>
    <t>SAMEA111331886</t>
  </si>
  <si>
    <t>SAMEA111331887</t>
  </si>
  <si>
    <t>SAMEA111331888</t>
  </si>
  <si>
    <t>SAMEA111331890</t>
  </si>
  <si>
    <t>SAMEA111331892</t>
  </si>
  <si>
    <t>SAMEA111331893</t>
  </si>
  <si>
    <t>SAMEA111331894</t>
  </si>
  <si>
    <t>SAMEA111331896</t>
  </si>
  <si>
    <t>SAMEA111331897</t>
  </si>
  <si>
    <t>SAMEA111331898</t>
  </si>
  <si>
    <t>SAMEA111331900</t>
  </si>
  <si>
    <t>SAMEA111331901</t>
  </si>
  <si>
    <t>SAMEA111331903</t>
  </si>
  <si>
    <t>SAMEA111331904</t>
  </si>
  <si>
    <t>SAMEA111331905</t>
  </si>
  <si>
    <t>SAMEA111331906</t>
  </si>
  <si>
    <t>SAMEA111331909</t>
  </si>
  <si>
    <t>SAMEA111331910</t>
  </si>
  <si>
    <t>SAMEA111331911</t>
  </si>
  <si>
    <t>run_accession</t>
  </si>
  <si>
    <t>experiment_accession</t>
  </si>
  <si>
    <t>ERR10176482</t>
  </si>
  <si>
    <t>ERX9712951</t>
  </si>
  <si>
    <t>ERR10176488</t>
  </si>
  <si>
    <t>ERX9712957</t>
  </si>
  <si>
    <t>ERR10176497</t>
  </si>
  <si>
    <t>ERX9712966</t>
  </si>
  <si>
    <t>ERR10176500</t>
  </si>
  <si>
    <t>ERX9712969</t>
  </si>
  <si>
    <t>ERR10176502</t>
  </si>
  <si>
    <t>ERX9712971</t>
  </si>
  <si>
    <t>ERR10176503</t>
  </si>
  <si>
    <t>ERX9712972</t>
  </si>
  <si>
    <t>ERR10176509</t>
  </si>
  <si>
    <t>ERX9712978</t>
  </si>
  <si>
    <t>ERR10176511</t>
  </si>
  <si>
    <t>ERX9712980</t>
  </si>
  <si>
    <t>SAMEA111330846</t>
  </si>
  <si>
    <t>ERR10176515</t>
  </si>
  <si>
    <t>ERX9712984</t>
  </si>
  <si>
    <t>ERR10176519</t>
  </si>
  <si>
    <t>ERX9712988</t>
  </si>
  <si>
    <t>ERR10176522</t>
  </si>
  <si>
    <t>ERX9712991</t>
  </si>
  <si>
    <t>ERR10176526</t>
  </si>
  <si>
    <t>ERX9712995</t>
  </si>
  <si>
    <t>ERR10176527</t>
  </si>
  <si>
    <t>ERX9712996</t>
  </si>
  <si>
    <t>ERR10176529</t>
  </si>
  <si>
    <t>ERX9712998</t>
  </si>
  <si>
    <t>ERR10176539</t>
  </si>
  <si>
    <t>ERX9713008</t>
  </si>
  <si>
    <t>ERR10176542</t>
  </si>
  <si>
    <t>ERX9713011</t>
  </si>
  <si>
    <t>ERR10176544</t>
  </si>
  <si>
    <t>ERX9713013</t>
  </si>
  <si>
    <t>ERR10176546</t>
  </si>
  <si>
    <t>ERX9713015</t>
  </si>
  <si>
    <t>ERR10176547</t>
  </si>
  <si>
    <t>ERX9713016</t>
  </si>
  <si>
    <t>ERR10176549</t>
  </si>
  <si>
    <t>ERX9713018</t>
  </si>
  <si>
    <t>ERR10176552</t>
  </si>
  <si>
    <t>ERX9713021</t>
  </si>
  <si>
    <t>ERR10176553</t>
  </si>
  <si>
    <t>ERX9713022</t>
  </si>
  <si>
    <t>ERR10176554</t>
  </si>
  <si>
    <t>ERX9713023</t>
  </si>
  <si>
    <t>ERR10176559</t>
  </si>
  <si>
    <t>ERX9713028</t>
  </si>
  <si>
    <t>ERR10176564</t>
  </si>
  <si>
    <t>ERX9713033</t>
  </si>
  <si>
    <t>ERR10176570</t>
  </si>
  <si>
    <t>ERX9713039</t>
  </si>
  <si>
    <t>ERR10176572</t>
  </si>
  <si>
    <t>ERX9713041</t>
  </si>
  <si>
    <t>ERR10176576</t>
  </si>
  <si>
    <t>ERX9713045</t>
  </si>
  <si>
    <t>ERR10176577</t>
  </si>
  <si>
    <t>ERX9713046</t>
  </si>
  <si>
    <t>ERR10176578</t>
  </si>
  <si>
    <t>ERX9713047</t>
  </si>
  <si>
    <t>ERR10176581</t>
  </si>
  <si>
    <t>ERX9713050</t>
  </si>
  <si>
    <t>ERR10176583</t>
  </si>
  <si>
    <t>ERX9713052</t>
  </si>
  <si>
    <t>ERR10176584</t>
  </si>
  <si>
    <t>ERX9713053</t>
  </si>
  <si>
    <t>ERR10176587</t>
  </si>
  <si>
    <t>ERX9713056</t>
  </si>
  <si>
    <t>ERR10176592</t>
  </si>
  <si>
    <t>ERX9713061</t>
  </si>
  <si>
    <t>ERR10176601</t>
  </si>
  <si>
    <t>ERX9713070</t>
  </si>
  <si>
    <t>ERR10176607</t>
  </si>
  <si>
    <t>ERX9713076</t>
  </si>
  <si>
    <t>ERR10176608</t>
  </si>
  <si>
    <t>ERX9713077</t>
  </si>
  <si>
    <t>ERR10176614</t>
  </si>
  <si>
    <t>ERX9713083</t>
  </si>
  <si>
    <t>ERR10176618</t>
  </si>
  <si>
    <t>ERX9713087</t>
  </si>
  <si>
    <t>ERR10176620</t>
  </si>
  <si>
    <t>ERX9713089</t>
  </si>
  <si>
    <t>ERR10176624</t>
  </si>
  <si>
    <t>ERX9713093</t>
  </si>
  <si>
    <t>SAMEA111330880</t>
  </si>
  <si>
    <t>ERR10176631</t>
  </si>
  <si>
    <t>ERX9713100</t>
  </si>
  <si>
    <t>ERR10176632</t>
  </si>
  <si>
    <t>ERX9713101</t>
  </si>
  <si>
    <t>SAMEA111330882</t>
  </si>
  <si>
    <t>ERR10176633</t>
  </si>
  <si>
    <t>ERX9713102</t>
  </si>
  <si>
    <t>ERR10176635</t>
  </si>
  <si>
    <t>ERX9713104</t>
  </si>
  <si>
    <t>ERR10176637</t>
  </si>
  <si>
    <t>ERX9713106</t>
  </si>
  <si>
    <t>ERR10176639</t>
  </si>
  <si>
    <t>ERX9713108</t>
  </si>
  <si>
    <t>ERR10176643</t>
  </si>
  <si>
    <t>ERX9713112</t>
  </si>
  <si>
    <t>SAMEA111330887</t>
  </si>
  <si>
    <t>ERR10176645</t>
  </si>
  <si>
    <t>ERX9713114</t>
  </si>
  <si>
    <t>ERR10176648</t>
  </si>
  <si>
    <t>ERX9713117</t>
  </si>
  <si>
    <t>SAMEA111330889</t>
  </si>
  <si>
    <t>ERR10176651</t>
  </si>
  <si>
    <t>ERX9713120</t>
  </si>
  <si>
    <t>ERR10176655</t>
  </si>
  <si>
    <t>ERX9713124</t>
  </si>
  <si>
    <t>ERR10176657</t>
  </si>
  <si>
    <t>ERX9713126</t>
  </si>
  <si>
    <t>ERR10176658</t>
  </si>
  <si>
    <t>ERX9713127</t>
  </si>
  <si>
    <t>ERR10176660</t>
  </si>
  <si>
    <t>ERX9713129</t>
  </si>
  <si>
    <t>ERR10176662</t>
  </si>
  <si>
    <t>ERX9713131</t>
  </si>
  <si>
    <t>ERR10176667</t>
  </si>
  <si>
    <t>ERX9713136</t>
  </si>
  <si>
    <t>ERR10176669</t>
  </si>
  <si>
    <t>ERX9713138</t>
  </si>
  <si>
    <t>ERR10176670</t>
  </si>
  <si>
    <t>ERX9713139</t>
  </si>
  <si>
    <t>ERR10176680</t>
  </si>
  <si>
    <t>ERX9713149</t>
  </si>
  <si>
    <t>ERR10176681</t>
  </si>
  <si>
    <t>ERX9713150</t>
  </si>
  <si>
    <t>ERR10176683</t>
  </si>
  <si>
    <t>ERX9713152</t>
  </si>
  <si>
    <t>SAMEA111330900</t>
  </si>
  <si>
    <t>ERR10176688</t>
  </si>
  <si>
    <t>ERX9713157</t>
  </si>
  <si>
    <t>ERR10176692</t>
  </si>
  <si>
    <t>ERX9713161</t>
  </si>
  <si>
    <t>ERR10176698</t>
  </si>
  <si>
    <t>ERX9713167</t>
  </si>
  <si>
    <t>ERR10176483</t>
  </si>
  <si>
    <t>ERX9712952</t>
  </si>
  <si>
    <t>ERR10176700</t>
  </si>
  <si>
    <t>ERX9713169</t>
  </si>
  <si>
    <t>ERR10176484</t>
  </si>
  <si>
    <t>ERX9712953</t>
  </si>
  <si>
    <t>ERR10176706</t>
  </si>
  <si>
    <t>ERX9713175</t>
  </si>
  <si>
    <t>ERR10176707</t>
  </si>
  <si>
    <t>ERX9713176</t>
  </si>
  <si>
    <t>ERR10176711</t>
  </si>
  <si>
    <t>ERX9713180</t>
  </si>
  <si>
    <t>ERR10176490</t>
  </si>
  <si>
    <t>ERX9712959</t>
  </si>
  <si>
    <t>ERR10176712</t>
  </si>
  <si>
    <t>ERX9713181</t>
  </si>
  <si>
    <t>ERR10176492</t>
  </si>
  <si>
    <t>ERX9712961</t>
  </si>
  <si>
    <t>ERR10176715</t>
  </si>
  <si>
    <t>ERX9713184</t>
  </si>
  <si>
    <t>SAMEA111330914</t>
  </si>
  <si>
    <t>ERR10176493</t>
  </si>
  <si>
    <t>ERX9712962</t>
  </si>
  <si>
    <t>SAMEA111330915</t>
  </si>
  <si>
    <t>ERR10176716</t>
  </si>
  <si>
    <t>ERX9713185</t>
  </si>
  <si>
    <t>SAMEA111330916</t>
  </si>
  <si>
    <t>ERR10176494</t>
  </si>
  <si>
    <t>ERX9712963</t>
  </si>
  <si>
    <t>ERR10176719</t>
  </si>
  <si>
    <t>ERX9713188</t>
  </si>
  <si>
    <t>ERR10176724</t>
  </si>
  <si>
    <t>ERX9713193</t>
  </si>
  <si>
    <t>ERR10176495</t>
  </si>
  <si>
    <t>ERX9712964</t>
  </si>
  <si>
    <t>ERR10176726</t>
  </si>
  <si>
    <t>ERX9713195</t>
  </si>
  <si>
    <t>ERR10176496</t>
  </si>
  <si>
    <t>ERX9712965</t>
  </si>
  <si>
    <t>ERR10176729</t>
  </si>
  <si>
    <t>ERX9713198</t>
  </si>
  <si>
    <t>ERR10176498</t>
  </si>
  <si>
    <t>ERX9712967</t>
  </si>
  <si>
    <t>ERR10176735</t>
  </si>
  <si>
    <t>ERX9713204</t>
  </si>
  <si>
    <t>ERR10176736</t>
  </si>
  <si>
    <t>ERX9713205</t>
  </si>
  <si>
    <t>SAMEA111330926</t>
  </si>
  <si>
    <t>ERR10176504</t>
  </si>
  <si>
    <t>ERX9712973</t>
  </si>
  <si>
    <t>ERR10176750</t>
  </si>
  <si>
    <t>ERX9713219</t>
  </si>
  <si>
    <t>ERR10176506</t>
  </si>
  <si>
    <t>ERX9712975</t>
  </si>
  <si>
    <t>ERR10176753</t>
  </si>
  <si>
    <t>ERX9713222</t>
  </si>
  <si>
    <t>ERR10176756</t>
  </si>
  <si>
    <t>ERX9713225</t>
  </si>
  <si>
    <t>ERR10176508</t>
  </si>
  <si>
    <t>ERX9712977</t>
  </si>
  <si>
    <t>ERR10176757</t>
  </si>
  <si>
    <t>ERX9713226</t>
  </si>
  <si>
    <t>ERR10176510</t>
  </si>
  <si>
    <t>ERX9712979</t>
  </si>
  <si>
    <t>ERR10176512</t>
  </si>
  <si>
    <t>ERX9712981</t>
  </si>
  <si>
    <t>ERR10176516</t>
  </si>
  <si>
    <t>ERX9712985</t>
  </si>
  <si>
    <t>ERR10176517</t>
  </si>
  <si>
    <t>ERX9712986</t>
  </si>
  <si>
    <t>ERR10176518</t>
  </si>
  <si>
    <t>ERX9712987</t>
  </si>
  <si>
    <t>ERR10176524</t>
  </si>
  <si>
    <t>ERX9712993</t>
  </si>
  <si>
    <t>ERR10176528</t>
  </si>
  <si>
    <t>ERX9712997</t>
  </si>
  <si>
    <t>ERR10176531</t>
  </si>
  <si>
    <t>ERX9713000</t>
  </si>
  <si>
    <t>SAMEA111330941</t>
  </si>
  <si>
    <t>ERR10176758</t>
  </si>
  <si>
    <t>ERX9713227</t>
  </si>
  <si>
    <t>ERR10176532</t>
  </si>
  <si>
    <t>ERX9713001</t>
  </si>
  <si>
    <t>ERR10176534</t>
  </si>
  <si>
    <t>ERX9713003</t>
  </si>
  <si>
    <t>ERR10176759</t>
  </si>
  <si>
    <t>ERX9713228</t>
  </si>
  <si>
    <t>ERR10176536</t>
  </si>
  <si>
    <t>ERX9713005</t>
  </si>
  <si>
    <t>ERR10176760</t>
  </si>
  <si>
    <t>ERX9713229</t>
  </si>
  <si>
    <t>ERR10176540</t>
  </si>
  <si>
    <t>ERX9713009</t>
  </si>
  <si>
    <t>ERR10176768</t>
  </si>
  <si>
    <t>ERX9713237</t>
  </si>
  <si>
    <t>ERR10176769</t>
  </si>
  <si>
    <t>ERX9713238</t>
  </si>
  <si>
    <t>ERR10176772</t>
  </si>
  <si>
    <t>ERX9713241</t>
  </si>
  <si>
    <t>SAMEA111330951</t>
  </si>
  <si>
    <t>ERR10176551</t>
  </si>
  <si>
    <t>ERX9713020</t>
  </si>
  <si>
    <t>ERR10176774</t>
  </si>
  <si>
    <t>ERX9713243</t>
  </si>
  <si>
    <t>SAMEA111330953</t>
  </si>
  <si>
    <t>ERR10176555</t>
  </si>
  <si>
    <t>ERX9713024</t>
  </si>
  <si>
    <t>ERR10176776</t>
  </si>
  <si>
    <t>ERX9713245</t>
  </si>
  <si>
    <t>ERR10176556</t>
  </si>
  <si>
    <t>ERX9713025</t>
  </si>
  <si>
    <t>ERR10176777</t>
  </si>
  <si>
    <t>ERX9713246</t>
  </si>
  <si>
    <t>ERR10176557</t>
  </si>
  <si>
    <t>ERX9713026</t>
  </si>
  <si>
    <t>ERR10176780</t>
  </si>
  <si>
    <t>ERX9713249</t>
  </si>
  <si>
    <t>ERR10176558</t>
  </si>
  <si>
    <t>ERX9713027</t>
  </si>
  <si>
    <t>ERR10176781</t>
  </si>
  <si>
    <t>ERX9713250</t>
  </si>
  <si>
    <t>ERR10176783</t>
  </si>
  <si>
    <t>ERX9713252</t>
  </si>
  <si>
    <t>ERR10176560</t>
  </si>
  <si>
    <t>ERX9713029</t>
  </si>
  <si>
    <t>ERR10176785</t>
  </si>
  <si>
    <t>ERX9713254</t>
  </si>
  <si>
    <t>ERR10176786</t>
  </si>
  <si>
    <t>ERX9713255</t>
  </si>
  <si>
    <t>ERR10176793</t>
  </si>
  <si>
    <t>ERX9713262</t>
  </si>
  <si>
    <t>ERR10176795</t>
  </si>
  <si>
    <t>ERX9713264</t>
  </si>
  <si>
    <t>ERR10176796</t>
  </si>
  <si>
    <t>ERX9713265</t>
  </si>
  <si>
    <t>ERR10176563</t>
  </si>
  <si>
    <t>ERX9713032</t>
  </si>
  <si>
    <t>ERR10176802</t>
  </si>
  <si>
    <t>ERX9713271</t>
  </si>
  <si>
    <t>ERR10176804</t>
  </si>
  <si>
    <t>ERX9713273</t>
  </si>
  <si>
    <t>ERR10176567</t>
  </si>
  <si>
    <t>ERX9713036</t>
  </si>
  <si>
    <t>ERR10176805</t>
  </si>
  <si>
    <t>ERX9713274</t>
  </si>
  <si>
    <t>ERR10176571</t>
  </si>
  <si>
    <t>ERX9713040</t>
  </si>
  <si>
    <t>ERR10176807</t>
  </si>
  <si>
    <t>ERX9713276</t>
  </si>
  <si>
    <t>ERR10176575</t>
  </si>
  <si>
    <t>ERX9713044</t>
  </si>
  <si>
    <t>ERR10176579</t>
  </si>
  <si>
    <t>ERX9713048</t>
  </si>
  <si>
    <t>ERR10176809</t>
  </si>
  <si>
    <t>ERX9713278</t>
  </si>
  <si>
    <t>ERR10176582</t>
  </si>
  <si>
    <t>ERX9713051</t>
  </si>
  <si>
    <t>ERR10176585</t>
  </si>
  <si>
    <t>ERX9713054</t>
  </si>
  <si>
    <t>ERR10176586</t>
  </si>
  <si>
    <t>ERX9713055</t>
  </si>
  <si>
    <t>ERR10176588</t>
  </si>
  <si>
    <t>ERX9713057</t>
  </si>
  <si>
    <t>ERR10176591</t>
  </si>
  <si>
    <t>ERX9713060</t>
  </si>
  <si>
    <t>ERR10176593</t>
  </si>
  <si>
    <t>ERX9713062</t>
  </si>
  <si>
    <t>ERR10176596</t>
  </si>
  <si>
    <t>ERX9713065</t>
  </si>
  <si>
    <t>ERR10176597</t>
  </si>
  <si>
    <t>ERX9713066</t>
  </si>
  <si>
    <t>ERR10176810</t>
  </si>
  <si>
    <t>ERX9713279</t>
  </si>
  <si>
    <t>ERR10176825</t>
  </si>
  <si>
    <t>ERX9713294</t>
  </si>
  <si>
    <t>SAMEA111330988</t>
  </si>
  <si>
    <t>ERR10176598</t>
  </si>
  <si>
    <t>ERX9713067</t>
  </si>
  <si>
    <t>ERR10176827</t>
  </si>
  <si>
    <t>ERX9713296</t>
  </si>
  <si>
    <t>ERR10176599</t>
  </si>
  <si>
    <t>ERX9713068</t>
  </si>
  <si>
    <t>ERR10176829</t>
  </si>
  <si>
    <t>ERX9713298</t>
  </si>
  <si>
    <t>ERR10176602</t>
  </si>
  <si>
    <t>ERX9713071</t>
  </si>
  <si>
    <t>ERR10176840</t>
  </si>
  <si>
    <t>ERX9713309</t>
  </si>
  <si>
    <t>ERR10176603</t>
  </si>
  <si>
    <t>ERX9713072</t>
  </si>
  <si>
    <t>ERR10176841</t>
  </si>
  <si>
    <t>ERX9713310</t>
  </si>
  <si>
    <t>ERR10176606</t>
  </si>
  <si>
    <t>ERX9713075</t>
  </si>
  <si>
    <t>ERR10176842</t>
  </si>
  <si>
    <t>ERX9713311</t>
  </si>
  <si>
    <t>ERR10176609</t>
  </si>
  <si>
    <t>ERX9713078</t>
  </si>
  <si>
    <t>ERR10176850</t>
  </si>
  <si>
    <t>ERX9713319</t>
  </si>
  <si>
    <t>ERR10176610</t>
  </si>
  <si>
    <t>ERX9713079</t>
  </si>
  <si>
    <t>ERR10176853</t>
  </si>
  <si>
    <t>ERX9713322</t>
  </si>
  <si>
    <t>ERR10176613</t>
  </si>
  <si>
    <t>ERX9713082</t>
  </si>
  <si>
    <t>ERR10176855</t>
  </si>
  <si>
    <t>ERX9713324</t>
  </si>
  <si>
    <t>ERR10176616</t>
  </si>
  <si>
    <t>ERX9713085</t>
  </si>
  <si>
    <t>ERR10176619</t>
  </si>
  <si>
    <t>ERX9713088</t>
  </si>
  <si>
    <t>ERR10176859</t>
  </si>
  <si>
    <t>ERX9713328</t>
  </si>
  <si>
    <t>ERR10176621</t>
  </si>
  <si>
    <t>ERX9713090</t>
  </si>
  <si>
    <t>ERR10176860</t>
  </si>
  <si>
    <t>ERX9713329</t>
  </si>
  <si>
    <t>SAMEA111331015</t>
  </si>
  <si>
    <t>ERR10176622</t>
  </si>
  <si>
    <t>ERX9713091</t>
  </si>
  <si>
    <t>SAMEA111331008</t>
  </si>
  <si>
    <t>ERR10176873</t>
  </si>
  <si>
    <t>ERX9713342</t>
  </si>
  <si>
    <t>SAMEA111331010</t>
  </si>
  <si>
    <t>ERR10176625</t>
  </si>
  <si>
    <t>ERX9713094</t>
  </si>
  <si>
    <t>SAMEA111331011</t>
  </si>
  <si>
    <t>ERR10176875</t>
  </si>
  <si>
    <t>ERX9713344</t>
  </si>
  <si>
    <t>SAMEA111331013</t>
  </si>
  <si>
    <t>ERR10176882</t>
  </si>
  <si>
    <t>ERX9713351</t>
  </si>
  <si>
    <t>SAMEA111331009</t>
  </si>
  <si>
    <t>ERR10176627</t>
  </si>
  <si>
    <t>ERX9713096</t>
  </si>
  <si>
    <t>SAMEA111331014</t>
  </si>
  <si>
    <t>ERR10176628</t>
  </si>
  <si>
    <t>ERX9713097</t>
  </si>
  <si>
    <t>SAMEA111331016</t>
  </si>
  <si>
    <t>ERR10176884</t>
  </si>
  <si>
    <t>ERX9713353</t>
  </si>
  <si>
    <t>ERR10176629</t>
  </si>
  <si>
    <t>ERX9713098</t>
  </si>
  <si>
    <t>ERR10176885</t>
  </si>
  <si>
    <t>ERX9713354</t>
  </si>
  <si>
    <t>ERR10176634</t>
  </si>
  <si>
    <t>ERX9713103</t>
  </si>
  <si>
    <t>ERR10176889</t>
  </si>
  <si>
    <t>ERX9713358</t>
  </si>
  <si>
    <t>ERR10176636</t>
  </si>
  <si>
    <t>ERX9713105</t>
  </si>
  <si>
    <t>ERR10176890</t>
  </si>
  <si>
    <t>ERX9713359</t>
  </si>
  <si>
    <t>ERR10176640</t>
  </si>
  <si>
    <t>ERX9713109</t>
  </si>
  <si>
    <t>SAMEA111331025</t>
  </si>
  <si>
    <t>ERR10176894</t>
  </si>
  <si>
    <t>ERX9713363</t>
  </si>
  <si>
    <t>ERR10176646</t>
  </si>
  <si>
    <t>ERX9713115</t>
  </si>
  <si>
    <t>ERR10176898</t>
  </si>
  <si>
    <t>ERX9713367</t>
  </si>
  <si>
    <t>ERR10176650</t>
  </si>
  <si>
    <t>ERX9713119</t>
  </si>
  <si>
    <t>ERR10176652</t>
  </si>
  <si>
    <t>ERX9713121</t>
  </si>
  <si>
    <t>SAMEA111331029</t>
  </si>
  <si>
    <t>ERR10176654</t>
  </si>
  <si>
    <t>ERX9713123</t>
  </si>
  <si>
    <t>ERR10176656</t>
  </si>
  <si>
    <t>ERX9713125</t>
  </si>
  <si>
    <t>ERR10176659</t>
  </si>
  <si>
    <t>ERX9713128</t>
  </si>
  <si>
    <t>ERR10176901</t>
  </si>
  <si>
    <t>ERX9713370</t>
  </si>
  <si>
    <t>SAMEA111331036</t>
  </si>
  <si>
    <t>ERR10176904</t>
  </si>
  <si>
    <t>ERX9713373</t>
  </si>
  <si>
    <t>SAMEA111331038</t>
  </si>
  <si>
    <t>ERR10176908</t>
  </si>
  <si>
    <t>ERX9713377</t>
  </si>
  <si>
    <t>SAMEA111331039</t>
  </si>
  <si>
    <t>ERR10176663</t>
  </si>
  <si>
    <t>ERX9713132</t>
  </si>
  <si>
    <t>SAMEA111331042</t>
  </si>
  <si>
    <t>ERR10176912</t>
  </si>
  <si>
    <t>ERX9713381</t>
  </si>
  <si>
    <t>SAMEA111331037</t>
  </si>
  <si>
    <t>ERR10176664</t>
  </si>
  <si>
    <t>ERX9713133</t>
  </si>
  <si>
    <t>SAMEA111331040</t>
  </si>
  <si>
    <t>ERR10176913</t>
  </si>
  <si>
    <t>ERX9713382</t>
  </si>
  <si>
    <t>SAMEA111331041</t>
  </si>
  <si>
    <t>ERR10176914</t>
  </si>
  <si>
    <t>ERX9713383</t>
  </si>
  <si>
    <t>SAMEA111331033</t>
  </si>
  <si>
    <t>ERR10176665</t>
  </si>
  <si>
    <t>ERX9713134</t>
  </si>
  <si>
    <t>SAMEA111331035</t>
  </si>
  <si>
    <t>ERR10176916</t>
  </si>
  <si>
    <t>ERX9713385</t>
  </si>
  <si>
    <t>ERR10176920</t>
  </si>
  <si>
    <t>ERX9713389</t>
  </si>
  <si>
    <t>ERR10176672</t>
  </si>
  <si>
    <t>ERX9713141</t>
  </si>
  <si>
    <t>ERR10176673</t>
  </si>
  <si>
    <t>ERX9713142</t>
  </si>
  <si>
    <t>ERR10176922</t>
  </si>
  <si>
    <t>ERX9713391</t>
  </si>
  <si>
    <t>ERR10176931</t>
  </si>
  <si>
    <t>ERX9713400</t>
  </si>
  <si>
    <t>ERR10176932</t>
  </si>
  <si>
    <t>ERX9713401</t>
  </si>
  <si>
    <t>ERR10176675</t>
  </si>
  <si>
    <t>ERX9713144</t>
  </si>
  <si>
    <t>ERR10176676</t>
  </si>
  <si>
    <t>ERX9713145</t>
  </si>
  <si>
    <t>ERR10176935</t>
  </si>
  <si>
    <t>ERX9713404</t>
  </si>
  <si>
    <t>ERR10176939</t>
  </si>
  <si>
    <t>ERX9713408</t>
  </si>
  <si>
    <t>ERR10176682</t>
  </si>
  <si>
    <t>ERX9713151</t>
  </si>
  <si>
    <t>ERR10176940</t>
  </si>
  <si>
    <t>ERX9713409</t>
  </si>
  <si>
    <t>ERR10176687</t>
  </si>
  <si>
    <t>ERX9713156</t>
  </si>
  <si>
    <t>ERR10176945</t>
  </si>
  <si>
    <t>ERX9713414</t>
  </si>
  <si>
    <t>ERR10176690</t>
  </si>
  <si>
    <t>ERX9713159</t>
  </si>
  <si>
    <t>ERR10176946</t>
  </si>
  <si>
    <t>ERX9713415</t>
  </si>
  <si>
    <t>ERR10176691</t>
  </si>
  <si>
    <t>ERX9713160</t>
  </si>
  <si>
    <t>ERR10176947</t>
  </si>
  <si>
    <t>ERX9713416</t>
  </si>
  <si>
    <t>ERR10176694</t>
  </si>
  <si>
    <t>ERX9713163</t>
  </si>
  <si>
    <t>ERR10176948</t>
  </si>
  <si>
    <t>ERX9713417</t>
  </si>
  <si>
    <t>ERR10176697</t>
  </si>
  <si>
    <t>ERX9713166</t>
  </si>
  <si>
    <t>ERR10176952</t>
  </si>
  <si>
    <t>ERX9713421</t>
  </si>
  <si>
    <t>ERR10176699</t>
  </si>
  <si>
    <t>ERX9713168</t>
  </si>
  <si>
    <t>SAMEA111331066</t>
  </si>
  <si>
    <t>ERR10176953</t>
  </si>
  <si>
    <t>ERX9713422</t>
  </si>
  <si>
    <t>ERR10176704</t>
  </si>
  <si>
    <t>ERX9713173</t>
  </si>
  <si>
    <t>ERR10176709</t>
  </si>
  <si>
    <t>ERX9713178</t>
  </si>
  <si>
    <t>ERR10176713</t>
  </si>
  <si>
    <t>ERX9713182</t>
  </si>
  <si>
    <t>ERR10176714</t>
  </si>
  <si>
    <t>ERX9713183</t>
  </si>
  <si>
    <t>ERR10176969</t>
  </si>
  <si>
    <t>ERX9713438</t>
  </si>
  <si>
    <t>ERR10176723</t>
  </si>
  <si>
    <t>ERX9713192</t>
  </si>
  <si>
    <t>ERR10176977</t>
  </si>
  <si>
    <t>ERX9713446</t>
  </si>
  <si>
    <t>ERR10176725</t>
  </si>
  <si>
    <t>ERX9713194</t>
  </si>
  <si>
    <t>ERR10176978</t>
  </si>
  <si>
    <t>ERX9713447</t>
  </si>
  <si>
    <t>ERR10176727</t>
  </si>
  <si>
    <t>ERX9713196</t>
  </si>
  <si>
    <t>ERR10176980</t>
  </si>
  <si>
    <t>ERX9713449</t>
  </si>
  <si>
    <t>ERR10176731</t>
  </si>
  <si>
    <t>ERX9713200</t>
  </si>
  <si>
    <t>ERR10176982</t>
  </si>
  <si>
    <t>ERX9713451</t>
  </si>
  <si>
    <t>SAMEA111331080</t>
  </si>
  <si>
    <t>ERR10176734</t>
  </si>
  <si>
    <t>ERX9713203</t>
  </si>
  <si>
    <t>ERR10176985</t>
  </si>
  <si>
    <t>ERX9713454</t>
  </si>
  <si>
    <t>ERR10176737</t>
  </si>
  <si>
    <t>ERX9713206</t>
  </si>
  <si>
    <t>ERR10176991</t>
  </si>
  <si>
    <t>ERX9713460</t>
  </si>
  <si>
    <t>ERR10176739</t>
  </si>
  <si>
    <t>ERX9713208</t>
  </si>
  <si>
    <t>ERR10176994</t>
  </si>
  <si>
    <t>ERX9713463</t>
  </si>
  <si>
    <t>ERR10176740</t>
  </si>
  <si>
    <t>ERX9713209</t>
  </si>
  <si>
    <t>ERR10176997</t>
  </si>
  <si>
    <t>ERX9713466</t>
  </si>
  <si>
    <t>ERR10176741</t>
  </si>
  <si>
    <t>ERX9713210</t>
  </si>
  <si>
    <t>ERR10177003</t>
  </si>
  <si>
    <t>ERX9713472</t>
  </si>
  <si>
    <t>ERR10176743</t>
  </si>
  <si>
    <t>ERX9713212</t>
  </si>
  <si>
    <t>ERR10177004</t>
  </si>
  <si>
    <t>ERX9713473</t>
  </si>
  <si>
    <t>ERR10176744</t>
  </si>
  <si>
    <t>ERX9713213</t>
  </si>
  <si>
    <t>ERR10177006</t>
  </si>
  <si>
    <t>ERX9713475</t>
  </si>
  <si>
    <t>ERR10176745</t>
  </si>
  <si>
    <t>ERX9713214</t>
  </si>
  <si>
    <t>ERR10177008</t>
  </si>
  <si>
    <t>ERX9713477</t>
  </si>
  <si>
    <t>ERR10176746</t>
  </si>
  <si>
    <t>ERX9713215</t>
  </si>
  <si>
    <t>ERR10176748</t>
  </si>
  <si>
    <t>ERX9713217</t>
  </si>
  <si>
    <t>ERR10176749</t>
  </si>
  <si>
    <t>ERX9713218</t>
  </si>
  <si>
    <t>ERR10177012</t>
  </si>
  <si>
    <t>ERX9713481</t>
  </si>
  <si>
    <t>ERR10177015</t>
  </si>
  <si>
    <t>ERX9713484</t>
  </si>
  <si>
    <t>ERR10176751</t>
  </si>
  <si>
    <t>ERX9713220</t>
  </si>
  <si>
    <t>ERR10176761</t>
  </si>
  <si>
    <t>ERX9713230</t>
  </si>
  <si>
    <t>ERR10177018</t>
  </si>
  <si>
    <t>ERX9713487</t>
  </si>
  <si>
    <t>ERR10176762</t>
  </si>
  <si>
    <t>ERX9713231</t>
  </si>
  <si>
    <t>ERR10176763</t>
  </si>
  <si>
    <t>ERX9713232</t>
  </si>
  <si>
    <t>ERR10177019</t>
  </si>
  <si>
    <t>ERX9713488</t>
  </si>
  <si>
    <t>SAMEA111331115</t>
  </si>
  <si>
    <t>ERR10177021</t>
  </si>
  <si>
    <t>ERX9713490</t>
  </si>
  <si>
    <t>SAMEA111331106</t>
  </si>
  <si>
    <t>ERR10176766</t>
  </si>
  <si>
    <t>ERX9713235</t>
  </si>
  <si>
    <t>SAMEA111331109</t>
  </si>
  <si>
    <t>ERR10177024</t>
  </si>
  <si>
    <t>ERX9713493</t>
  </si>
  <si>
    <t>SAMEA111331114</t>
  </si>
  <si>
    <t>ERR10176767</t>
  </si>
  <si>
    <t>ERX9713236</t>
  </si>
  <si>
    <t>SAMEA111331107</t>
  </si>
  <si>
    <t>ERR10177026</t>
  </si>
  <si>
    <t>ERX9713495</t>
  </si>
  <si>
    <t>SAMEA111331108</t>
  </si>
  <si>
    <t>ERR10176775</t>
  </si>
  <si>
    <t>ERX9713244</t>
  </si>
  <si>
    <t>SAMEA111331110</t>
  </si>
  <si>
    <t>ERR10177030</t>
  </si>
  <si>
    <t>ERX9713499</t>
  </si>
  <si>
    <t>SAMEA111331111</t>
  </si>
  <si>
    <t>ERR10176778</t>
  </si>
  <si>
    <t>ERX9713247</t>
  </si>
  <si>
    <t>SAMEA111331113</t>
  </si>
  <si>
    <t>ERR10177034</t>
  </si>
  <si>
    <t>ERX9713503</t>
  </si>
  <si>
    <t>ERR10176779</t>
  </si>
  <si>
    <t>ERX9713248</t>
  </si>
  <si>
    <t>ERR10177035</t>
  </si>
  <si>
    <t>ERX9713504</t>
  </si>
  <si>
    <t>ERR10176782</t>
  </si>
  <si>
    <t>ERX9713251</t>
  </si>
  <si>
    <t>ERR10176790</t>
  </si>
  <si>
    <t>ERX9713259</t>
  </si>
  <si>
    <t>ERR10176791</t>
  </si>
  <si>
    <t>ERX9713260</t>
  </si>
  <si>
    <t>ERR10176794</t>
  </si>
  <si>
    <t>ERX9713263</t>
  </si>
  <si>
    <t>ERR10176798</t>
  </si>
  <si>
    <t>ERX9713267</t>
  </si>
  <si>
    <t>ERR10177039</t>
  </si>
  <si>
    <t>ERX9713508</t>
  </si>
  <si>
    <t>ERR10176799</t>
  </si>
  <si>
    <t>ERX9713268</t>
  </si>
  <si>
    <t>SAMEA111331125</t>
  </si>
  <si>
    <t>ERR10177049</t>
  </si>
  <si>
    <t>ERX9713518</t>
  </si>
  <si>
    <t>SAMEA111331126</t>
  </si>
  <si>
    <t>ERR10176801</t>
  </si>
  <si>
    <t>ERX9713270</t>
  </si>
  <si>
    <t>ERR10176812</t>
  </si>
  <si>
    <t>ERX9713281</t>
  </si>
  <si>
    <t>ERR10177052</t>
  </si>
  <si>
    <t>ERX9713521</t>
  </si>
  <si>
    <t>ERR10176813</t>
  </si>
  <si>
    <t>ERX9713282</t>
  </si>
  <si>
    <t>SAMEA111331130</t>
  </si>
  <si>
    <t>ERR10177053</t>
  </si>
  <si>
    <t>ERX9713522</t>
  </si>
  <si>
    <t>ERR10177059</t>
  </si>
  <si>
    <t>ERX9713528</t>
  </si>
  <si>
    <t>ERR10176814</t>
  </si>
  <si>
    <t>ERX9713283</t>
  </si>
  <si>
    <t>ERR10177061</t>
  </si>
  <si>
    <t>ERX9713530</t>
  </si>
  <si>
    <t>ERR10177062</t>
  </si>
  <si>
    <t>ERX9713531</t>
  </si>
  <si>
    <t>SAMEA111331135</t>
  </si>
  <si>
    <t>ERR10176815</t>
  </si>
  <si>
    <t>ERX9713284</t>
  </si>
  <si>
    <t>SAMEA111331136</t>
  </si>
  <si>
    <t>ERR10177063</t>
  </si>
  <si>
    <t>ERX9713532</t>
  </si>
  <si>
    <t>ERR10176816</t>
  </si>
  <si>
    <t>ERX9713285</t>
  </si>
  <si>
    <t>SAMEA111331138</t>
  </si>
  <si>
    <t>ERR10177067</t>
  </si>
  <si>
    <t>ERX9713536</t>
  </si>
  <si>
    <t>ERR10176822</t>
  </si>
  <si>
    <t>ERX9713291</t>
  </si>
  <si>
    <t>ERR10177069</t>
  </si>
  <si>
    <t>ERX9713538</t>
  </si>
  <si>
    <t>SAMEA111331141</t>
  </si>
  <si>
    <t>ERR10176824</t>
  </si>
  <si>
    <t>ERX9713293</t>
  </si>
  <si>
    <t>ERR10177073</t>
  </si>
  <si>
    <t>ERX9713542</t>
  </si>
  <si>
    <t>ERR10177074</t>
  </si>
  <si>
    <t>ERX9713543</t>
  </si>
  <si>
    <t>ERR10176830</t>
  </si>
  <si>
    <t>ERX9713299</t>
  </si>
  <si>
    <t>ERR10177076</t>
  </si>
  <si>
    <t>ERX9713545</t>
  </si>
  <si>
    <t>ERR10176831</t>
  </si>
  <si>
    <t>ERX9713300</t>
  </si>
  <si>
    <t>ERR10177081</t>
  </si>
  <si>
    <t>ERX9713550</t>
  </si>
  <si>
    <t>ERR10176835</t>
  </si>
  <si>
    <t>ERX9713304</t>
  </si>
  <si>
    <t>ERR10177082</t>
  </si>
  <si>
    <t>ERX9713551</t>
  </si>
  <si>
    <t>ERR10176836</t>
  </si>
  <si>
    <t>ERX9713305</t>
  </si>
  <si>
    <t>SAMEA111331151</t>
  </si>
  <si>
    <t>ERR10177084</t>
  </si>
  <si>
    <t>ERX9713553</t>
  </si>
  <si>
    <t>ERR10176839</t>
  </si>
  <si>
    <t>ERX9713308</t>
  </si>
  <si>
    <t>ERR10177085</t>
  </si>
  <si>
    <t>ERX9713554</t>
  </si>
  <si>
    <t>ERR10176844</t>
  </si>
  <si>
    <t>ERX9713313</t>
  </si>
  <si>
    <t>ERR10177088</t>
  </si>
  <si>
    <t>ERX9713557</t>
  </si>
  <si>
    <t>ERR10176847</t>
  </si>
  <si>
    <t>ERX9713316</t>
  </si>
  <si>
    <t>ERR10177100</t>
  </si>
  <si>
    <t>ERX9713569</t>
  </si>
  <si>
    <t>SAMEA111331158</t>
  </si>
  <si>
    <t>ERR10176852</t>
  </si>
  <si>
    <t>ERX9713321</t>
  </si>
  <si>
    <t>ERR10177110</t>
  </si>
  <si>
    <t>ERX9713579</t>
  </si>
  <si>
    <t>ERR10176862</t>
  </si>
  <si>
    <t>ERX9713331</t>
  </si>
  <si>
    <t>ERR10177117</t>
  </si>
  <si>
    <t>ERX9713586</t>
  </si>
  <si>
    <t>ERR10176877</t>
  </si>
  <si>
    <t>ERX9713346</t>
  </si>
  <si>
    <t>ERR10177127</t>
  </si>
  <si>
    <t>ERX9713596</t>
  </si>
  <si>
    <t>ERR10176880</t>
  </si>
  <si>
    <t>ERX9713349</t>
  </si>
  <si>
    <t>ERR10177150</t>
  </si>
  <si>
    <t>ERX9713619</t>
  </si>
  <si>
    <t>SAMEA111331166</t>
  </si>
  <si>
    <t>ERR10176883</t>
  </si>
  <si>
    <t>ERX9713352</t>
  </si>
  <si>
    <t>ERR10177152</t>
  </si>
  <si>
    <t>ERX9713621</t>
  </si>
  <si>
    <t>ERR10176887</t>
  </si>
  <si>
    <t>ERX9713356</t>
  </si>
  <si>
    <t>SAMEA111331169</t>
  </si>
  <si>
    <t>ERR10177155</t>
  </si>
  <si>
    <t>ERX9713624</t>
  </si>
  <si>
    <t>ERR10176892</t>
  </si>
  <si>
    <t>ERX9713361</t>
  </si>
  <si>
    <t>SAMEA111331171</t>
  </si>
  <si>
    <t>ERR10177156</t>
  </si>
  <si>
    <t>ERX9713625</t>
  </si>
  <si>
    <t>ERR10176895</t>
  </si>
  <si>
    <t>ERX9713364</t>
  </si>
  <si>
    <t>SAMEA111331173</t>
  </si>
  <si>
    <t>ERR10177162</t>
  </si>
  <si>
    <t>ERX9713631</t>
  </si>
  <si>
    <t>ERR10176896</t>
  </si>
  <si>
    <t>ERX9713365</t>
  </si>
  <si>
    <t>ERR10177166</t>
  </si>
  <si>
    <t>ERX9713635</t>
  </si>
  <si>
    <t>ERR10176897</t>
  </si>
  <si>
    <t>ERX9713366</t>
  </si>
  <si>
    <t>SAMEA111331177</t>
  </si>
  <si>
    <t>ERR10176899</t>
  </si>
  <si>
    <t>ERX9713368</t>
  </si>
  <si>
    <t>ERR10176900</t>
  </si>
  <si>
    <t>ERX9713369</t>
  </si>
  <si>
    <t>ERR10176902</t>
  </si>
  <si>
    <t>ERX9713371</t>
  </si>
  <si>
    <t>SAMEA111331180</t>
  </si>
  <si>
    <t>ERR10177167</t>
  </si>
  <si>
    <t>ERX9713636</t>
  </si>
  <si>
    <t>SAMEA111331181</t>
  </si>
  <si>
    <t>ERR10176906</t>
  </si>
  <si>
    <t>ERX9713375</t>
  </si>
  <si>
    <t>ERR10177168</t>
  </si>
  <si>
    <t>ERX9713637</t>
  </si>
  <si>
    <t>ERR10176910</t>
  </si>
  <si>
    <t>ERX9713379</t>
  </si>
  <si>
    <t>ERR10177170</t>
  </si>
  <si>
    <t>ERX9713639</t>
  </si>
  <si>
    <t>ERR10177175</t>
  </si>
  <si>
    <t>ERX9713644</t>
  </si>
  <si>
    <t>ERR10176911</t>
  </si>
  <si>
    <t>ERX9713380</t>
  </si>
  <si>
    <t>ERR10177179</t>
  </si>
  <si>
    <t>ERX9713648</t>
  </si>
  <si>
    <t>ERR10176915</t>
  </si>
  <si>
    <t>ERX9713384</t>
  </si>
  <si>
    <t>SAMEA111331189</t>
  </si>
  <si>
    <t>ERR10176917</t>
  </si>
  <si>
    <t>ERX9713386</t>
  </si>
  <si>
    <t>ERR10177180</t>
  </si>
  <si>
    <t>ERX9713649</t>
  </si>
  <si>
    <t>ERR10176921</t>
  </si>
  <si>
    <t>ERX9713390</t>
  </si>
  <si>
    <t>ERR10177181</t>
  </si>
  <si>
    <t>ERX9713650</t>
  </si>
  <si>
    <t>SAMEA111331193</t>
  </si>
  <si>
    <t>ERR10177183</t>
  </si>
  <si>
    <t>ERX9713652</t>
  </si>
  <si>
    <t>ERR10176923</t>
  </si>
  <si>
    <t>ERX9713392</t>
  </si>
  <si>
    <t>ERR10176924</t>
  </si>
  <si>
    <t>ERX9713393</t>
  </si>
  <si>
    <t>SAMEA111331196</t>
  </si>
  <si>
    <t>ERR10177190</t>
  </si>
  <si>
    <t>ERX9713659</t>
  </si>
  <si>
    <t>ERR10176925</t>
  </si>
  <si>
    <t>ERX9713394</t>
  </si>
  <si>
    <t>ERR10177196</t>
  </si>
  <si>
    <t>ERX9713665</t>
  </si>
  <si>
    <t>ERR10176927</t>
  </si>
  <si>
    <t>ERX9713396</t>
  </si>
  <si>
    <t>ERR10177197</t>
  </si>
  <si>
    <t>ERX9713666</t>
  </si>
  <si>
    <t>ERR10176928</t>
  </si>
  <si>
    <t>ERX9713397</t>
  </si>
  <si>
    <t>ERR10177198</t>
  </si>
  <si>
    <t>ERX9713667</t>
  </si>
  <si>
    <t>ERR10177208</t>
  </si>
  <si>
    <t>ERX9713677</t>
  </si>
  <si>
    <t>ERR10176930</t>
  </si>
  <si>
    <t>ERX9713399</t>
  </si>
  <si>
    <t>ERR10176938</t>
  </si>
  <si>
    <t>ERX9713407</t>
  </si>
  <si>
    <t>ERR10177209</t>
  </si>
  <si>
    <t>ERX9713678</t>
  </si>
  <si>
    <t>ERR10176943</t>
  </si>
  <si>
    <t>ERX9713412</t>
  </si>
  <si>
    <t>ERR10176944</t>
  </si>
  <si>
    <t>ERX9713413</t>
  </si>
  <si>
    <t>ERR10176951</t>
  </si>
  <si>
    <t>ERX9713420</t>
  </si>
  <si>
    <t>ERR10177216</t>
  </si>
  <si>
    <t>ERX9713685</t>
  </si>
  <si>
    <t>ERR10176954</t>
  </si>
  <si>
    <t>ERX9713423</t>
  </si>
  <si>
    <t>ERR10177218</t>
  </si>
  <si>
    <t>ERX9713687</t>
  </si>
  <si>
    <t>ERR10176955</t>
  </si>
  <si>
    <t>ERX9713424</t>
  </si>
  <si>
    <t>ERR10176956</t>
  </si>
  <si>
    <t>ERX9713425</t>
  </si>
  <si>
    <t>ERR10176960</t>
  </si>
  <si>
    <t>ERX9713429</t>
  </si>
  <si>
    <t>ERR10176962</t>
  </si>
  <si>
    <t>ERX9713431</t>
  </si>
  <si>
    <t>ERR10176965</t>
  </si>
  <si>
    <t>ERX9713434</t>
  </si>
  <si>
    <t>ERR10176968</t>
  </si>
  <si>
    <t>ERX9713437</t>
  </si>
  <si>
    <t>ERR10176970</t>
  </si>
  <si>
    <t>ERX9713439</t>
  </si>
  <si>
    <t>ERR10176976</t>
  </si>
  <si>
    <t>ERX9713445</t>
  </si>
  <si>
    <t>ERR10177220</t>
  </si>
  <si>
    <t>ERX9713689</t>
  </si>
  <si>
    <t>ERR10176983</t>
  </si>
  <si>
    <t>ERX9713452</t>
  </si>
  <si>
    <t>ERR10177221</t>
  </si>
  <si>
    <t>ERX9713690</t>
  </si>
  <si>
    <t>ERR10176984</t>
  </si>
  <si>
    <t>ERX9713453</t>
  </si>
  <si>
    <t>ERR10177223</t>
  </si>
  <si>
    <t>ERX9713692</t>
  </si>
  <si>
    <t>SAMEA111331226</t>
  </si>
  <si>
    <t>ERR10177228</t>
  </si>
  <si>
    <t>ERX9713697</t>
  </si>
  <si>
    <t>ERR10176986</t>
  </si>
  <si>
    <t>ERX9713455</t>
  </si>
  <si>
    <t>ERR10177229</t>
  </si>
  <si>
    <t>ERX9713698</t>
  </si>
  <si>
    <t>ERR10176987</t>
  </si>
  <si>
    <t>ERX9713456</t>
  </si>
  <si>
    <t>SAMEA111331230</t>
  </si>
  <si>
    <t>ERR10177230</t>
  </si>
  <si>
    <t>ERX9713699</t>
  </si>
  <si>
    <t>ERR10176988</t>
  </si>
  <si>
    <t>ERX9713457</t>
  </si>
  <si>
    <t>ERR10177231</t>
  </si>
  <si>
    <t>ERX9713700</t>
  </si>
  <si>
    <t>SAMEA111331233</t>
  </si>
  <si>
    <t>ERR10176989</t>
  </si>
  <si>
    <t>ERX9713458</t>
  </si>
  <si>
    <t>ERR10177233</t>
  </si>
  <si>
    <t>ERX9713702</t>
  </si>
  <si>
    <t>ERR10176992</t>
  </si>
  <si>
    <t>ERX9713461</t>
  </si>
  <si>
    <t>ERR10177238</t>
  </si>
  <si>
    <t>ERX9713707</t>
  </si>
  <si>
    <t>ERR10176993</t>
  </si>
  <si>
    <t>ERX9713462</t>
  </si>
  <si>
    <t>ERR10177241</t>
  </si>
  <si>
    <t>ERX9713710</t>
  </si>
  <si>
    <t>ERR10177242</t>
  </si>
  <si>
    <t>ERX9713711</t>
  </si>
  <si>
    <t>ERR10176996</t>
  </si>
  <si>
    <t>ERX9713465</t>
  </si>
  <si>
    <t>ERR10177245</t>
  </si>
  <si>
    <t>ERX9713714</t>
  </si>
  <si>
    <t>ERR10176999</t>
  </si>
  <si>
    <t>ERX9713468</t>
  </si>
  <si>
    <t>SAMEA111331243</t>
  </si>
  <si>
    <t>ERR10177250</t>
  </si>
  <si>
    <t>ERX9713719</t>
  </si>
  <si>
    <t>ERR10177000</t>
  </si>
  <si>
    <t>ERX9713469</t>
  </si>
  <si>
    <t>ERR10177251</t>
  </si>
  <si>
    <t>ERX9713720</t>
  </si>
  <si>
    <t>ERR10177002</t>
  </si>
  <si>
    <t>ERX9713471</t>
  </si>
  <si>
    <t>ERR10177254</t>
  </si>
  <si>
    <t>ERX9713723</t>
  </si>
  <si>
    <t>ERR10177005</t>
  </si>
  <si>
    <t>ERX9713474</t>
  </si>
  <si>
    <t>ERR10177259</t>
  </si>
  <si>
    <t>ERX9713728</t>
  </si>
  <si>
    <t>ERR10177007</t>
  </si>
  <si>
    <t>ERX9713476</t>
  </si>
  <si>
    <t>SAMEA111331251</t>
  </si>
  <si>
    <t>ERR10177262</t>
  </si>
  <si>
    <t>ERX9713731</t>
  </si>
  <si>
    <t>ERR10177009</t>
  </si>
  <si>
    <t>ERX9713478</t>
  </si>
  <si>
    <t>ERR10177267</t>
  </si>
  <si>
    <t>ERX9713736</t>
  </si>
  <si>
    <t>ERR10177014</t>
  </si>
  <si>
    <t>ERX9713483</t>
  </si>
  <si>
    <t>ERR10177270</t>
  </si>
  <si>
    <t>ERX9713739</t>
  </si>
  <si>
    <t>ERR10177016</t>
  </si>
  <si>
    <t>ERX9713485</t>
  </si>
  <si>
    <t>ERR10177272</t>
  </si>
  <si>
    <t>ERX9713741</t>
  </si>
  <si>
    <t>ERR10177020</t>
  </si>
  <si>
    <t>ERX9713489</t>
  </si>
  <si>
    <t>ERR10177273</t>
  </si>
  <si>
    <t>ERX9713742</t>
  </si>
  <si>
    <t>ERR10177028</t>
  </si>
  <si>
    <t>ERX9713497</t>
  </si>
  <si>
    <t>ERR10177032</t>
  </si>
  <si>
    <t>ERX9713501</t>
  </si>
  <si>
    <t>ERR10177033</t>
  </si>
  <si>
    <t>ERX9713502</t>
  </si>
  <si>
    <t>ERR10177040</t>
  </si>
  <si>
    <t>ERX9713509</t>
  </si>
  <si>
    <t>ERR10177274</t>
  </si>
  <si>
    <t>ERX9713743</t>
  </si>
  <si>
    <t>SAMEA111331265</t>
  </si>
  <si>
    <t>ERR10177041</t>
  </si>
  <si>
    <t>ERX9713510</t>
  </si>
  <si>
    <t>SAMEA111331266</t>
  </si>
  <si>
    <t>ERR10177275</t>
  </si>
  <si>
    <t>ERX9713744</t>
  </si>
  <si>
    <t>ERR10177045</t>
  </si>
  <si>
    <t>ERX9713514</t>
  </si>
  <si>
    <t>ERR10177276</t>
  </si>
  <si>
    <t>ERX9713745</t>
  </si>
  <si>
    <t>ERR10177048</t>
  </si>
  <si>
    <t>ERX9713517</t>
  </si>
  <si>
    <t>ERR10177278</t>
  </si>
  <si>
    <t>ERX9713747</t>
  </si>
  <si>
    <t>SAMEA111331271</t>
  </si>
  <si>
    <t>ERR10177050</t>
  </si>
  <si>
    <t>ERX9713519</t>
  </si>
  <si>
    <t>SAMEA111331272</t>
  </si>
  <si>
    <t>ERR10177283</t>
  </si>
  <si>
    <t>ERX9713752</t>
  </si>
  <si>
    <t>SAMEA111331273</t>
  </si>
  <si>
    <t>ERR10177051</t>
  </si>
  <si>
    <t>ERX9713520</t>
  </si>
  <si>
    <t>SAMEA111331274</t>
  </si>
  <si>
    <t>ERR10177284</t>
  </si>
  <si>
    <t>ERX9713753</t>
  </si>
  <si>
    <t>SAMEA111331275</t>
  </si>
  <si>
    <t>ERR10177286</t>
  </si>
  <si>
    <t>ERX9713755</t>
  </si>
  <si>
    <t>SAMEA111331276</t>
  </si>
  <si>
    <t>ERR10177054</t>
  </si>
  <si>
    <t>ERX9713523</t>
  </si>
  <si>
    <t>SAMEA111331277</t>
  </si>
  <si>
    <t>ERR10177287</t>
  </si>
  <si>
    <t>ERX9713756</t>
  </si>
  <si>
    <t>SAMEA111331278</t>
  </si>
  <si>
    <t>ERR10177055</t>
  </si>
  <si>
    <t>ERX9713524</t>
  </si>
  <si>
    <t>SAMEA111331279</t>
  </si>
  <si>
    <t>ERR10177291</t>
  </si>
  <si>
    <t>ERX9713760</t>
  </si>
  <si>
    <t>SAMEA111331280</t>
  </si>
  <si>
    <t>ERR10177057</t>
  </si>
  <si>
    <t>ERX9713526</t>
  </si>
  <si>
    <t>SAMEA111331281</t>
  </si>
  <si>
    <t>ERR10177294</t>
  </si>
  <si>
    <t>ERX9713763</t>
  </si>
  <si>
    <t>SAMEA111331282</t>
  </si>
  <si>
    <t>ERR10177295</t>
  </si>
  <si>
    <t>ERX9713764</t>
  </si>
  <si>
    <t>SAMEA111331283</t>
  </si>
  <si>
    <t>ERR10177058</t>
  </si>
  <si>
    <t>ERX9713527</t>
  </si>
  <si>
    <t>SAMEA111331284</t>
  </si>
  <si>
    <t>ERR10177296</t>
  </si>
  <si>
    <t>ERX9713765</t>
  </si>
  <si>
    <t>SAMEA111331285</t>
  </si>
  <si>
    <t>ERR10177060</t>
  </si>
  <si>
    <t>ERX9713529</t>
  </si>
  <si>
    <t>SAMEA111331286</t>
  </si>
  <si>
    <t>ERR10177299</t>
  </si>
  <si>
    <t>ERX9713768</t>
  </si>
  <si>
    <t>SAMEA111331287</t>
  </si>
  <si>
    <t>ERR10177064</t>
  </si>
  <si>
    <t>ERX9713533</t>
  </si>
  <si>
    <t>SAMEA111331288</t>
  </si>
  <si>
    <t>ERR10177306</t>
  </si>
  <si>
    <t>ERX9713775</t>
  </si>
  <si>
    <t>SAMEA111331289</t>
  </si>
  <si>
    <t>ERR10177066</t>
  </si>
  <si>
    <t>ERX9713535</t>
  </si>
  <si>
    <t>SAMEA111331290</t>
  </si>
  <si>
    <t>ERR10177309</t>
  </si>
  <si>
    <t>ERX9713778</t>
  </si>
  <si>
    <t>SAMEA111331291</t>
  </si>
  <si>
    <t>ERR10177312</t>
  </si>
  <si>
    <t>ERX9713781</t>
  </si>
  <si>
    <t>SAMEA111331292</t>
  </si>
  <si>
    <t>ERR10177068</t>
  </si>
  <si>
    <t>ERX9713537</t>
  </si>
  <si>
    <t>SAMEA111331293</t>
  </si>
  <si>
    <t>ERR10177313</t>
  </si>
  <si>
    <t>ERX9713782</t>
  </si>
  <si>
    <t>SAMEA111331294</t>
  </si>
  <si>
    <t>ERR10177072</t>
  </si>
  <si>
    <t>ERX9713541</t>
  </si>
  <si>
    <t>ERR10177315</t>
  </si>
  <si>
    <t>ERX9713784</t>
  </si>
  <si>
    <t>ERR10177075</t>
  </si>
  <si>
    <t>ERX9713544</t>
  </si>
  <si>
    <t>ERR10177077</t>
  </si>
  <si>
    <t>ERX9713546</t>
  </si>
  <si>
    <t>SAMEA111331298</t>
  </si>
  <si>
    <t>ERR10177078</t>
  </si>
  <si>
    <t>ERX9713547</t>
  </si>
  <si>
    <t>ERR10177079</t>
  </si>
  <si>
    <t>ERX9713548</t>
  </si>
  <si>
    <t>ERR10177083</t>
  </si>
  <si>
    <t>ERX9713552</t>
  </si>
  <si>
    <t>ERR10177317</t>
  </si>
  <si>
    <t>ERX9713786</t>
  </si>
  <si>
    <t>ERR10177087</t>
  </si>
  <si>
    <t>ERX9713556</t>
  </si>
  <si>
    <t>ERR10177090</t>
  </si>
  <si>
    <t>ERX9713559</t>
  </si>
  <si>
    <t>ERR10177091</t>
  </si>
  <si>
    <t>ERX9713560</t>
  </si>
  <si>
    <t>ERR10177092</t>
  </si>
  <si>
    <t>ERX9713561</t>
  </si>
  <si>
    <t>ERR10177093</t>
  </si>
  <si>
    <t>ERX9713562</t>
  </si>
  <si>
    <t>ERR10177094</t>
  </si>
  <si>
    <t>ERX9713563</t>
  </si>
  <si>
    <t>ERR10177318</t>
  </si>
  <si>
    <t>ERX9713787</t>
  </si>
  <si>
    <t>SAMEA111331309</t>
  </si>
  <si>
    <t>ERR10177095</t>
  </si>
  <si>
    <t>ERX9713564</t>
  </si>
  <si>
    <t>ERR10177322</t>
  </si>
  <si>
    <t>ERX9713791</t>
  </si>
  <si>
    <t>ERR10177096</t>
  </si>
  <si>
    <t>ERX9713565</t>
  </si>
  <si>
    <t>ERR10177323</t>
  </si>
  <si>
    <t>ERX9713792</t>
  </si>
  <si>
    <t>ERR10177098</t>
  </si>
  <si>
    <t>ERX9713567</t>
  </si>
  <si>
    <t>ERR10177324</t>
  </si>
  <si>
    <t>ERX9713793</t>
  </si>
  <si>
    <t>ERR10177099</t>
  </si>
  <si>
    <t>ERX9713568</t>
  </si>
  <si>
    <t>ERR10177102</t>
  </si>
  <si>
    <t>ERX9713571</t>
  </si>
  <si>
    <t>SAMEA111331317</t>
  </si>
  <si>
    <t>ERR10177331</t>
  </si>
  <si>
    <t>ERX9713800</t>
  </si>
  <si>
    <t>ERR10177335</t>
  </si>
  <si>
    <t>ERX9713804</t>
  </si>
  <si>
    <t>ERR10177103</t>
  </si>
  <si>
    <t>ERX9713572</t>
  </si>
  <si>
    <t>ERR10177336</t>
  </si>
  <si>
    <t>ERX9713805</t>
  </si>
  <si>
    <t>ERR10177105</t>
  </si>
  <si>
    <t>ERX9713574</t>
  </si>
  <si>
    <t>ERR10177340</t>
  </si>
  <si>
    <t>ERX9713809</t>
  </si>
  <si>
    <t>ERR10177108</t>
  </si>
  <si>
    <t>ERX9713577</t>
  </si>
  <si>
    <t>ERR10177112</t>
  </si>
  <si>
    <t>ERX9713581</t>
  </si>
  <si>
    <t>SAMEA111331325</t>
  </si>
  <si>
    <t>ERR10177113</t>
  </si>
  <si>
    <t>ERX9713582</t>
  </si>
  <si>
    <t>SAMEA111331326</t>
  </si>
  <si>
    <t>ERR10177114</t>
  </si>
  <si>
    <t>ERX9713583</t>
  </si>
  <si>
    <t>ERR10177341</t>
  </si>
  <si>
    <t>ERX9713810</t>
  </si>
  <si>
    <t>ERR10177115</t>
  </si>
  <si>
    <t>ERX9713584</t>
  </si>
  <si>
    <t>SAMEA111331329</t>
  </si>
  <si>
    <t>ERR10177343</t>
  </si>
  <si>
    <t>ERX9713812</t>
  </si>
  <si>
    <t>ERR10177118</t>
  </si>
  <si>
    <t>ERX9713587</t>
  </si>
  <si>
    <t>ERR10177344</t>
  </si>
  <si>
    <t>ERX9713813</t>
  </si>
  <si>
    <t>SAMEA111331332</t>
  </si>
  <si>
    <t>ERR10177120</t>
  </si>
  <si>
    <t>ERX9713589</t>
  </si>
  <si>
    <t>ERR10177345</t>
  </si>
  <si>
    <t>ERX9713814</t>
  </si>
  <si>
    <t>ERR10177121</t>
  </si>
  <si>
    <t>ERX9713590</t>
  </si>
  <si>
    <t>ERR10177346</t>
  </si>
  <si>
    <t>ERX9713815</t>
  </si>
  <si>
    <t>ERR10177123</t>
  </si>
  <si>
    <t>ERX9713592</t>
  </si>
  <si>
    <t>ERR10177125</t>
  </si>
  <si>
    <t>ERX9713594</t>
  </si>
  <si>
    <t>SAMEA111331338</t>
  </si>
  <si>
    <t>ERR10177128</t>
  </si>
  <si>
    <t>ERX9713597</t>
  </si>
  <si>
    <t>ERR10177129</t>
  </si>
  <si>
    <t>ERX9713598</t>
  </si>
  <si>
    <t>ERR10177350</t>
  </si>
  <si>
    <t>ERX9713819</t>
  </si>
  <si>
    <t>ERR10177131</t>
  </si>
  <si>
    <t>ERX9713600</t>
  </si>
  <si>
    <t>SAMEA111331342</t>
  </si>
  <si>
    <t>ERR10177357</t>
  </si>
  <si>
    <t>ERX9713826</t>
  </si>
  <si>
    <t>ERR10177134</t>
  </si>
  <si>
    <t>ERX9713603</t>
  </si>
  <si>
    <t>ERR10177358</t>
  </si>
  <si>
    <t>ERX9713827</t>
  </si>
  <si>
    <t>ERR10177359</t>
  </si>
  <si>
    <t>ERX9713828</t>
  </si>
  <si>
    <t>ERR10177138</t>
  </si>
  <si>
    <t>ERX9713607</t>
  </si>
  <si>
    <t>ERR10177361</t>
  </si>
  <si>
    <t>ERX9713830</t>
  </si>
  <si>
    <t>ERR10177139</t>
  </si>
  <si>
    <t>ERX9713608</t>
  </si>
  <si>
    <t>SAMEA111331349</t>
  </si>
  <si>
    <t>ERR10177365</t>
  </si>
  <si>
    <t>ERX9713834</t>
  </si>
  <si>
    <t>SAMEA111331350</t>
  </si>
  <si>
    <t>ERR10177367</t>
  </si>
  <si>
    <t>ERX9713836</t>
  </si>
  <si>
    <t>ERR10177140</t>
  </si>
  <si>
    <t>ERX9713609</t>
  </si>
  <si>
    <t>ERR10177380</t>
  </si>
  <si>
    <t>ERX9713849</t>
  </si>
  <si>
    <t>ERR10177143</t>
  </si>
  <si>
    <t>ERX9713612</t>
  </si>
  <si>
    <t>ERR10177381</t>
  </si>
  <si>
    <t>ERX9713850</t>
  </si>
  <si>
    <t>ERR10177145</t>
  </si>
  <si>
    <t>ERX9713614</t>
  </si>
  <si>
    <t>ERR10177392</t>
  </si>
  <si>
    <t>ERX9713861</t>
  </si>
  <si>
    <t>ERR10177394</t>
  </si>
  <si>
    <t>ERX9713863</t>
  </si>
  <si>
    <t>ERR10177147</t>
  </si>
  <si>
    <t>ERX9713616</t>
  </si>
  <si>
    <t>ERR10177395</t>
  </si>
  <si>
    <t>ERX9713864</t>
  </si>
  <si>
    <t>ERR10177148</t>
  </si>
  <si>
    <t>ERX9713617</t>
  </si>
  <si>
    <t>ERR10177397</t>
  </si>
  <si>
    <t>ERX9713866</t>
  </si>
  <si>
    <t>SAMEA111331362</t>
  </si>
  <si>
    <t>ERR10177149</t>
  </si>
  <si>
    <t>ERX9713618</t>
  </si>
  <si>
    <t>ERR10177398</t>
  </si>
  <si>
    <t>ERX9713867</t>
  </si>
  <si>
    <t>ERR10177151</t>
  </si>
  <si>
    <t>ERX9713620</t>
  </si>
  <si>
    <t>SAMEA111331365</t>
  </si>
  <si>
    <t>ERR10177403</t>
  </si>
  <si>
    <t>ERX9713872</t>
  </si>
  <si>
    <t>ERR10177154</t>
  </si>
  <si>
    <t>ERX9713623</t>
  </si>
  <si>
    <t>ERR10177158</t>
  </si>
  <si>
    <t>ERX9713627</t>
  </si>
  <si>
    <t>ERR10177161</t>
  </si>
  <si>
    <t>ERX9713630</t>
  </si>
  <si>
    <t>ERR10177405</t>
  </si>
  <si>
    <t>ERX9713874</t>
  </si>
  <si>
    <t>ERR10177165</t>
  </si>
  <si>
    <t>ERX9713634</t>
  </si>
  <si>
    <t>SAMEA111331372</t>
  </si>
  <si>
    <t>ERR10177406</t>
  </si>
  <si>
    <t>ERX9713875</t>
  </si>
  <si>
    <t>SAMEA111331371</t>
  </si>
  <si>
    <t>ERR10177173</t>
  </si>
  <si>
    <t>ERX9713642</t>
  </si>
  <si>
    <t>ERR10177177</t>
  </si>
  <si>
    <t>ERX9713646</t>
  </si>
  <si>
    <t>SAMEA111331374</t>
  </si>
  <si>
    <t>ERR10177409</t>
  </si>
  <si>
    <t>ERX9713878</t>
  </si>
  <si>
    <t>SAMEA111331375</t>
  </si>
  <si>
    <t>ERR10177410</t>
  </si>
  <si>
    <t>ERX9713879</t>
  </si>
  <si>
    <t>ERR10177178</t>
  </si>
  <si>
    <t>ERX9713647</t>
  </si>
  <si>
    <t>ERR10177418</t>
  </si>
  <si>
    <t>ERX9713887</t>
  </si>
  <si>
    <t>ERR10177185</t>
  </si>
  <si>
    <t>ERX9713654</t>
  </si>
  <si>
    <t>ERR10177421</t>
  </si>
  <si>
    <t>ERX9713890</t>
  </si>
  <si>
    <t>ERR10177188</t>
  </si>
  <si>
    <t>ERX9713657</t>
  </si>
  <si>
    <t>ERR10177424</t>
  </si>
  <si>
    <t>ERX9713893</t>
  </si>
  <si>
    <t>ERR10177189</t>
  </si>
  <si>
    <t>ERX9713658</t>
  </si>
  <si>
    <t>ERR10177427</t>
  </si>
  <si>
    <t>ERX9713896</t>
  </si>
  <si>
    <t>SAMEA111331389</t>
  </si>
  <si>
    <t>ERR10177193</t>
  </si>
  <si>
    <t>ERX9713662</t>
  </si>
  <si>
    <t>SAMEA111331384</t>
  </si>
  <si>
    <t>ERR10177430</t>
  </si>
  <si>
    <t>ERX9713899</t>
  </si>
  <si>
    <t>SAMEA111331385</t>
  </si>
  <si>
    <t>ERR10177195</t>
  </si>
  <si>
    <t>ERX9713664</t>
  </si>
  <si>
    <t>SAMEA111331386</t>
  </si>
  <si>
    <t>ERR10177444</t>
  </si>
  <si>
    <t>ERX9713913</t>
  </si>
  <si>
    <t>SAMEA111331387</t>
  </si>
  <si>
    <t>ERR10177199</t>
  </si>
  <si>
    <t>ERX9713668</t>
  </si>
  <si>
    <t>SAMEA111331390</t>
  </si>
  <si>
    <t>ERR10177447</t>
  </si>
  <si>
    <t>ERX9713916</t>
  </si>
  <si>
    <t>SAMEA111331392</t>
  </si>
  <si>
    <t>ERR10177201</t>
  </si>
  <si>
    <t>ERX9713670</t>
  </si>
  <si>
    <t>SAMEA111331393</t>
  </si>
  <si>
    <t>ERR10177451</t>
  </si>
  <si>
    <t>ERX9713920</t>
  </si>
  <si>
    <t>SAMEA111331388</t>
  </si>
  <si>
    <t>ERR10177202</t>
  </si>
  <si>
    <t>ERX9713671</t>
  </si>
  <si>
    <t>SAMEA111331391</t>
  </si>
  <si>
    <t>ERR10177452</t>
  </si>
  <si>
    <t>ERX9713921</t>
  </si>
  <si>
    <t>ERR10177203</t>
  </si>
  <si>
    <t>ERX9713672</t>
  </si>
  <si>
    <t>ERR10177204</t>
  </si>
  <si>
    <t>ERX9713673</t>
  </si>
  <si>
    <t>SAMEA111331396</t>
  </si>
  <si>
    <t>ERR10177453</t>
  </si>
  <si>
    <t>ERX9713922</t>
  </si>
  <si>
    <t>ERR10177210</t>
  </si>
  <si>
    <t>ERX9713679</t>
  </si>
  <si>
    <t>ERR10177454</t>
  </si>
  <si>
    <t>ERX9713923</t>
  </si>
  <si>
    <t>ERR10177456</t>
  </si>
  <si>
    <t>ERX9713925</t>
  </si>
  <si>
    <t>SAMEA111331400</t>
  </si>
  <si>
    <t>ERR10177211</t>
  </si>
  <si>
    <t>ERX9713680</t>
  </si>
  <si>
    <t>SAMEA111331401</t>
  </si>
  <si>
    <t>ERR10177459</t>
  </si>
  <si>
    <t>ERX9713928</t>
  </si>
  <si>
    <t>SAMEA111331403</t>
  </si>
  <si>
    <t>ERR10177464</t>
  </si>
  <si>
    <t>ERX9713933</t>
  </si>
  <si>
    <t>SAMEA111331406</t>
  </si>
  <si>
    <t>ERR10177466</t>
  </si>
  <si>
    <t>ERX9713935</t>
  </si>
  <si>
    <t>SAMEA111331410</t>
  </si>
  <si>
    <t>ERR10177212</t>
  </si>
  <si>
    <t>ERX9713681</t>
  </si>
  <si>
    <t>SAMEA111331402</t>
  </si>
  <si>
    <t>ERR10177467</t>
  </si>
  <si>
    <t>ERX9713936</t>
  </si>
  <si>
    <t>SAMEA111331404</t>
  </si>
  <si>
    <t>ERR10177217</t>
  </si>
  <si>
    <t>ERX9713686</t>
  </si>
  <si>
    <t>SAMEA111331405</t>
  </si>
  <si>
    <t>ERR10177471</t>
  </si>
  <si>
    <t>ERX9713940</t>
  </si>
  <si>
    <t>SAMEA111331407</t>
  </si>
  <si>
    <t>ERR10177222</t>
  </si>
  <si>
    <t>ERX9713691</t>
  </si>
  <si>
    <t>SAMEA111331408</t>
  </si>
  <si>
    <t>ERR10177472</t>
  </si>
  <si>
    <t>ERX9713941</t>
  </si>
  <si>
    <t>SAMEA111331409</t>
  </si>
  <si>
    <t>ERR10177224</t>
  </si>
  <si>
    <t>ERX9713693</t>
  </si>
  <si>
    <t>ERR10177473</t>
  </si>
  <si>
    <t>ERX9713942</t>
  </si>
  <si>
    <t>ERR10177226</t>
  </si>
  <si>
    <t>ERX9713695</t>
  </si>
  <si>
    <t>ERR10177474</t>
  </si>
  <si>
    <t>ERX9713943</t>
  </si>
  <si>
    <t>ERR10177235</t>
  </si>
  <si>
    <t>ERX9713704</t>
  </si>
  <si>
    <t>ERR10177477</t>
  </si>
  <si>
    <t>ERX9713946</t>
  </si>
  <si>
    <t>SAMEA111331416</t>
  </si>
  <si>
    <t>ERR10177236</t>
  </si>
  <si>
    <t>ERX9713705</t>
  </si>
  <si>
    <t>ERR10177481</t>
  </si>
  <si>
    <t>ERX9713950</t>
  </si>
  <si>
    <t>ERR10177237</t>
  </si>
  <si>
    <t>ERX9713706</t>
  </si>
  <si>
    <t>ERR10177482</t>
  </si>
  <si>
    <t>ERX9713951</t>
  </si>
  <si>
    <t>ERR10177239</t>
  </si>
  <si>
    <t>ERX9713708</t>
  </si>
  <si>
    <t>SAMEA111331421</t>
  </si>
  <si>
    <t>ERR10177243</t>
  </si>
  <si>
    <t>ERX9713712</t>
  </si>
  <si>
    <t>SAMEA111331422</t>
  </si>
  <si>
    <t>ERR10177485</t>
  </si>
  <si>
    <t>ERX9713954</t>
  </si>
  <si>
    <t>ERR10177247</t>
  </si>
  <si>
    <t>ERX9713716</t>
  </si>
  <si>
    <t>ERR10177253</t>
  </si>
  <si>
    <t>ERX9713722</t>
  </si>
  <si>
    <t>ERR10177486</t>
  </si>
  <si>
    <t>ERX9713955</t>
  </si>
  <si>
    <t>ERR10177256</t>
  </si>
  <si>
    <t>ERX9713725</t>
  </si>
  <si>
    <t>SAMEA111331427</t>
  </si>
  <si>
    <t>ERR10177257</t>
  </si>
  <si>
    <t>ERX9713726</t>
  </si>
  <si>
    <t>SAMEA111331428</t>
  </si>
  <si>
    <t>ERR10177489</t>
  </si>
  <si>
    <t>ERX9713958</t>
  </si>
  <si>
    <t>SAMEA111331429</t>
  </si>
  <si>
    <t>ERR10177258</t>
  </si>
  <si>
    <t>ERX9713727</t>
  </si>
  <si>
    <t>SAMEA111331430</t>
  </si>
  <si>
    <t>ERR10177490</t>
  </si>
  <si>
    <t>ERX9713959</t>
  </si>
  <si>
    <t>ERR10177264</t>
  </si>
  <si>
    <t>ERX9713733</t>
  </si>
  <si>
    <t>ERR10177496</t>
  </si>
  <si>
    <t>ERX9713965</t>
  </si>
  <si>
    <t>SAMEA111331433</t>
  </si>
  <si>
    <t>ERR10177265</t>
  </si>
  <si>
    <t>ERX9713734</t>
  </si>
  <si>
    <t>SAMEA111331434</t>
  </si>
  <si>
    <t>ERR10177499</t>
  </si>
  <si>
    <t>ERX9713968</t>
  </si>
  <si>
    <t>ERR10177277</t>
  </si>
  <si>
    <t>ERX9713746</t>
  </si>
  <si>
    <t>ERR10177503</t>
  </si>
  <si>
    <t>ERX9713972</t>
  </si>
  <si>
    <t>SAMEA111331437</t>
  </si>
  <si>
    <t>ERR10177279</t>
  </si>
  <si>
    <t>ERX9713748</t>
  </si>
  <si>
    <t>ERR10177509</t>
  </si>
  <si>
    <t>ERX9713978</t>
  </si>
  <si>
    <t>ERR10177280</t>
  </si>
  <si>
    <t>ERX9713749</t>
  </si>
  <si>
    <t>ERR10177513</t>
  </si>
  <si>
    <t>ERX9713982</t>
  </si>
  <si>
    <t>ERR10177514</t>
  </si>
  <si>
    <t>ERX9713983</t>
  </si>
  <si>
    <t>ERR10177282</t>
  </si>
  <si>
    <t>ERX9713751</t>
  </si>
  <si>
    <t>SAMEA111331443</t>
  </si>
  <si>
    <t>ERR10177518</t>
  </si>
  <si>
    <t>ERX9713987</t>
  </si>
  <si>
    <t>ERR10177289</t>
  </si>
  <si>
    <t>ERX9713758</t>
  </si>
  <si>
    <t>SAMEA111331445</t>
  </si>
  <si>
    <t>ERR10177523</t>
  </si>
  <si>
    <t>ERX9713992</t>
  </si>
  <si>
    <t>ERR10177528</t>
  </si>
  <si>
    <t>ERX9713997</t>
  </si>
  <si>
    <t>ERR10177536</t>
  </si>
  <si>
    <t>ERX9714005</t>
  </si>
  <si>
    <t>ERR10177292</t>
  </si>
  <si>
    <t>ERX9713761</t>
  </si>
  <si>
    <t>ERR10177539</t>
  </si>
  <si>
    <t>ERX9714008</t>
  </si>
  <si>
    <t>ERR10177298</t>
  </si>
  <si>
    <t>ERX9713767</t>
  </si>
  <si>
    <t>ERR10177542</t>
  </si>
  <si>
    <t>ERX9714011</t>
  </si>
  <si>
    <t>SAMEA111331452</t>
  </si>
  <si>
    <t>ERR10177300</t>
  </si>
  <si>
    <t>ERX9713769</t>
  </si>
  <si>
    <t>ERR10177543</t>
  </si>
  <si>
    <t>ERX9714012</t>
  </si>
  <si>
    <t>ERR10177302</t>
  </si>
  <si>
    <t>ERX9713771</t>
  </si>
  <si>
    <t>SAMEA111331455</t>
  </si>
  <si>
    <t>ERR10177544</t>
  </si>
  <si>
    <t>ERX9714013</t>
  </si>
  <si>
    <t>SAMEA111331456</t>
  </si>
  <si>
    <t>ERR10177303</t>
  </si>
  <si>
    <t>ERX9713772</t>
  </si>
  <si>
    <t>SAMEA111331457</t>
  </si>
  <si>
    <t>ERR10177546</t>
  </si>
  <si>
    <t>ERX9714015</t>
  </si>
  <si>
    <t>SAMEA111331458</t>
  </si>
  <si>
    <t>ERR10177305</t>
  </si>
  <si>
    <t>ERX9713774</t>
  </si>
  <si>
    <t>ERR10177553</t>
  </si>
  <si>
    <t>ERX9714022</t>
  </si>
  <si>
    <t>ERR10177307</t>
  </si>
  <si>
    <t>ERX9713776</t>
  </si>
  <si>
    <t>ERR10177554</t>
  </si>
  <si>
    <t>ERX9714023</t>
  </si>
  <si>
    <t>ERR10177308</t>
  </si>
  <si>
    <t>ERX9713777</t>
  </si>
  <si>
    <t>ERR10177310</t>
  </si>
  <si>
    <t>ERX9713779</t>
  </si>
  <si>
    <t>SAMEA111331464</t>
  </si>
  <si>
    <t>ERR10177555</t>
  </si>
  <si>
    <t>ERX9714024</t>
  </si>
  <si>
    <t>ERR10177316</t>
  </si>
  <si>
    <t>ERX9713785</t>
  </si>
  <si>
    <t>ERR10177319</t>
  </si>
  <si>
    <t>ERX9713788</t>
  </si>
  <si>
    <t>ERR10177559</t>
  </si>
  <si>
    <t>ERX9714028</t>
  </si>
  <si>
    <t>ERR10177320</t>
  </si>
  <si>
    <t>ERX9713789</t>
  </si>
  <si>
    <t>ERR10177561</t>
  </si>
  <si>
    <t>ERX9714030</t>
  </si>
  <si>
    <t>ERR10177321</t>
  </si>
  <si>
    <t>ERX9713790</t>
  </si>
  <si>
    <t>SAMEA111331471</t>
  </si>
  <si>
    <t>ERR10177564</t>
  </si>
  <si>
    <t>ERX9714033</t>
  </si>
  <si>
    <t>SAMEA111331472</t>
  </si>
  <si>
    <t>ERR10177327</t>
  </si>
  <si>
    <t>ERX9713796</t>
  </si>
  <si>
    <t>ERR10177328</t>
  </si>
  <si>
    <t>ERX9713797</t>
  </si>
  <si>
    <t>ERR10177332</t>
  </si>
  <si>
    <t>ERX9713801</t>
  </si>
  <si>
    <t>ERR10177338</t>
  </si>
  <si>
    <t>ERX9713807</t>
  </si>
  <si>
    <t>SAMEA111331476</t>
  </si>
  <si>
    <t>ERR10177339</t>
  </si>
  <si>
    <t>ERX9713808</t>
  </si>
  <si>
    <t>SAMEA111331477</t>
  </si>
  <si>
    <t>ERR10177342</t>
  </si>
  <si>
    <t>ERX9713811</t>
  </si>
  <si>
    <t>ERR10177351</t>
  </si>
  <si>
    <t>ERX9713820</t>
  </si>
  <si>
    <t>ERR10177352</t>
  </si>
  <si>
    <t>ERX9713821</t>
  </si>
  <si>
    <t>ERR10177356</t>
  </si>
  <si>
    <t>ERX9713825</t>
  </si>
  <si>
    <t>ERR10177360</t>
  </si>
  <si>
    <t>ERX9713829</t>
  </si>
  <si>
    <t>ERR10177363</t>
  </si>
  <si>
    <t>ERX9713832</t>
  </si>
  <si>
    <t>ERR10177368</t>
  </si>
  <si>
    <t>ERX9713837</t>
  </si>
  <si>
    <t>ERR10177370</t>
  </si>
  <si>
    <t>ERX9713839</t>
  </si>
  <si>
    <t>ERR10177371</t>
  </si>
  <si>
    <t>ERX9713840</t>
  </si>
  <si>
    <t>ERR10177372</t>
  </si>
  <si>
    <t>ERX9713841</t>
  </si>
  <si>
    <t>ERR10177374</t>
  </si>
  <si>
    <t>ERX9713843</t>
  </si>
  <si>
    <t>ERR10177376</t>
  </si>
  <si>
    <t>ERX9713845</t>
  </si>
  <si>
    <t>ERR10177382</t>
  </si>
  <si>
    <t>ERX9713851</t>
  </si>
  <si>
    <t>ERR10177383</t>
  </si>
  <si>
    <t>ERX9713852</t>
  </si>
  <si>
    <t>ERR10177387</t>
  </si>
  <si>
    <t>ERX9713856</t>
  </si>
  <si>
    <t>ERR10177388</t>
  </si>
  <si>
    <t>ERX9713857</t>
  </si>
  <si>
    <t>SAMEA111331493</t>
  </si>
  <si>
    <t>ERR10177389</t>
  </si>
  <si>
    <t>ERX9713858</t>
  </si>
  <si>
    <t>ERR10177396</t>
  </si>
  <si>
    <t>ERX9713865</t>
  </si>
  <si>
    <t>ERR10177400</t>
  </si>
  <si>
    <t>ERX9713869</t>
  </si>
  <si>
    <t>ERR10177404</t>
  </si>
  <si>
    <t>ERX9713873</t>
  </si>
  <si>
    <t>ERR10177414</t>
  </si>
  <si>
    <t>ERX9713883</t>
  </si>
  <si>
    <t>SAMEA111331498</t>
  </si>
  <si>
    <t>ERR10177416</t>
  </si>
  <si>
    <t>ERX9713885</t>
  </si>
  <si>
    <t>SAMEA111331499</t>
  </si>
  <si>
    <t>ERR10177417</t>
  </si>
  <si>
    <t>ERX9713886</t>
  </si>
  <si>
    <t>ERR10177419</t>
  </si>
  <si>
    <t>ERX9713888</t>
  </si>
  <si>
    <t>ERR10177420</t>
  </si>
  <si>
    <t>ERX9713889</t>
  </si>
  <si>
    <t>ERR10177422</t>
  </si>
  <si>
    <t>ERX9713891</t>
  </si>
  <si>
    <t>SAMEA111331503</t>
  </si>
  <si>
    <t>ERR10177423</t>
  </si>
  <si>
    <t>ERX9713892</t>
  </si>
  <si>
    <t>ERR10177431</t>
  </si>
  <si>
    <t>ERX9713900</t>
  </si>
  <si>
    <t>ERR10177433</t>
  </si>
  <si>
    <t>ERX9713902</t>
  </si>
  <si>
    <t>ERR10177434</t>
  </si>
  <si>
    <t>ERX9713903</t>
  </si>
  <si>
    <t>ERR10177437</t>
  </si>
  <si>
    <t>ERX9713906</t>
  </si>
  <si>
    <t>ERR10177440</t>
  </si>
  <si>
    <t>ERX9713909</t>
  </si>
  <si>
    <t>ERR10177441</t>
  </si>
  <si>
    <t>ERX9713910</t>
  </si>
  <si>
    <t>SAMEA111331510</t>
  </si>
  <si>
    <t>ERR10177442</t>
  </si>
  <si>
    <t>ERX9713911</t>
  </si>
  <si>
    <t>SAMEA111331511</t>
  </si>
  <si>
    <t>ERR10177443</t>
  </si>
  <si>
    <t>ERX9713912</t>
  </si>
  <si>
    <t>SAMEA111331512</t>
  </si>
  <si>
    <t>ERR10177446</t>
  </si>
  <si>
    <t>ERX9713915</t>
  </si>
  <si>
    <t>SAMEA111331513</t>
  </si>
  <si>
    <t>ERR10177448</t>
  </si>
  <si>
    <t>ERX9713917</t>
  </si>
  <si>
    <t>SAMEA111331514</t>
  </si>
  <si>
    <t>ERR10177455</t>
  </si>
  <si>
    <t>ERX9713924</t>
  </si>
  <si>
    <t>SAMEA111331515</t>
  </si>
  <si>
    <t>ERR10177457</t>
  </si>
  <si>
    <t>ERX9713926</t>
  </si>
  <si>
    <t>ERR10177458</t>
  </si>
  <si>
    <t>ERX9713927</t>
  </si>
  <si>
    <t>ERR10177463</t>
  </si>
  <si>
    <t>ERX9713932</t>
  </si>
  <si>
    <t>ERR10177465</t>
  </si>
  <si>
    <t>ERX9713934</t>
  </si>
  <si>
    <t>ERR10177468</t>
  </si>
  <si>
    <t>ERX9713937</t>
  </si>
  <si>
    <t>ERR10177470</t>
  </si>
  <si>
    <t>ERX9713939</t>
  </si>
  <si>
    <t>ERR10177475</t>
  </si>
  <si>
    <t>ERX9713944</t>
  </si>
  <si>
    <t>ERR10177476</t>
  </si>
  <si>
    <t>ERX9713945</t>
  </si>
  <si>
    <t>SAMEA111331523</t>
  </si>
  <si>
    <t>ERR10177479</t>
  </si>
  <si>
    <t>ERX9713948</t>
  </si>
  <si>
    <t>ERR10177480</t>
  </si>
  <si>
    <t>ERX9713949</t>
  </si>
  <si>
    <t>ERR10177483</t>
  </si>
  <si>
    <t>ERX9713952</t>
  </si>
  <si>
    <t>ERR10177488</t>
  </si>
  <si>
    <t>ERX9713957</t>
  </si>
  <si>
    <t>ERR10177491</t>
  </si>
  <si>
    <t>ERX9713960</t>
  </si>
  <si>
    <t>ERR10177493</t>
  </si>
  <si>
    <t>ERX9713962</t>
  </si>
  <si>
    <t>ERR10177494</t>
  </si>
  <si>
    <t>ERX9713963</t>
  </si>
  <si>
    <t>SAMEA111331530</t>
  </si>
  <si>
    <t>ERR10177495</t>
  </si>
  <si>
    <t>ERX9713964</t>
  </si>
  <si>
    <t>SAMEA111331531</t>
  </si>
  <si>
    <t>ERR10177502</t>
  </si>
  <si>
    <t>ERX9713971</t>
  </si>
  <si>
    <t>ERR10177504</t>
  </si>
  <si>
    <t>ERX9713973</t>
  </si>
  <si>
    <t>ERR10177510</t>
  </si>
  <si>
    <t>ERX9713979</t>
  </si>
  <si>
    <t>SAMEA111331534</t>
  </si>
  <si>
    <t>ERR10177512</t>
  </si>
  <si>
    <t>ERX9713981</t>
  </si>
  <si>
    <t>ERR10177519</t>
  </si>
  <si>
    <t>ERX9713988</t>
  </si>
  <si>
    <t>ERR10177520</t>
  </si>
  <si>
    <t>ERX9713989</t>
  </si>
  <si>
    <t>ERR10177522</t>
  </si>
  <si>
    <t>ERX9713991</t>
  </si>
  <si>
    <t>ERR10177525</t>
  </si>
  <si>
    <t>ERX9713994</t>
  </si>
  <si>
    <t>ERR10177526</t>
  </si>
  <si>
    <t>ERX9713995</t>
  </si>
  <si>
    <t>ERR10177529</t>
  </si>
  <si>
    <t>ERX9713998</t>
  </si>
  <si>
    <t>ERR10177530</t>
  </si>
  <si>
    <t>ERX9713999</t>
  </si>
  <si>
    <t>ERR10177532</t>
  </si>
  <si>
    <t>ERX9714001</t>
  </si>
  <si>
    <t>ERR10177533</t>
  </si>
  <si>
    <t>ERX9714002</t>
  </si>
  <si>
    <t>ERR10177535</t>
  </si>
  <si>
    <t>ERX9714004</t>
  </si>
  <si>
    <t>SAMEA111331545</t>
  </si>
  <si>
    <t>ERR10177540</t>
  </si>
  <si>
    <t>ERX9714009</t>
  </si>
  <si>
    <t>ERR10177545</t>
  </si>
  <si>
    <t>ERX9714014</t>
  </si>
  <si>
    <t>ERR10177548</t>
  </si>
  <si>
    <t>ERX9714017</t>
  </si>
  <si>
    <t>ERR10177549</t>
  </si>
  <si>
    <t>ERX9714018</t>
  </si>
  <si>
    <t>ERR10177550</t>
  </si>
  <si>
    <t>ERX9714019</t>
  </si>
  <si>
    <t>ERR10177551</t>
  </si>
  <si>
    <t>ERX9714020</t>
  </si>
  <si>
    <t>ERR10177552</t>
  </si>
  <si>
    <t>ERX9714021</t>
  </si>
  <si>
    <t>ERR10177557</t>
  </si>
  <si>
    <t>ERX9714026</t>
  </si>
  <si>
    <t>ERR10177558</t>
  </si>
  <si>
    <t>ERX9714027</t>
  </si>
  <si>
    <t>SAMEA111331554</t>
  </si>
  <si>
    <t>ERR10177562</t>
  </si>
  <si>
    <t>ERX9714031</t>
  </si>
  <si>
    <t>SAMEA111331555</t>
  </si>
  <si>
    <t>ERR10177565</t>
  </si>
  <si>
    <t>ERX9714034</t>
  </si>
  <si>
    <t>SAMEA111331556</t>
  </si>
  <si>
    <t>ERR10176485</t>
  </si>
  <si>
    <t>ERX9712954</t>
  </si>
  <si>
    <t>SAMEA111331557</t>
  </si>
  <si>
    <t>ERR10176486</t>
  </si>
  <si>
    <t>ERX9712955</t>
  </si>
  <si>
    <t>ERR10176487</t>
  </si>
  <si>
    <t>ERX9712956</t>
  </si>
  <si>
    <t>ERR10176489</t>
  </si>
  <si>
    <t>ERX9712958</t>
  </si>
  <si>
    <t>SAMEA111331560</t>
  </si>
  <si>
    <t>ERR10176491</t>
  </si>
  <si>
    <t>ERX9712960</t>
  </si>
  <si>
    <t>ERR10176499</t>
  </si>
  <si>
    <t>ERX9712968</t>
  </si>
  <si>
    <t>ERR10176505</t>
  </si>
  <si>
    <t>ERX9712974</t>
  </si>
  <si>
    <t>ERR10176507</t>
  </si>
  <si>
    <t>ERX9712976</t>
  </si>
  <si>
    <t>SAMEA111331564</t>
  </si>
  <si>
    <t>ERR10176513</t>
  </si>
  <si>
    <t>ERX9712982</t>
  </si>
  <si>
    <t>ERR10176514</t>
  </si>
  <si>
    <t>ERX9712983</t>
  </si>
  <si>
    <t>ERR10176520</t>
  </si>
  <si>
    <t>ERX9712989</t>
  </si>
  <si>
    <t>ERR10176521</t>
  </si>
  <si>
    <t>ERX9712990</t>
  </si>
  <si>
    <t>SAMEA111331568</t>
  </si>
  <si>
    <t>ERR10176523</t>
  </si>
  <si>
    <t>ERX9712992</t>
  </si>
  <si>
    <t>ERR10176525</t>
  </si>
  <si>
    <t>ERX9712994</t>
  </si>
  <si>
    <t>ERR10176530</t>
  </si>
  <si>
    <t>ERX9712999</t>
  </si>
  <si>
    <t>ERR10176533</t>
  </si>
  <si>
    <t>ERX9713002</t>
  </si>
  <si>
    <t>ERR10176535</t>
  </si>
  <si>
    <t>ERX9713004</t>
  </si>
  <si>
    <t>ERR10176537</t>
  </si>
  <si>
    <t>ERX9713006</t>
  </si>
  <si>
    <t>ERR10176538</t>
  </si>
  <si>
    <t>ERX9713007</t>
  </si>
  <si>
    <t>ERR10176541</t>
  </si>
  <si>
    <t>ERX9713010</t>
  </si>
  <si>
    <t>ERR10176543</t>
  </si>
  <si>
    <t>ERX9713012</t>
  </si>
  <si>
    <t>ERR10176545</t>
  </si>
  <si>
    <t>ERX9713014</t>
  </si>
  <si>
    <t>ERR10176548</t>
  </si>
  <si>
    <t>ERX9713017</t>
  </si>
  <si>
    <t>ERR10176550</t>
  </si>
  <si>
    <t>ERX9713019</t>
  </si>
  <si>
    <t>ERR10176561</t>
  </si>
  <si>
    <t>ERX9713030</t>
  </si>
  <si>
    <t>ERR10176562</t>
  </si>
  <si>
    <t>ERX9713031</t>
  </si>
  <si>
    <t>ERR10176565</t>
  </si>
  <si>
    <t>ERX9713034</t>
  </si>
  <si>
    <t>ERR10176566</t>
  </si>
  <si>
    <t>ERX9713035</t>
  </si>
  <si>
    <t>ERR10176568</t>
  </si>
  <si>
    <t>ERX9713037</t>
  </si>
  <si>
    <t>ERR10176569</t>
  </si>
  <si>
    <t>ERX9713038</t>
  </si>
  <si>
    <t>ERR10176573</t>
  </si>
  <si>
    <t>ERX9713042</t>
  </si>
  <si>
    <t>ERR10176574</t>
  </si>
  <si>
    <t>ERX9713043</t>
  </si>
  <si>
    <t>ERR10176580</t>
  </si>
  <si>
    <t>ERX9713049</t>
  </si>
  <si>
    <t>SAMEA111331589</t>
  </si>
  <si>
    <t>ERR10176589</t>
  </si>
  <si>
    <t>ERX9713058</t>
  </si>
  <si>
    <t>ERR10176590</t>
  </si>
  <si>
    <t>ERX9713059</t>
  </si>
  <si>
    <t>SAMEA111331591</t>
  </si>
  <si>
    <t>ERR10176594</t>
  </si>
  <si>
    <t>ERX9713063</t>
  </si>
  <si>
    <t>SAMEA111331592</t>
  </si>
  <si>
    <t>ERR10176595</t>
  </si>
  <si>
    <t>ERX9713064</t>
  </si>
  <si>
    <t>ERR10176600</t>
  </si>
  <si>
    <t>ERX9713069</t>
  </si>
  <si>
    <t>ERR10176604</t>
  </si>
  <si>
    <t>ERX9713073</t>
  </si>
  <si>
    <t>ERR10176605</t>
  </si>
  <si>
    <t>ERX9713074</t>
  </si>
  <si>
    <t>ERR10176611</t>
  </si>
  <si>
    <t>ERX9713080</t>
  </si>
  <si>
    <t>ERR10176612</t>
  </si>
  <si>
    <t>ERX9713081</t>
  </si>
  <si>
    <t>ERR10176615</t>
  </si>
  <si>
    <t>ERX9713084</t>
  </si>
  <si>
    <t>ERR10176617</t>
  </si>
  <si>
    <t>ERX9713086</t>
  </si>
  <si>
    <t>ERR10176623</t>
  </si>
  <si>
    <t>ERX9713092</t>
  </si>
  <si>
    <t>ERR10176626</t>
  </si>
  <si>
    <t>ERX9713095</t>
  </si>
  <si>
    <t>ERR10176630</t>
  </si>
  <si>
    <t>ERX9713099</t>
  </si>
  <si>
    <t>ERR10176638</t>
  </si>
  <si>
    <t>ERX9713107</t>
  </si>
  <si>
    <t>SAMEA111331604</t>
  </si>
  <si>
    <t>ERR10176641</t>
  </si>
  <si>
    <t>ERX9713110</t>
  </si>
  <si>
    <t>ERR10176642</t>
  </si>
  <si>
    <t>ERX9713111</t>
  </si>
  <si>
    <t>ERR10176644</t>
  </si>
  <si>
    <t>ERX9713113</t>
  </si>
  <si>
    <t>ERR10176647</t>
  </si>
  <si>
    <t>ERX9713116</t>
  </si>
  <si>
    <t>SAMEA111331608</t>
  </si>
  <si>
    <t>ERR10176649</t>
  </si>
  <si>
    <t>ERX9713118</t>
  </si>
  <si>
    <t>SAMEA111331612</t>
  </si>
  <si>
    <t>ERR10176653</t>
  </si>
  <si>
    <t>ERX9713122</t>
  </si>
  <si>
    <t>SAMEA111331613</t>
  </si>
  <si>
    <t>ERR10176661</t>
  </si>
  <si>
    <t>ERX9713130</t>
  </si>
  <si>
    <t>SAMEA111331615</t>
  </si>
  <si>
    <t>ERR10176666</t>
  </si>
  <si>
    <t>ERX9713135</t>
  </si>
  <si>
    <t>SAMEA111331616</t>
  </si>
  <si>
    <t>ERR10176668</t>
  </si>
  <si>
    <t>ERX9713137</t>
  </si>
  <si>
    <t>SAMEA111331617</t>
  </si>
  <si>
    <t>ERR10176671</t>
  </si>
  <si>
    <t>ERX9713140</t>
  </si>
  <si>
    <t>SAMEA111331610</t>
  </si>
  <si>
    <t>ERR10176674</t>
  </si>
  <si>
    <t>ERX9713143</t>
  </si>
  <si>
    <t>SAMEA111331611</t>
  </si>
  <si>
    <t>ERR10176677</t>
  </si>
  <si>
    <t>ERX9713146</t>
  </si>
  <si>
    <t>SAMEA111331614</t>
  </si>
  <si>
    <t>ERR10176678</t>
  </si>
  <si>
    <t>ERX9713147</t>
  </si>
  <si>
    <t>SAMEA111331609</t>
  </si>
  <si>
    <t>ERR10176679</t>
  </si>
  <si>
    <t>ERX9713148</t>
  </si>
  <si>
    <t>ERR10176684</t>
  </si>
  <si>
    <t>ERX9713153</t>
  </si>
  <si>
    <t>ERR10176685</t>
  </si>
  <si>
    <t>ERX9713154</t>
  </si>
  <si>
    <t>ERR10176686</t>
  </si>
  <si>
    <t>ERX9713155</t>
  </si>
  <si>
    <t>ERR10176689</t>
  </si>
  <si>
    <t>ERX9713158</t>
  </si>
  <si>
    <t>ERR10176693</t>
  </si>
  <si>
    <t>ERX9713162</t>
  </si>
  <si>
    <t>SAMEA111331623</t>
  </si>
  <si>
    <t>ERR10176695</t>
  </si>
  <si>
    <t>ERX9713164</t>
  </si>
  <si>
    <t>ERR10176696</t>
  </si>
  <si>
    <t>ERX9713165</t>
  </si>
  <si>
    <t>ERR10176701</t>
  </si>
  <si>
    <t>ERX9713170</t>
  </si>
  <si>
    <t>ERR10176702</t>
  </si>
  <si>
    <t>ERX9713171</t>
  </si>
  <si>
    <t>SAMEA111331627</t>
  </si>
  <si>
    <t>ERR10176703</t>
  </si>
  <si>
    <t>ERX9713172</t>
  </si>
  <si>
    <t>SAMEA111331628</t>
  </si>
  <si>
    <t>ERR10176705</t>
  </si>
  <si>
    <t>ERX9713174</t>
  </si>
  <si>
    <t>ERR10176708</t>
  </si>
  <si>
    <t>ERX9713177</t>
  </si>
  <si>
    <t>ERR10176710</t>
  </si>
  <si>
    <t>ERX9713179</t>
  </si>
  <si>
    <t>ERR10176717</t>
  </si>
  <si>
    <t>ERX9713186</t>
  </si>
  <si>
    <t>ERR10176718</t>
  </si>
  <si>
    <t>ERX9713187</t>
  </si>
  <si>
    <t>ERR10176720</t>
  </si>
  <si>
    <t>ERX9713189</t>
  </si>
  <si>
    <t>SAMEA111331634</t>
  </si>
  <si>
    <t>ERR10176721</t>
  </si>
  <si>
    <t>ERX9713190</t>
  </si>
  <si>
    <t>SAMEA111331635</t>
  </si>
  <si>
    <t>ERR10176722</t>
  </si>
  <si>
    <t>ERX9713191</t>
  </si>
  <si>
    <t>SAMEA111331636</t>
  </si>
  <si>
    <t>ERR10176728</t>
  </si>
  <si>
    <t>ERX9713197</t>
  </si>
  <si>
    <t>SAMEA111331637</t>
  </si>
  <si>
    <t>ERR10176730</t>
  </si>
  <si>
    <t>ERX9713199</t>
  </si>
  <si>
    <t>SAMEA111331638</t>
  </si>
  <si>
    <t>ERR10176732</t>
  </si>
  <si>
    <t>ERX9713201</t>
  </si>
  <si>
    <t>ERR10176733</t>
  </si>
  <si>
    <t>ERX9713202</t>
  </si>
  <si>
    <t>ERR10176738</t>
  </si>
  <si>
    <t>ERX9713207</t>
  </si>
  <si>
    <t>ERR10176742</t>
  </si>
  <si>
    <t>ERX9713211</t>
  </si>
  <si>
    <t>ERR10176747</t>
  </si>
  <si>
    <t>ERX9713216</t>
  </si>
  <si>
    <t>ERR10176752</t>
  </si>
  <si>
    <t>ERX9713221</t>
  </si>
  <si>
    <t>ERR10176754</t>
  </si>
  <si>
    <t>ERX9713223</t>
  </si>
  <si>
    <t>SAMEA111331645</t>
  </si>
  <si>
    <t>ERR10176755</t>
  </si>
  <si>
    <t>ERX9713224</t>
  </si>
  <si>
    <t>ERR10176764</t>
  </si>
  <si>
    <t>ERX9713233</t>
  </si>
  <si>
    <t>ERR10176765</t>
  </si>
  <si>
    <t>ERX9713234</t>
  </si>
  <si>
    <t>ERR10176770</t>
  </si>
  <si>
    <t>ERX9713239</t>
  </si>
  <si>
    <t>ERR10176771</t>
  </si>
  <si>
    <t>ERX9713240</t>
  </si>
  <si>
    <t>ERR10176773</t>
  </si>
  <si>
    <t>ERX9713242</t>
  </si>
  <si>
    <t>ERR10176784</t>
  </si>
  <si>
    <t>ERX9713253</t>
  </si>
  <si>
    <t>ERR10176787</t>
  </si>
  <si>
    <t>ERX9713256</t>
  </si>
  <si>
    <t>ERR10176788</t>
  </si>
  <si>
    <t>ERX9713257</t>
  </si>
  <si>
    <t>ERR10176789</t>
  </si>
  <si>
    <t>ERX9713258</t>
  </si>
  <si>
    <t>ERR10176792</t>
  </si>
  <si>
    <t>ERX9713261</t>
  </si>
  <si>
    <t>ERR10176797</t>
  </si>
  <si>
    <t>ERX9713266</t>
  </si>
  <si>
    <t>ERR10176800</t>
  </si>
  <si>
    <t>ERX9713269</t>
  </si>
  <si>
    <t>ERR10176803</t>
  </si>
  <si>
    <t>ERX9713272</t>
  </si>
  <si>
    <t>ERR10176806</t>
  </si>
  <si>
    <t>ERX9713275</t>
  </si>
  <si>
    <t>ERR10176808</t>
  </si>
  <si>
    <t>ERX9713277</t>
  </si>
  <si>
    <t>ERR10176811</t>
  </si>
  <si>
    <t>ERX9713280</t>
  </si>
  <si>
    <t>ERR10176817</t>
  </si>
  <si>
    <t>ERX9713286</t>
  </si>
  <si>
    <t>ERR10176818</t>
  </si>
  <si>
    <t>ERX9713287</t>
  </si>
  <si>
    <t>ERR10176819</t>
  </si>
  <si>
    <t>ERX9713288</t>
  </si>
  <si>
    <t>ERR10176820</t>
  </si>
  <si>
    <t>ERX9713289</t>
  </si>
  <si>
    <t>ERR10176821</t>
  </si>
  <si>
    <t>ERX9713290</t>
  </si>
  <si>
    <t>ERR10176823</t>
  </si>
  <si>
    <t>ERX9713292</t>
  </si>
  <si>
    <t>ERR10176826</t>
  </si>
  <si>
    <t>ERX9713295</t>
  </si>
  <si>
    <t>ERR10176828</t>
  </si>
  <si>
    <t>ERX9713297</t>
  </si>
  <si>
    <t>ERR10176832</t>
  </si>
  <si>
    <t>ERX9713301</t>
  </si>
  <si>
    <t>ERR10176833</t>
  </si>
  <si>
    <t>ERX9713302</t>
  </si>
  <si>
    <t>ERR10176834</t>
  </si>
  <si>
    <t>ERX9713303</t>
  </si>
  <si>
    <t>ERR10176837</t>
  </si>
  <si>
    <t>ERX9713306</t>
  </si>
  <si>
    <t>ERR10176838</t>
  </si>
  <si>
    <t>ERX9713307</t>
  </si>
  <si>
    <t>ERR10176843</t>
  </si>
  <si>
    <t>ERX9713312</t>
  </si>
  <si>
    <t>ERR10176845</t>
  </si>
  <si>
    <t>ERX9713314</t>
  </si>
  <si>
    <t>ERR10176846</t>
  </si>
  <si>
    <t>ERX9713315</t>
  </si>
  <si>
    <t>ERR10176848</t>
  </si>
  <si>
    <t>ERX9713317</t>
  </si>
  <si>
    <t>ERR10176849</t>
  </si>
  <si>
    <t>ERX9713318</t>
  </si>
  <si>
    <t>ERR10176851</t>
  </si>
  <si>
    <t>ERX9713320</t>
  </si>
  <si>
    <t>ERR10176854</t>
  </si>
  <si>
    <t>ERX9713323</t>
  </si>
  <si>
    <t>SAMEA111331682</t>
  </si>
  <si>
    <t>ERR10176856</t>
  </si>
  <si>
    <t>ERX9713325</t>
  </si>
  <si>
    <t>ERR10176857</t>
  </si>
  <si>
    <t>ERX9713326</t>
  </si>
  <si>
    <t>ERR10176858</t>
  </si>
  <si>
    <t>ERX9713327</t>
  </si>
  <si>
    <t>ERR10176861</t>
  </si>
  <si>
    <t>ERX9713330</t>
  </si>
  <si>
    <t>ERR10176863</t>
  </si>
  <si>
    <t>ERX9713332</t>
  </si>
  <si>
    <t>SAMEA111331687</t>
  </si>
  <si>
    <t>ERR10176874</t>
  </si>
  <si>
    <t>ERX9713343</t>
  </si>
  <si>
    <t>SAMEA111331688</t>
  </si>
  <si>
    <t>ERR10176876</t>
  </si>
  <si>
    <t>ERX9713345</t>
  </si>
  <si>
    <t>SAMEA111331689</t>
  </si>
  <si>
    <t>ERR10176878</t>
  </si>
  <si>
    <t>ERX9713347</t>
  </si>
  <si>
    <t>ERR10176879</t>
  </si>
  <si>
    <t>ERX9713348</t>
  </si>
  <si>
    <t>ERR10176881</t>
  </si>
  <si>
    <t>ERX9713350</t>
  </si>
  <si>
    <t>ERR10176886</t>
  </si>
  <si>
    <t>ERX9713355</t>
  </si>
  <si>
    <t>SAMEA111331692</t>
  </si>
  <si>
    <t>ERR10176888</t>
  </si>
  <si>
    <t>ERX9713357</t>
  </si>
  <si>
    <t>SAMEA111331694</t>
  </si>
  <si>
    <t>ERR10176891</t>
  </si>
  <si>
    <t>ERX9713360</t>
  </si>
  <si>
    <t>SAMEA111331695</t>
  </si>
  <si>
    <t>ERR10176893</t>
  </si>
  <si>
    <t>ERX9713362</t>
  </si>
  <si>
    <t>SAMEA111331696</t>
  </si>
  <si>
    <t>ERR10176903</t>
  </si>
  <si>
    <t>ERX9713372</t>
  </si>
  <si>
    <t>ERR10176905</t>
  </si>
  <si>
    <t>ERX9713374</t>
  </si>
  <si>
    <t>ERR10176907</t>
  </si>
  <si>
    <t>ERX9713376</t>
  </si>
  <si>
    <t>ERR10176909</t>
  </si>
  <si>
    <t>ERX9713378</t>
  </si>
  <si>
    <t>ERR10176918</t>
  </si>
  <si>
    <t>ERX9713387</t>
  </si>
  <si>
    <t>SAMEA111331701</t>
  </si>
  <si>
    <t>ERR10176919</t>
  </si>
  <si>
    <t>ERX9713388</t>
  </si>
  <si>
    <t>ERR10176926</t>
  </si>
  <si>
    <t>ERX9713395</t>
  </si>
  <si>
    <t>SAMEA111331703</t>
  </si>
  <si>
    <t>ERR10176929</t>
  </si>
  <si>
    <t>ERX9713398</t>
  </si>
  <si>
    <t>ERR10176933</t>
  </si>
  <si>
    <t>ERX9713402</t>
  </si>
  <si>
    <t>ERR10176934</t>
  </si>
  <si>
    <t>ERX9713403</t>
  </si>
  <si>
    <t>ERR10176936</t>
  </si>
  <si>
    <t>ERX9713405</t>
  </si>
  <si>
    <t>ERR10176937</t>
  </si>
  <si>
    <t>ERX9713406</t>
  </si>
  <si>
    <t>ERR10176941</t>
  </si>
  <si>
    <t>ERX9713410</t>
  </si>
  <si>
    <t>ERR10176942</t>
  </si>
  <si>
    <t>ERX9713411</t>
  </si>
  <si>
    <t>ERR10176949</t>
  </si>
  <si>
    <t>ERX9713418</t>
  </si>
  <si>
    <t>ERR10176950</t>
  </si>
  <si>
    <t>ERX9713419</t>
  </si>
  <si>
    <t>ERR10176957</t>
  </si>
  <si>
    <t>ERX9713426</t>
  </si>
  <si>
    <t>ERR10176958</t>
  </si>
  <si>
    <t>ERX9713427</t>
  </si>
  <si>
    <t>ERR10176959</t>
  </si>
  <si>
    <t>ERX9713428</t>
  </si>
  <si>
    <t>ERR10176961</t>
  </si>
  <si>
    <t>ERX9713430</t>
  </si>
  <si>
    <t>ERR10176963</t>
  </si>
  <si>
    <t>ERX9713432</t>
  </si>
  <si>
    <t>SAMEA111331717</t>
  </si>
  <si>
    <t>ERR10176964</t>
  </si>
  <si>
    <t>ERX9713433</t>
  </si>
  <si>
    <t>ERR10176966</t>
  </si>
  <si>
    <t>ERX9713435</t>
  </si>
  <si>
    <t>ERR10176967</t>
  </si>
  <si>
    <t>ERX9713436</t>
  </si>
  <si>
    <t>ERR10176971</t>
  </si>
  <si>
    <t>ERX9713440</t>
  </si>
  <si>
    <t>ERR10176972</t>
  </si>
  <si>
    <t>ERX9713441</t>
  </si>
  <si>
    <t>ERR10176973</t>
  </si>
  <si>
    <t>ERX9713442</t>
  </si>
  <si>
    <t>ERR10176974</t>
  </si>
  <si>
    <t>ERX9713443</t>
  </si>
  <si>
    <t>ERR10176975</t>
  </si>
  <si>
    <t>ERX9713444</t>
  </si>
  <si>
    <t>ERR10176979</t>
  </si>
  <si>
    <t>ERX9713448</t>
  </si>
  <si>
    <t>ERR10176981</t>
  </si>
  <si>
    <t>ERX9713450</t>
  </si>
  <si>
    <t>ERR10176990</t>
  </si>
  <si>
    <t>ERX9713459</t>
  </si>
  <si>
    <t>ERR10176995</t>
  </si>
  <si>
    <t>ERX9713464</t>
  </si>
  <si>
    <t>ERR10176998</t>
  </si>
  <si>
    <t>ERX9713467</t>
  </si>
  <si>
    <t>ERR10177001</t>
  </si>
  <si>
    <t>ERX9713470</t>
  </si>
  <si>
    <t>ERR10177010</t>
  </si>
  <si>
    <t>ERX9713479</t>
  </si>
  <si>
    <t>SAMEA111331732</t>
  </si>
  <si>
    <t>ERR10177011</t>
  </si>
  <si>
    <t>ERX9713480</t>
  </si>
  <si>
    <t>SAMEA111331733</t>
  </si>
  <si>
    <t>ERR10177013</t>
  </si>
  <si>
    <t>ERX9713482</t>
  </si>
  <si>
    <t>ERR10177017</t>
  </si>
  <si>
    <t>ERX9713486</t>
  </si>
  <si>
    <t>ERR10177022</t>
  </si>
  <si>
    <t>ERX9713491</t>
  </si>
  <si>
    <t>ERR10177023</t>
  </si>
  <si>
    <t>ERX9713492</t>
  </si>
  <si>
    <t>ERR10177025</t>
  </si>
  <si>
    <t>ERX9713494</t>
  </si>
  <si>
    <t>ERR10177027</t>
  </si>
  <si>
    <t>ERX9713496</t>
  </si>
  <si>
    <t>ERR10177029</t>
  </si>
  <si>
    <t>ERX9713498</t>
  </si>
  <si>
    <t>ERR10177031</t>
  </si>
  <si>
    <t>ERX9713500</t>
  </si>
  <si>
    <t>ERR10177036</t>
  </si>
  <si>
    <t>ERX9713505</t>
  </si>
  <si>
    <t>ERR10177037</t>
  </si>
  <si>
    <t>ERX9713506</t>
  </si>
  <si>
    <t>ERR10177038</t>
  </si>
  <si>
    <t>ERX9713507</t>
  </si>
  <si>
    <t>ERR10177042</t>
  </si>
  <si>
    <t>ERX9713511</t>
  </si>
  <si>
    <t>ERR10177043</t>
  </si>
  <si>
    <t>ERX9713512</t>
  </si>
  <si>
    <t>ERR10177044</t>
  </si>
  <si>
    <t>ERX9713513</t>
  </si>
  <si>
    <t>ERR10177046</t>
  </si>
  <si>
    <t>ERX9713515</t>
  </si>
  <si>
    <t>ERR10177047</t>
  </si>
  <si>
    <t>ERX9713516</t>
  </si>
  <si>
    <t>ERR10177056</t>
  </si>
  <si>
    <t>ERX9713525</t>
  </si>
  <si>
    <t>ERR10177065</t>
  </si>
  <si>
    <t>ERX9713534</t>
  </si>
  <si>
    <t>ERR10177070</t>
  </si>
  <si>
    <t>ERX9713539</t>
  </si>
  <si>
    <t>ERR10177071</t>
  </si>
  <si>
    <t>ERX9713540</t>
  </si>
  <si>
    <t>ERR10177080</t>
  </si>
  <si>
    <t>ERX9713549</t>
  </si>
  <si>
    <t>ERR10177086</t>
  </si>
  <si>
    <t>ERX9713555</t>
  </si>
  <si>
    <t>ERR10177089</t>
  </si>
  <si>
    <t>ERX9713558</t>
  </si>
  <si>
    <t>ERR10177097</t>
  </si>
  <si>
    <t>ERX9713566</t>
  </si>
  <si>
    <t>ERR10177101</t>
  </si>
  <si>
    <t>ERX9713570</t>
  </si>
  <si>
    <t>ERR10177104</t>
  </si>
  <si>
    <t>ERX9713573</t>
  </si>
  <si>
    <t>ERR10177106</t>
  </si>
  <si>
    <t>ERX9713575</t>
  </si>
  <si>
    <t>SAMEA111331760</t>
  </si>
  <si>
    <t>ERR10177107</t>
  </si>
  <si>
    <t>ERX9713576</t>
  </si>
  <si>
    <t>ERR10177109</t>
  </si>
  <si>
    <t>ERX9713578</t>
  </si>
  <si>
    <t>ERR10177111</t>
  </si>
  <si>
    <t>ERX9713580</t>
  </si>
  <si>
    <t>ERR10177116</t>
  </si>
  <si>
    <t>ERX9713585</t>
  </si>
  <si>
    <t>ERR10177119</t>
  </si>
  <si>
    <t>ERX9713588</t>
  </si>
  <si>
    <t>SAMEA111331765</t>
  </si>
  <si>
    <t>ERR10177122</t>
  </si>
  <si>
    <t>ERX9713591</t>
  </si>
  <si>
    <t>ERR10177124</t>
  </si>
  <si>
    <t>ERX9713593</t>
  </si>
  <si>
    <t>ERR10177126</t>
  </si>
  <si>
    <t>ERX9713595</t>
  </si>
  <si>
    <t>ERR10177130</t>
  </si>
  <si>
    <t>ERX9713599</t>
  </si>
  <si>
    <t>ERR10177132</t>
  </si>
  <si>
    <t>ERX9713601</t>
  </si>
  <si>
    <t>ERR10177133</t>
  </si>
  <si>
    <t>ERX9713602</t>
  </si>
  <si>
    <t>ERR10177135</t>
  </si>
  <si>
    <t>ERX9713604</t>
  </si>
  <si>
    <t>SAMEA111331772</t>
  </si>
  <si>
    <t>ERR10177136</t>
  </si>
  <si>
    <t>ERX9713605</t>
  </si>
  <si>
    <t>ERR10177137</t>
  </si>
  <si>
    <t>ERX9713606</t>
  </si>
  <si>
    <t>ERR10177141</t>
  </si>
  <si>
    <t>ERX9713610</t>
  </si>
  <si>
    <t>ERR10177142</t>
  </si>
  <si>
    <t>ERX9713611</t>
  </si>
  <si>
    <t>ERR10177144</t>
  </si>
  <si>
    <t>ERX9713613</t>
  </si>
  <si>
    <t>ERR10177146</t>
  </si>
  <si>
    <t>ERX9713615</t>
  </si>
  <si>
    <t>SAMEA111331778</t>
  </si>
  <si>
    <t>ERR10177153</t>
  </si>
  <si>
    <t>ERX9713622</t>
  </si>
  <si>
    <t>ERR10177157</t>
  </si>
  <si>
    <t>ERX9713626</t>
  </si>
  <si>
    <t>SAMEA111331780</t>
  </si>
  <si>
    <t>ERR10177159</t>
  </si>
  <si>
    <t>ERX9713628</t>
  </si>
  <si>
    <t>ERR10177160</t>
  </si>
  <si>
    <t>ERX9713629</t>
  </si>
  <si>
    <t>ERR10177163</t>
  </si>
  <si>
    <t>ERX9713632</t>
  </si>
  <si>
    <t>SAMEA111331783</t>
  </si>
  <si>
    <t>ERR10177164</t>
  </si>
  <si>
    <t>ERX9713633</t>
  </si>
  <si>
    <t>ERR10177169</t>
  </si>
  <si>
    <t>ERX9713638</t>
  </si>
  <si>
    <t>ERR10177171</t>
  </si>
  <si>
    <t>ERX9713640</t>
  </si>
  <si>
    <t>SAMEA111331786</t>
  </si>
  <si>
    <t>ERR10177172</t>
  </si>
  <si>
    <t>ERX9713641</t>
  </si>
  <si>
    <t>ERR10177174</t>
  </si>
  <si>
    <t>ERX9713643</t>
  </si>
  <si>
    <t>ERR10177176</t>
  </si>
  <si>
    <t>ERX9713645</t>
  </si>
  <si>
    <t>ERR10177182</t>
  </si>
  <si>
    <t>ERX9713651</t>
  </si>
  <si>
    <t>SAMEA111331790</t>
  </si>
  <si>
    <t>ERR10177184</t>
  </si>
  <si>
    <t>ERX9713653</t>
  </si>
  <si>
    <t>SAMEA111331791</t>
  </si>
  <si>
    <t>ERR10177186</t>
  </si>
  <si>
    <t>ERX9713655</t>
  </si>
  <si>
    <t>SAMEA111331792</t>
  </si>
  <si>
    <t>ERR10177187</t>
  </si>
  <si>
    <t>ERX9713656</t>
  </si>
  <si>
    <t>SAMEA111331793</t>
  </si>
  <si>
    <t>ERR10177191</t>
  </si>
  <si>
    <t>ERX9713660</t>
  </si>
  <si>
    <t>SAMEA111331794</t>
  </si>
  <si>
    <t>ERR10177192</t>
  </si>
  <si>
    <t>ERX9713661</t>
  </si>
  <si>
    <t>ERR10177194</t>
  </si>
  <si>
    <t>ERX9713663</t>
  </si>
  <si>
    <t>ERR10177200</t>
  </si>
  <si>
    <t>ERX9713669</t>
  </si>
  <si>
    <t>ERR10177205</t>
  </si>
  <si>
    <t>ERX9713674</t>
  </si>
  <si>
    <t>ERR10177206</t>
  </si>
  <si>
    <t>ERX9713675</t>
  </si>
  <si>
    <t>ERR10177207</t>
  </si>
  <si>
    <t>ERX9713676</t>
  </si>
  <si>
    <t>ERR10177213</t>
  </si>
  <si>
    <t>ERX9713682</t>
  </si>
  <si>
    <t>SAMEA111331801</t>
  </si>
  <si>
    <t>ERR10177214</t>
  </si>
  <si>
    <t>ERX9713683</t>
  </si>
  <si>
    <t>SAMEA111331802</t>
  </si>
  <si>
    <t>ERR10177215</t>
  </si>
  <si>
    <t>ERX9713684</t>
  </si>
  <si>
    <t>ERR10177219</t>
  </si>
  <si>
    <t>ERX9713688</t>
  </si>
  <si>
    <t>ERR10177225</t>
  </si>
  <si>
    <t>ERX9713694</t>
  </si>
  <si>
    <t>ERR10177227</t>
  </si>
  <si>
    <t>ERX9713696</t>
  </si>
  <si>
    <t>ERR10177232</t>
  </si>
  <si>
    <t>ERX9713701</t>
  </si>
  <si>
    <t>ERR10177234</t>
  </si>
  <si>
    <t>ERX9713703</t>
  </si>
  <si>
    <t>ERR10177240</t>
  </si>
  <si>
    <t>ERX9713709</t>
  </si>
  <si>
    <t>ERR10177244</t>
  </si>
  <si>
    <t>ERX9713713</t>
  </si>
  <si>
    <t>ERR10177246</t>
  </si>
  <si>
    <t>ERX9713715</t>
  </si>
  <si>
    <t>ERR10177248</t>
  </si>
  <si>
    <t>ERX9713717</t>
  </si>
  <si>
    <t>ERR10177249</t>
  </si>
  <si>
    <t>ERX9713718</t>
  </si>
  <si>
    <t>ERR10177252</t>
  </si>
  <si>
    <t>ERX9713721</t>
  </si>
  <si>
    <t>ERR10177255</t>
  </si>
  <si>
    <t>ERX9713724</t>
  </si>
  <si>
    <t>ERR10177260</t>
  </si>
  <si>
    <t>ERX9713729</t>
  </si>
  <si>
    <t>ERR10177261</t>
  </si>
  <si>
    <t>ERX9713730</t>
  </si>
  <si>
    <t>SAMEA111331817</t>
  </si>
  <si>
    <t>ERR10177263</t>
  </si>
  <si>
    <t>ERX9713732</t>
  </si>
  <si>
    <t>SAMEA111331818</t>
  </si>
  <si>
    <t>ERR10177266</t>
  </si>
  <si>
    <t>ERX9713735</t>
  </si>
  <si>
    <t>ERR10177268</t>
  </si>
  <si>
    <t>ERX9713737</t>
  </si>
  <si>
    <t>ERR10177269</t>
  </si>
  <si>
    <t>ERX9713738</t>
  </si>
  <si>
    <t>ERR10177271</t>
  </si>
  <si>
    <t>ERX9713740</t>
  </si>
  <si>
    <t>ERR10177281</t>
  </si>
  <si>
    <t>ERX9713750</t>
  </si>
  <si>
    <t>ERR10177285</t>
  </si>
  <si>
    <t>ERX9713754</t>
  </si>
  <si>
    <t>ERR10177288</t>
  </si>
  <si>
    <t>ERX9713757</t>
  </si>
  <si>
    <t>ERR10177290</t>
  </si>
  <si>
    <t>ERX9713759</t>
  </si>
  <si>
    <t>ERR10177293</t>
  </si>
  <si>
    <t>ERX9713762</t>
  </si>
  <si>
    <t>SAMEA111331827</t>
  </si>
  <si>
    <t>ERR10177297</t>
  </si>
  <si>
    <t>ERX9713766</t>
  </si>
  <si>
    <t>ERR10177301</t>
  </si>
  <si>
    <t>ERX9713770</t>
  </si>
  <si>
    <t>ERR10177304</t>
  </si>
  <si>
    <t>ERX9713773</t>
  </si>
  <si>
    <t>ERR10177311</t>
  </si>
  <si>
    <t>ERX9713780</t>
  </si>
  <si>
    <t>ERR10177314</t>
  </si>
  <si>
    <t>ERX9713783</t>
  </si>
  <si>
    <t>ERR10177325</t>
  </si>
  <si>
    <t>ERX9713794</t>
  </si>
  <si>
    <t>ERR10177326</t>
  </si>
  <si>
    <t>ERX9713795</t>
  </si>
  <si>
    <t>ERR10177329</t>
  </si>
  <si>
    <t>ERX9713798</t>
  </si>
  <si>
    <t>ERR10177330</t>
  </si>
  <si>
    <t>ERX9713799</t>
  </si>
  <si>
    <t>ERR10177333</t>
  </si>
  <si>
    <t>ERX9713802</t>
  </si>
  <si>
    <t>ERR10177334</t>
  </si>
  <si>
    <t>ERX9713803</t>
  </si>
  <si>
    <t>SAMEA111331838</t>
  </si>
  <si>
    <t>ERR10177337</t>
  </si>
  <si>
    <t>ERX9713806</t>
  </si>
  <si>
    <t>ERR10177347</t>
  </si>
  <si>
    <t>ERX9713816</t>
  </si>
  <si>
    <t>ERR10177348</t>
  </si>
  <si>
    <t>ERX9713817</t>
  </si>
  <si>
    <t>ERR10177349</t>
  </si>
  <si>
    <t>ERX9713818</t>
  </si>
  <si>
    <t>ERR10177353</t>
  </si>
  <si>
    <t>ERX9713822</t>
  </si>
  <si>
    <t>ERR10177354</t>
  </si>
  <si>
    <t>ERX9713823</t>
  </si>
  <si>
    <t>ERR10177355</t>
  </si>
  <si>
    <t>ERX9713824</t>
  </si>
  <si>
    <t>ERR10177362</t>
  </si>
  <si>
    <t>ERX9713831</t>
  </si>
  <si>
    <t>SAMEA111331846</t>
  </si>
  <si>
    <t>ERR10177364</t>
  </si>
  <si>
    <t>ERX9713833</t>
  </si>
  <si>
    <t>ERR10177366</t>
  </si>
  <si>
    <t>ERX9713835</t>
  </si>
  <si>
    <t>SAMEA111331848</t>
  </si>
  <si>
    <t>ERR10177369</t>
  </si>
  <si>
    <t>ERX9713838</t>
  </si>
  <si>
    <t>ERR10177373</t>
  </si>
  <si>
    <t>ERX9713842</t>
  </si>
  <si>
    <t>ERR10177375</t>
  </si>
  <si>
    <t>ERX9713844</t>
  </si>
  <si>
    <t>ERR10177377</t>
  </si>
  <si>
    <t>ERX9713846</t>
  </si>
  <si>
    <t>ERR10177378</t>
  </si>
  <si>
    <t>ERX9713847</t>
  </si>
  <si>
    <t>SAMEA111331853</t>
  </si>
  <si>
    <t>ERR10177379</t>
  </si>
  <si>
    <t>ERX9713848</t>
  </si>
  <si>
    <t>ERR10177384</t>
  </si>
  <si>
    <t>ERX9713853</t>
  </si>
  <si>
    <t>ERR10177385</t>
  </si>
  <si>
    <t>ERX9713854</t>
  </si>
  <si>
    <t>ERR10177386</t>
  </si>
  <si>
    <t>ERX9713855</t>
  </si>
  <si>
    <t>SAMEA111331857</t>
  </si>
  <si>
    <t>ERR10177390</t>
  </si>
  <si>
    <t>ERX9713859</t>
  </si>
  <si>
    <t>SAMEA111331858</t>
  </si>
  <si>
    <t>ERR10177391</t>
  </si>
  <si>
    <t>ERX9713860</t>
  </si>
  <si>
    <t>ERR10177393</t>
  </si>
  <si>
    <t>ERX9713862</t>
  </si>
  <si>
    <t>SAMEA111331860</t>
  </si>
  <si>
    <t>ERR10177399</t>
  </si>
  <si>
    <t>ERX9713868</t>
  </si>
  <si>
    <t>ERR10177401</t>
  </si>
  <si>
    <t>ERX9713870</t>
  </si>
  <si>
    <t>ERR10177402</t>
  </si>
  <si>
    <t>ERX9713871</t>
  </si>
  <si>
    <t>SAMEA111331863</t>
  </si>
  <si>
    <t>ERR10177407</t>
  </si>
  <si>
    <t>ERX9713876</t>
  </si>
  <si>
    <t>ERR10177408</t>
  </si>
  <si>
    <t>ERX9713877</t>
  </si>
  <si>
    <t>ERR10177411</t>
  </si>
  <si>
    <t>ERX9713880</t>
  </si>
  <si>
    <t>SAMEA111331866</t>
  </si>
  <si>
    <t>ERR10177412</t>
  </si>
  <si>
    <t>ERX9713881</t>
  </si>
  <si>
    <t>ERR10177413</t>
  </si>
  <si>
    <t>ERX9713882</t>
  </si>
  <si>
    <t>ERR10177415</t>
  </si>
  <si>
    <t>ERX9713884</t>
  </si>
  <si>
    <t>SAMEA111331869</t>
  </si>
  <si>
    <t>ERR10177425</t>
  </si>
  <si>
    <t>ERX9713894</t>
  </si>
  <si>
    <t>SAMEA111331870</t>
  </si>
  <si>
    <t>ERR10177426</t>
  </si>
  <si>
    <t>ERX9713895</t>
  </si>
  <si>
    <t>ERR10177428</t>
  </si>
  <si>
    <t>ERX9713897</t>
  </si>
  <si>
    <t>ERR10177429</t>
  </si>
  <si>
    <t>ERX9713898</t>
  </si>
  <si>
    <t>ERR10177432</t>
  </si>
  <si>
    <t>ERX9713901</t>
  </si>
  <si>
    <t>SAMEA111331873</t>
  </si>
  <si>
    <t>ERR10177435</t>
  </si>
  <si>
    <t>ERX9713904</t>
  </si>
  <si>
    <t>SAMEA111331875</t>
  </si>
  <si>
    <t>ERR10177436</t>
  </si>
  <si>
    <t>ERX9713905</t>
  </si>
  <si>
    <t>SAMEA111331876</t>
  </si>
  <si>
    <t>ERR10177438</t>
  </si>
  <si>
    <t>ERX9713907</t>
  </si>
  <si>
    <t>ERR10177439</t>
  </si>
  <si>
    <t>ERX9713908</t>
  </si>
  <si>
    <t>ERR10177445</t>
  </si>
  <si>
    <t>ERX9713914</t>
  </si>
  <si>
    <t>ERR10177449</t>
  </si>
  <si>
    <t>ERX9713918</t>
  </si>
  <si>
    <t>ERR10177450</t>
  </si>
  <si>
    <t>ERX9713919</t>
  </si>
  <si>
    <t>ERR10177460</t>
  </si>
  <si>
    <t>ERX9713929</t>
  </si>
  <si>
    <t>ERR10177461</t>
  </si>
  <si>
    <t>ERX9713930</t>
  </si>
  <si>
    <t>ERR10177462</t>
  </si>
  <si>
    <t>ERX9713931</t>
  </si>
  <si>
    <t>ERR10177469</t>
  </si>
  <si>
    <t>ERX9713938</t>
  </si>
  <si>
    <t>ERR10177478</t>
  </si>
  <si>
    <t>ERX9713947</t>
  </si>
  <si>
    <t>ERR10177484</t>
  </si>
  <si>
    <t>ERX9713953</t>
  </si>
  <si>
    <t>ERR10177487</t>
  </si>
  <si>
    <t>ERX9713956</t>
  </si>
  <si>
    <t>ERR10177492</t>
  </si>
  <si>
    <t>ERX9713961</t>
  </si>
  <si>
    <t>ERR10177497</t>
  </si>
  <si>
    <t>ERX9713966</t>
  </si>
  <si>
    <t>SAMEA111331889</t>
  </si>
  <si>
    <t>ERR10177498</t>
  </si>
  <si>
    <t>ERX9713967</t>
  </si>
  <si>
    <t>SAMEA111331891</t>
  </si>
  <si>
    <t>ERR10177500</t>
  </si>
  <si>
    <t>ERX9713969</t>
  </si>
  <si>
    <t>ERR10177501</t>
  </si>
  <si>
    <t>ERX9713970</t>
  </si>
  <si>
    <t>ERR10177505</t>
  </si>
  <si>
    <t>ERX9713974</t>
  </si>
  <si>
    <t>ERR10177506</t>
  </si>
  <si>
    <t>ERX9713975</t>
  </si>
  <si>
    <t>SAMEA111331895</t>
  </si>
  <si>
    <t>ERR10177507</t>
  </si>
  <si>
    <t>ERX9713976</t>
  </si>
  <si>
    <t>ERR10177508</t>
  </si>
  <si>
    <t>ERX9713977</t>
  </si>
  <si>
    <t>ERR10177511</t>
  </si>
  <si>
    <t>ERX9713980</t>
  </si>
  <si>
    <t>ERR10177515</t>
  </si>
  <si>
    <t>ERX9713984</t>
  </si>
  <si>
    <t>SAMEA111331899</t>
  </si>
  <si>
    <t>ERR10177516</t>
  </si>
  <si>
    <t>ERX9713985</t>
  </si>
  <si>
    <t>ERR10177517</t>
  </si>
  <si>
    <t>ERX9713986</t>
  </si>
  <si>
    <t>ERR10177521</t>
  </si>
  <si>
    <t>ERX9713990</t>
  </si>
  <si>
    <t>SAMEA111331902</t>
  </si>
  <si>
    <t>ERR10177524</t>
  </si>
  <si>
    <t>ERX9713993</t>
  </si>
  <si>
    <t>ERR10177527</t>
  </si>
  <si>
    <t>ERX9713996</t>
  </si>
  <si>
    <t>ERR10177531</t>
  </si>
  <si>
    <t>ERX9714000</t>
  </si>
  <si>
    <t>ERR10177534</t>
  </si>
  <si>
    <t>ERX9714003</t>
  </si>
  <si>
    <t>ERR10177537</t>
  </si>
  <si>
    <t>ERX9714006</t>
  </si>
  <si>
    <t>SAMEA111331907</t>
  </si>
  <si>
    <t>ERR10177538</t>
  </si>
  <si>
    <t>ERX9714007</t>
  </si>
  <si>
    <t>SAMEA111331908</t>
  </si>
  <si>
    <t>ERR10177541</t>
  </si>
  <si>
    <t>ERX9714010</t>
  </si>
  <si>
    <t>ERR10177547</t>
  </si>
  <si>
    <t>ERX9714016</t>
  </si>
  <si>
    <t>ERR10177556</t>
  </si>
  <si>
    <t>ERX9714025</t>
  </si>
  <si>
    <t>ERR10177560</t>
  </si>
  <si>
    <t>ERX9714029</t>
  </si>
  <si>
    <t>SAMEA111331912</t>
  </si>
  <si>
    <t>ERR10177563</t>
  </si>
  <si>
    <t>ERX9714032</t>
  </si>
  <si>
    <t>SAMEA111331913</t>
  </si>
  <si>
    <t>ERR10177566</t>
  </si>
  <si>
    <t>ERX9714035</t>
  </si>
  <si>
    <t>SAMEA111331914</t>
  </si>
  <si>
    <t>ERR10177567</t>
  </si>
  <si>
    <t>ERX9714036</t>
  </si>
  <si>
    <t>SAMEA111331017</t>
  </si>
  <si>
    <t xml:space="preserve">Note: TGNR number is not unique!!! There are sometimes multiple sequences per TGNR id. </t>
  </si>
  <si>
    <t>Seq_ID</t>
  </si>
  <si>
    <t>Genome label (TGNR-YY)</t>
  </si>
  <si>
    <t>100033-19</t>
  </si>
  <si>
    <t>100080-19</t>
  </si>
  <si>
    <t>100223-19</t>
  </si>
  <si>
    <t>100676-19</t>
  </si>
  <si>
    <t>100738-19</t>
  </si>
  <si>
    <t>100888-20</t>
  </si>
  <si>
    <t>100914-20</t>
  </si>
  <si>
    <t>100977-19</t>
  </si>
  <si>
    <t>101099-19</t>
  </si>
  <si>
    <t>102689-19</t>
  </si>
  <si>
    <t>102832-19</t>
  </si>
  <si>
    <t>102916-19</t>
  </si>
  <si>
    <t>103140-20</t>
  </si>
  <si>
    <t>103514-20</t>
  </si>
  <si>
    <t>103713-19</t>
  </si>
  <si>
    <t>103840-19</t>
  </si>
  <si>
    <t>103864-19</t>
  </si>
  <si>
    <t>104005-19</t>
  </si>
  <si>
    <t>104349-20</t>
  </si>
  <si>
    <t>104606-20</t>
  </si>
  <si>
    <t>104977-19</t>
  </si>
  <si>
    <t>105056-19</t>
  </si>
  <si>
    <t>105099-20</t>
  </si>
  <si>
    <t>105252-19</t>
  </si>
  <si>
    <t>105320-19</t>
  </si>
  <si>
    <t>105436-19</t>
  </si>
  <si>
    <t>106778-20</t>
  </si>
  <si>
    <t>106799-19</t>
  </si>
  <si>
    <t>106880-19</t>
  </si>
  <si>
    <t>107006-20</t>
  </si>
  <si>
    <t>107068-19</t>
  </si>
  <si>
    <t>107096-19</t>
  </si>
  <si>
    <t>107962-20</t>
  </si>
  <si>
    <t>108013-20</t>
  </si>
  <si>
    <t>108036-19</t>
  </si>
  <si>
    <t>108473-19</t>
  </si>
  <si>
    <t>108494-19</t>
  </si>
  <si>
    <t>108798-19</t>
  </si>
  <si>
    <t>108842-19</t>
  </si>
  <si>
    <t>109114-19</t>
  </si>
  <si>
    <t>109327-20</t>
  </si>
  <si>
    <t>109627-20</t>
  </si>
  <si>
    <t>109725-20</t>
  </si>
  <si>
    <t>109749-19</t>
  </si>
  <si>
    <t>109841-19</t>
  </si>
  <si>
    <t>110188-20</t>
  </si>
  <si>
    <t>110833-20</t>
  </si>
  <si>
    <t>112304-19</t>
  </si>
  <si>
    <t>113047-19</t>
  </si>
  <si>
    <t>113269-19</t>
  </si>
  <si>
    <t>113856-19</t>
  </si>
  <si>
    <t>113912-19</t>
  </si>
  <si>
    <t>113998-19</t>
  </si>
  <si>
    <t>114031-19</t>
  </si>
  <si>
    <t>114158-19</t>
  </si>
  <si>
    <t>114334-19</t>
  </si>
  <si>
    <t>114547-19</t>
  </si>
  <si>
    <t>114672-19</t>
  </si>
  <si>
    <t>114903-19</t>
  </si>
  <si>
    <t>115038-19</t>
  </si>
  <si>
    <t>115244-19</t>
  </si>
  <si>
    <t>115309-18</t>
  </si>
  <si>
    <t>115325-18</t>
  </si>
  <si>
    <t>115366-18</t>
  </si>
  <si>
    <t>115450-18</t>
  </si>
  <si>
    <t>115672-18</t>
  </si>
  <si>
    <t>116096-18</t>
  </si>
  <si>
    <t>116138-19</t>
  </si>
  <si>
    <t>116960-18</t>
  </si>
  <si>
    <t>117050-18</t>
  </si>
  <si>
    <t>117243-18</t>
  </si>
  <si>
    <t>117301-18</t>
  </si>
  <si>
    <t>117315-18</t>
  </si>
  <si>
    <t>117371-19</t>
  </si>
  <si>
    <t>117378-18</t>
  </si>
  <si>
    <t>117388-19</t>
  </si>
  <si>
    <t>117412-18</t>
  </si>
  <si>
    <t>117416-18</t>
  </si>
  <si>
    <t>117680-19</t>
  </si>
  <si>
    <t>117796-18</t>
  </si>
  <si>
    <t>118504-18</t>
  </si>
  <si>
    <t>118557-18</t>
  </si>
  <si>
    <t>118609-19</t>
  </si>
  <si>
    <t>118620-19</t>
  </si>
  <si>
    <t>118630-18</t>
  </si>
  <si>
    <t>118653-18</t>
  </si>
  <si>
    <t>118708-18</t>
  </si>
  <si>
    <t>118828-18</t>
  </si>
  <si>
    <t>119159-19</t>
  </si>
  <si>
    <t>119192-19</t>
  </si>
  <si>
    <t>119210-19</t>
  </si>
  <si>
    <t>119247-18</t>
  </si>
  <si>
    <t>119247-19</t>
  </si>
  <si>
    <t>119436-19</t>
  </si>
  <si>
    <t>119761-19</t>
  </si>
  <si>
    <t>119812-18</t>
  </si>
  <si>
    <t>120125-18</t>
  </si>
  <si>
    <t>120434-18</t>
  </si>
  <si>
    <t>120507-18</t>
  </si>
  <si>
    <t>120569-18</t>
  </si>
  <si>
    <t>120626-19</t>
  </si>
  <si>
    <t>120706-18</t>
  </si>
  <si>
    <t>121362-18</t>
  </si>
  <si>
    <t>121531-19</t>
  </si>
  <si>
    <t>121582-18</t>
  </si>
  <si>
    <t>121852-18</t>
  </si>
  <si>
    <t>122060-18</t>
  </si>
  <si>
    <t>122407-18</t>
  </si>
  <si>
    <t>122551-18</t>
  </si>
  <si>
    <t>122576-19</t>
  </si>
  <si>
    <t>122582-19</t>
  </si>
  <si>
    <t>122752-18</t>
  </si>
  <si>
    <t>123429-18</t>
  </si>
  <si>
    <t>123488-18</t>
  </si>
  <si>
    <t>123536-18</t>
  </si>
  <si>
    <t>123767-19</t>
  </si>
  <si>
    <t>123940-18</t>
  </si>
  <si>
    <t>123955-18</t>
  </si>
  <si>
    <t>123972-18</t>
  </si>
  <si>
    <t>124121-18</t>
  </si>
  <si>
    <t>124391-19</t>
  </si>
  <si>
    <t>124696-18</t>
  </si>
  <si>
    <t>125052-18</t>
  </si>
  <si>
    <t>125062-18</t>
  </si>
  <si>
    <t>125172-18</t>
  </si>
  <si>
    <t>125217-18</t>
  </si>
  <si>
    <t>125338-18</t>
  </si>
  <si>
    <t>125398-18</t>
  </si>
  <si>
    <t>125418-18</t>
  </si>
  <si>
    <t>125781-19</t>
  </si>
  <si>
    <t>125859-18</t>
  </si>
  <si>
    <t>125996-19</t>
  </si>
  <si>
    <t>126622-18</t>
  </si>
  <si>
    <t>126663-19</t>
  </si>
  <si>
    <t>126737-18</t>
  </si>
  <si>
    <t>127052-18</t>
  </si>
  <si>
    <t>127083-18</t>
  </si>
  <si>
    <t>127354-18</t>
  </si>
  <si>
    <t>127390-18</t>
  </si>
  <si>
    <t>127487-18</t>
  </si>
  <si>
    <t>127688-19</t>
  </si>
  <si>
    <t>128229-19</t>
  </si>
  <si>
    <t>128541-18</t>
  </si>
  <si>
    <t>128632-18</t>
  </si>
  <si>
    <t>128873-19</t>
  </si>
  <si>
    <t>129077-18</t>
  </si>
  <si>
    <t>129347-18</t>
  </si>
  <si>
    <t>129498-19</t>
  </si>
  <si>
    <t>129950-18</t>
  </si>
  <si>
    <t>130059-18</t>
  </si>
  <si>
    <t>130112-19</t>
  </si>
  <si>
    <t>130207-19</t>
  </si>
  <si>
    <t>130260-18</t>
  </si>
  <si>
    <t>130292-18</t>
  </si>
  <si>
    <t>130368-18</t>
  </si>
  <si>
    <t>130852-18</t>
  </si>
  <si>
    <t>130874-19</t>
  </si>
  <si>
    <t>130912-18</t>
  </si>
  <si>
    <t>130949-18</t>
  </si>
  <si>
    <t>131028-19</t>
  </si>
  <si>
    <t>131185-18</t>
  </si>
  <si>
    <t>131196-18</t>
  </si>
  <si>
    <t>131301-18</t>
  </si>
  <si>
    <t>131377-18</t>
  </si>
  <si>
    <t>131513-19</t>
  </si>
  <si>
    <t>131615-18</t>
  </si>
  <si>
    <t>131676-18</t>
  </si>
  <si>
    <t>131923-18</t>
  </si>
  <si>
    <t>132090-18</t>
  </si>
  <si>
    <t>132092-18</t>
  </si>
  <si>
    <t>132203-19</t>
  </si>
  <si>
    <t>132258-18</t>
  </si>
  <si>
    <t>132418-18</t>
  </si>
  <si>
    <t>132437-19</t>
  </si>
  <si>
    <t>132591-19</t>
  </si>
  <si>
    <t>132924-18</t>
  </si>
  <si>
    <t>133117-18</t>
  </si>
  <si>
    <t>133260-18</t>
  </si>
  <si>
    <t>133516-18</t>
  </si>
  <si>
    <t>133688-19</t>
  </si>
  <si>
    <t>133868-19</t>
  </si>
  <si>
    <t>134022-19</t>
  </si>
  <si>
    <t>134321-18</t>
  </si>
  <si>
    <t>134355-18</t>
  </si>
  <si>
    <t>134488-18</t>
  </si>
  <si>
    <t>134709-19</t>
  </si>
  <si>
    <t>134814-19</t>
  </si>
  <si>
    <t>134955-18</t>
  </si>
  <si>
    <t>135331-19</t>
  </si>
  <si>
    <t>135499-18</t>
  </si>
  <si>
    <t>135695-19</t>
  </si>
  <si>
    <t>135714-19</t>
  </si>
  <si>
    <t>135740-19</t>
  </si>
  <si>
    <t>135967-18</t>
  </si>
  <si>
    <t>136153-18</t>
  </si>
  <si>
    <t>136401-18</t>
  </si>
  <si>
    <t>136972-19</t>
  </si>
  <si>
    <t>137161-18</t>
  </si>
  <si>
    <t>137216-18</t>
  </si>
  <si>
    <t>137784-19</t>
  </si>
  <si>
    <t>137889-18</t>
  </si>
  <si>
    <t>138038-19</t>
  </si>
  <si>
    <t>138120-19</t>
  </si>
  <si>
    <t>138129-18</t>
  </si>
  <si>
    <t>138432-18</t>
  </si>
  <si>
    <t>138502-19</t>
  </si>
  <si>
    <t>139019-18</t>
  </si>
  <si>
    <t>139632-18</t>
  </si>
  <si>
    <t>139800-18</t>
  </si>
  <si>
    <t>139819-18</t>
  </si>
  <si>
    <t>139865-18</t>
  </si>
  <si>
    <t>139956-18</t>
  </si>
  <si>
    <t>140726-19</t>
  </si>
  <si>
    <t>140991-19</t>
  </si>
  <si>
    <t>141318-18</t>
  </si>
  <si>
    <t>141345-18</t>
  </si>
  <si>
    <t>141458-18</t>
  </si>
  <si>
    <t>141591-19</t>
  </si>
  <si>
    <t>141714-18</t>
  </si>
  <si>
    <t>141842-19</t>
  </si>
  <si>
    <t>141891-18</t>
  </si>
  <si>
    <t>142486-18</t>
  </si>
  <si>
    <t>143357-18</t>
  </si>
  <si>
    <t>143362-18</t>
  </si>
  <si>
    <t>143490-18</t>
  </si>
  <si>
    <t>143617-19</t>
  </si>
  <si>
    <t>143736-18</t>
  </si>
  <si>
    <t>145233-18</t>
  </si>
  <si>
    <t>145309-18</t>
  </si>
  <si>
    <t>145484-19</t>
  </si>
  <si>
    <t>145804-18</t>
  </si>
  <si>
    <t>145816-18</t>
  </si>
  <si>
    <t>146081-19</t>
  </si>
  <si>
    <t>146394-19</t>
  </si>
  <si>
    <t>146529-19</t>
  </si>
  <si>
    <t>146951-18</t>
  </si>
  <si>
    <t>147404-18</t>
  </si>
  <si>
    <t>147971-18</t>
  </si>
  <si>
    <t>148268-18</t>
  </si>
  <si>
    <t>148801-18</t>
  </si>
  <si>
    <t>150603-18</t>
  </si>
  <si>
    <t>150832-18</t>
  </si>
  <si>
    <t>700024-20</t>
  </si>
  <si>
    <t>700041-20</t>
  </si>
  <si>
    <t>700042-20</t>
  </si>
  <si>
    <t>700170-20</t>
  </si>
  <si>
    <t>700223-20</t>
  </si>
  <si>
    <t>700231-20</t>
  </si>
  <si>
    <t>700241-20</t>
  </si>
  <si>
    <t>700398-19</t>
  </si>
  <si>
    <t>700450-20</t>
  </si>
  <si>
    <t>700464-20</t>
  </si>
  <si>
    <t>700504-20</t>
  </si>
  <si>
    <t>700539-20</t>
  </si>
  <si>
    <t>700636-20</t>
  </si>
  <si>
    <t>700699-20</t>
  </si>
  <si>
    <t>700728-20</t>
  </si>
  <si>
    <t>700760-20</t>
  </si>
  <si>
    <t>700796-20</t>
  </si>
  <si>
    <t>700887-20</t>
  </si>
  <si>
    <t>700903-20</t>
  </si>
  <si>
    <t>700926-20</t>
  </si>
  <si>
    <t>700975-20</t>
  </si>
  <si>
    <t>700982-20</t>
  </si>
  <si>
    <t>700992-20</t>
  </si>
  <si>
    <t>701014-20</t>
  </si>
  <si>
    <t>701075-20</t>
  </si>
  <si>
    <t>701117-20</t>
  </si>
  <si>
    <t>701132-20</t>
  </si>
  <si>
    <t>701145-20</t>
  </si>
  <si>
    <t>701169-20</t>
  </si>
  <si>
    <t>701188-20</t>
  </si>
  <si>
    <t>701198-20</t>
  </si>
  <si>
    <t>701258-20</t>
  </si>
  <si>
    <t>701336-20</t>
  </si>
  <si>
    <t>701377-20</t>
  </si>
  <si>
    <t>701518-20</t>
  </si>
  <si>
    <t>701605-20</t>
  </si>
  <si>
    <t>701664-20</t>
  </si>
  <si>
    <t>701681-20</t>
  </si>
  <si>
    <t>701684-20</t>
  </si>
  <si>
    <t>701697-20</t>
  </si>
  <si>
    <t>701712-20</t>
  </si>
  <si>
    <t>701874-20</t>
  </si>
  <si>
    <t>701887-20</t>
  </si>
  <si>
    <t>701891-20</t>
  </si>
  <si>
    <t>701905-20</t>
  </si>
  <si>
    <t>701919-20</t>
  </si>
  <si>
    <t>701943-20</t>
  </si>
  <si>
    <t>701961-20</t>
  </si>
  <si>
    <t>702006-20</t>
  </si>
  <si>
    <t>702017-20</t>
  </si>
  <si>
    <t>702058-20</t>
  </si>
  <si>
    <t>702085-20</t>
  </si>
  <si>
    <t>702254-20</t>
  </si>
  <si>
    <t>702324-20</t>
  </si>
  <si>
    <t>702338-20</t>
  </si>
  <si>
    <t>702344-20</t>
  </si>
  <si>
    <t>702354-20</t>
  </si>
  <si>
    <t>702359-20</t>
  </si>
  <si>
    <t>702412-20</t>
  </si>
  <si>
    <t>702423-20</t>
  </si>
  <si>
    <t>702446-20</t>
  </si>
  <si>
    <t>702451-20</t>
  </si>
  <si>
    <t>702559-20</t>
  </si>
  <si>
    <t>702575-20</t>
  </si>
  <si>
    <t>702594-20</t>
  </si>
  <si>
    <t>702628-20</t>
  </si>
  <si>
    <t>702635-20</t>
  </si>
  <si>
    <t>702670-20</t>
  </si>
  <si>
    <t>702744-20</t>
  </si>
  <si>
    <t>702768-20</t>
  </si>
  <si>
    <t>702821-20</t>
  </si>
  <si>
    <t>702827-20</t>
  </si>
  <si>
    <t>702833-20</t>
  </si>
  <si>
    <t>702863-20</t>
  </si>
  <si>
    <t>702875-20</t>
  </si>
  <si>
    <t>702901-20</t>
  </si>
  <si>
    <t>702907-20</t>
  </si>
  <si>
    <t>702988-20</t>
  </si>
  <si>
    <t>703042-20</t>
  </si>
  <si>
    <t>703047-20</t>
  </si>
  <si>
    <t>703050-20</t>
  </si>
  <si>
    <t>703071-20</t>
  </si>
  <si>
    <t>703072-20</t>
  </si>
  <si>
    <t>703152-20</t>
  </si>
  <si>
    <t>703156-20</t>
  </si>
  <si>
    <t>703190-20</t>
  </si>
  <si>
    <t>703212-20</t>
  </si>
  <si>
    <t>703249-20</t>
  </si>
  <si>
    <t>703282-20</t>
  </si>
  <si>
    <t>703294-20</t>
  </si>
  <si>
    <t>703306-20</t>
  </si>
  <si>
    <t>703315-20</t>
  </si>
  <si>
    <t>703359-20</t>
  </si>
  <si>
    <t>703369-20</t>
  </si>
  <si>
    <t>703418-20</t>
  </si>
  <si>
    <t>703461-20</t>
  </si>
  <si>
    <t>703483-20</t>
  </si>
  <si>
    <t>703514-20</t>
  </si>
  <si>
    <t>703590-20</t>
  </si>
  <si>
    <t>703611-20</t>
  </si>
  <si>
    <t>703650-20</t>
  </si>
  <si>
    <t>703651-20</t>
  </si>
  <si>
    <t>703734-20</t>
  </si>
  <si>
    <t>703747-20</t>
  </si>
  <si>
    <t>703819-20</t>
  </si>
  <si>
    <t>703873-20</t>
  </si>
  <si>
    <t>703881-20</t>
  </si>
  <si>
    <t>703938-20</t>
  </si>
  <si>
    <t>703940-20</t>
  </si>
  <si>
    <t>703944-20</t>
  </si>
  <si>
    <t>704022-20</t>
  </si>
  <si>
    <t>704024-20</t>
  </si>
  <si>
    <t>704029-20</t>
  </si>
  <si>
    <t>704060-20</t>
  </si>
  <si>
    <t>704098-20</t>
  </si>
  <si>
    <t>704108-20</t>
  </si>
  <si>
    <t>704109-20</t>
  </si>
  <si>
    <t>704172-20</t>
  </si>
  <si>
    <t>704175-20</t>
  </si>
  <si>
    <t>704181-20</t>
  </si>
  <si>
    <t>704198-20</t>
  </si>
  <si>
    <t>710510-19</t>
  </si>
  <si>
    <t>710524-19</t>
  </si>
  <si>
    <t>710567-19</t>
  </si>
  <si>
    <t>710600-19</t>
  </si>
  <si>
    <t>710614-19</t>
  </si>
  <si>
    <t>710618-19</t>
  </si>
  <si>
    <t>710676-19</t>
  </si>
  <si>
    <t>710736-19</t>
  </si>
  <si>
    <t>710760-19</t>
  </si>
  <si>
    <t>710778-19</t>
  </si>
  <si>
    <t>710816-19</t>
  </si>
  <si>
    <t>710827-19</t>
  </si>
  <si>
    <t>710839-19</t>
  </si>
  <si>
    <t>710964-19</t>
  </si>
  <si>
    <t>710971-19</t>
  </si>
  <si>
    <t>710974-19</t>
  </si>
  <si>
    <t>710979-19</t>
  </si>
  <si>
    <t>710990-19</t>
  </si>
  <si>
    <t>710993-19</t>
  </si>
  <si>
    <t>711029-19</t>
  </si>
  <si>
    <t>711043-19</t>
  </si>
  <si>
    <t>711054-19</t>
  </si>
  <si>
    <t>711058-19</t>
  </si>
  <si>
    <t>711106-19</t>
  </si>
  <si>
    <t>711109-19</t>
  </si>
  <si>
    <t>711211-19</t>
  </si>
  <si>
    <t>711250-19</t>
  </si>
  <si>
    <t>711340-19</t>
  </si>
  <si>
    <t>711394-19</t>
  </si>
  <si>
    <t>711446-19</t>
  </si>
  <si>
    <t>711447-19</t>
  </si>
  <si>
    <t>711482-19</t>
  </si>
  <si>
    <t>711531-19</t>
  </si>
  <si>
    <t>711576-19</t>
  </si>
  <si>
    <t>711588-19</t>
  </si>
  <si>
    <t>711596-19</t>
  </si>
  <si>
    <t>711616-19</t>
  </si>
  <si>
    <t>711648-19</t>
  </si>
  <si>
    <t>711651-19</t>
  </si>
  <si>
    <t>711667-19</t>
  </si>
  <si>
    <t>711686-19</t>
  </si>
  <si>
    <t>711693-19</t>
  </si>
  <si>
    <t>711763-19</t>
  </si>
  <si>
    <t>711854-19</t>
  </si>
  <si>
    <t>711859-19</t>
  </si>
  <si>
    <t>711999-19</t>
  </si>
  <si>
    <t>712034-19</t>
  </si>
  <si>
    <t>712039-19</t>
  </si>
  <si>
    <t>712044-19</t>
  </si>
  <si>
    <t>712088-19</t>
  </si>
  <si>
    <t>712089-19</t>
  </si>
  <si>
    <t>712121-19</t>
  </si>
  <si>
    <t>712130-19</t>
  </si>
  <si>
    <t>712134-19</t>
  </si>
  <si>
    <t>712141-19</t>
  </si>
  <si>
    <t>712158-19</t>
  </si>
  <si>
    <t>712180-19</t>
  </si>
  <si>
    <t>712184-19</t>
  </si>
  <si>
    <t>712215-19</t>
  </si>
  <si>
    <t>712246-18</t>
  </si>
  <si>
    <t>712247-19</t>
  </si>
  <si>
    <t>712249-19</t>
  </si>
  <si>
    <t>712250-19</t>
  </si>
  <si>
    <t>712311-19</t>
  </si>
  <si>
    <t>712407-19</t>
  </si>
  <si>
    <t>712425-19</t>
  </si>
  <si>
    <t>712426-19</t>
  </si>
  <si>
    <t>712431-19</t>
  </si>
  <si>
    <t>712585-18</t>
  </si>
  <si>
    <t>712663-19</t>
  </si>
  <si>
    <t>712679-19</t>
  </si>
  <si>
    <t>712695-19</t>
  </si>
  <si>
    <t>712814-18</t>
  </si>
  <si>
    <t>712829-19</t>
  </si>
  <si>
    <t>712985-19</t>
  </si>
  <si>
    <t>713054-19</t>
  </si>
  <si>
    <t>713126-19</t>
  </si>
  <si>
    <t>713268-19</t>
  </si>
  <si>
    <t>713278-19</t>
  </si>
  <si>
    <t>713283-19</t>
  </si>
  <si>
    <t>713286-19</t>
  </si>
  <si>
    <t>713295-19</t>
  </si>
  <si>
    <t>713310-19</t>
  </si>
  <si>
    <t>713352-19</t>
  </si>
  <si>
    <t>713384-19</t>
  </si>
  <si>
    <t>713438-19</t>
  </si>
  <si>
    <t>713522-19</t>
  </si>
  <si>
    <t>713546-19</t>
  </si>
  <si>
    <t>713547-19</t>
  </si>
  <si>
    <t>713629-19</t>
  </si>
  <si>
    <t>713891-19</t>
  </si>
  <si>
    <t>713898-19</t>
  </si>
  <si>
    <t>713916-19</t>
  </si>
  <si>
    <t>713941-19</t>
  </si>
  <si>
    <t>713945-19</t>
  </si>
  <si>
    <t>713947-19</t>
  </si>
  <si>
    <t>713971-19</t>
  </si>
  <si>
    <t>713988-19</t>
  </si>
  <si>
    <t>713998-19</t>
  </si>
  <si>
    <t>714011-19</t>
  </si>
  <si>
    <t>714052-19</t>
  </si>
  <si>
    <t>714066-19</t>
  </si>
  <si>
    <t>714130-19</t>
  </si>
  <si>
    <t>714135-19</t>
  </si>
  <si>
    <t>714136-19</t>
  </si>
  <si>
    <t>714139-19</t>
  </si>
  <si>
    <t>714142-19</t>
  </si>
  <si>
    <t>714148-19</t>
  </si>
  <si>
    <t>714384-19</t>
  </si>
  <si>
    <t>714402-19</t>
  </si>
  <si>
    <t>714407-19</t>
  </si>
  <si>
    <t>714441-19</t>
  </si>
  <si>
    <t>714478-19</t>
  </si>
  <si>
    <t>714525-19</t>
  </si>
  <si>
    <t>714544-19</t>
  </si>
  <si>
    <t>714545-19</t>
  </si>
  <si>
    <t>714576-19</t>
  </si>
  <si>
    <t>714589-19</t>
  </si>
  <si>
    <t>714590-19</t>
  </si>
  <si>
    <t>714606-19</t>
  </si>
  <si>
    <t>714611-19</t>
  </si>
  <si>
    <t>714618-19</t>
  </si>
  <si>
    <t>714768-19</t>
  </si>
  <si>
    <t>714785-19</t>
  </si>
  <si>
    <t>714799-19</t>
  </si>
  <si>
    <t>714821-19</t>
  </si>
  <si>
    <t>714847-19</t>
  </si>
  <si>
    <t>714853-19</t>
  </si>
  <si>
    <t>714904-19</t>
  </si>
  <si>
    <t>714911-19</t>
  </si>
  <si>
    <t>714954-19</t>
  </si>
  <si>
    <t>714955-19</t>
  </si>
  <si>
    <t>714966-19</t>
  </si>
  <si>
    <t>715013-19</t>
  </si>
  <si>
    <t>715066-19</t>
  </si>
  <si>
    <t>715070-19</t>
  </si>
  <si>
    <t>715095-19</t>
  </si>
  <si>
    <t>715159-19</t>
  </si>
  <si>
    <t>715193-19</t>
  </si>
  <si>
    <t>715201-19</t>
  </si>
  <si>
    <t>715211-19</t>
  </si>
  <si>
    <t>715247-19</t>
  </si>
  <si>
    <t>715250-19</t>
  </si>
  <si>
    <t>715254-19</t>
  </si>
  <si>
    <t>715297-19</t>
  </si>
  <si>
    <t>715350-19</t>
  </si>
  <si>
    <t>715392-19</t>
  </si>
  <si>
    <t>715420-19</t>
  </si>
  <si>
    <t>715441-19</t>
  </si>
  <si>
    <t>715445-19</t>
  </si>
  <si>
    <t>716154-19</t>
  </si>
  <si>
    <t>716173-19</t>
  </si>
  <si>
    <t>716234-19</t>
  </si>
  <si>
    <t>716250-19</t>
  </si>
  <si>
    <t>716259-19</t>
  </si>
  <si>
    <t>716274-19</t>
  </si>
  <si>
    <t>716301-19</t>
  </si>
  <si>
    <t>716585-19</t>
  </si>
  <si>
    <t>716587-19</t>
  </si>
  <si>
    <t>716626-19</t>
  </si>
  <si>
    <t>716674-19</t>
  </si>
  <si>
    <t>716675-19</t>
  </si>
  <si>
    <t>716702-19</t>
  </si>
  <si>
    <t>716779-19</t>
  </si>
  <si>
    <t>716781-19</t>
  </si>
  <si>
    <t>716821-19</t>
  </si>
  <si>
    <t>716845-19</t>
  </si>
  <si>
    <t>716847-19</t>
  </si>
  <si>
    <t>716875-19</t>
  </si>
  <si>
    <t>716974-19</t>
  </si>
  <si>
    <t>717002-19</t>
  </si>
  <si>
    <t>717023-19</t>
  </si>
  <si>
    <t>717046-19</t>
  </si>
  <si>
    <t>717055-19</t>
  </si>
  <si>
    <t>717127-19</t>
  </si>
  <si>
    <t>717351-19</t>
  </si>
  <si>
    <t>717363-19</t>
  </si>
  <si>
    <t>717389-19</t>
  </si>
  <si>
    <t>717391-19</t>
  </si>
  <si>
    <t>717441-19</t>
  </si>
  <si>
    <t>717453-19</t>
  </si>
  <si>
    <t>717454-19</t>
  </si>
  <si>
    <t>717457-19</t>
  </si>
  <si>
    <t>717626-19</t>
  </si>
  <si>
    <t>717634-19</t>
  </si>
  <si>
    <t>717651-19</t>
  </si>
  <si>
    <t>717703-19</t>
  </si>
  <si>
    <t>717837-19</t>
  </si>
  <si>
    <t>717862-19</t>
  </si>
  <si>
    <t>717892-19</t>
  </si>
  <si>
    <t>717902-19</t>
  </si>
  <si>
    <t>717911-19</t>
  </si>
  <si>
    <t>717912-19</t>
  </si>
  <si>
    <t>717923-19</t>
  </si>
  <si>
    <t>717951-19</t>
  </si>
  <si>
    <t>717969-19</t>
  </si>
  <si>
    <t>717997-19</t>
  </si>
  <si>
    <t>718012-19</t>
  </si>
  <si>
    <t>718013-19</t>
  </si>
  <si>
    <t>718026-19</t>
  </si>
  <si>
    <t>718035-19</t>
  </si>
  <si>
    <t>718143-19</t>
  </si>
  <si>
    <t>718161-19</t>
  </si>
  <si>
    <t>718236-19</t>
  </si>
  <si>
    <t>718256-19</t>
  </si>
  <si>
    <t>718273-19</t>
  </si>
  <si>
    <t>718286-19</t>
  </si>
  <si>
    <t>718312-19</t>
  </si>
  <si>
    <t>718348-19</t>
  </si>
  <si>
    <t>718351-19</t>
  </si>
  <si>
    <t>718358-19</t>
  </si>
  <si>
    <t>718420-19</t>
  </si>
  <si>
    <t>718561-19</t>
  </si>
  <si>
    <t>718601-19</t>
  </si>
  <si>
    <t>718607-19</t>
  </si>
  <si>
    <t>718615-19</t>
  </si>
  <si>
    <t>718656-19</t>
  </si>
  <si>
    <t>718686-19</t>
  </si>
  <si>
    <t>718713-19</t>
  </si>
  <si>
    <t>718722-19</t>
  </si>
  <si>
    <t>718736-19</t>
  </si>
  <si>
    <t>718756-19</t>
  </si>
  <si>
    <t>718794-19</t>
  </si>
  <si>
    <t>718894-19</t>
  </si>
  <si>
    <t>718920-19</t>
  </si>
  <si>
    <t>718933-19</t>
  </si>
  <si>
    <t>718960-19</t>
  </si>
  <si>
    <t>718961-19</t>
  </si>
  <si>
    <t>719020-19</t>
  </si>
  <si>
    <t>719022-19</t>
  </si>
  <si>
    <t>719073-19</t>
  </si>
  <si>
    <t>719306-19</t>
  </si>
  <si>
    <t>719343-19</t>
  </si>
  <si>
    <t>719346-19</t>
  </si>
  <si>
    <t>719374-19</t>
  </si>
  <si>
    <t>719380-19</t>
  </si>
  <si>
    <t>719394-19</t>
  </si>
  <si>
    <t>719408-19</t>
  </si>
  <si>
    <t>719417-19</t>
  </si>
  <si>
    <t>719705-19</t>
  </si>
  <si>
    <t>719712-18</t>
  </si>
  <si>
    <t>719739-19</t>
  </si>
  <si>
    <t>719762-19</t>
  </si>
  <si>
    <t>719772-19</t>
  </si>
  <si>
    <t>719800-18</t>
  </si>
  <si>
    <t>719819-18</t>
  </si>
  <si>
    <t>719831-18</t>
  </si>
  <si>
    <t>719833-18</t>
  </si>
  <si>
    <t>719843-18</t>
  </si>
  <si>
    <t>719846-18</t>
  </si>
  <si>
    <t>719857-18</t>
  </si>
  <si>
    <t>719860-18</t>
  </si>
  <si>
    <t>719863-18</t>
  </si>
  <si>
    <t>719866-18</t>
  </si>
  <si>
    <t>719867-18</t>
  </si>
  <si>
    <t>719870-18</t>
  </si>
  <si>
    <t>719872-18</t>
  </si>
  <si>
    <t>719876-18</t>
  </si>
  <si>
    <t>719892-18</t>
  </si>
  <si>
    <t>719895-18</t>
  </si>
  <si>
    <t>719925-18</t>
  </si>
  <si>
    <t>719964-18</t>
  </si>
  <si>
    <t>719994-18</t>
  </si>
  <si>
    <t>719996-18</t>
  </si>
  <si>
    <t>719999-18</t>
  </si>
  <si>
    <t>720003-18</t>
  </si>
  <si>
    <t>720012-18</t>
  </si>
  <si>
    <t>720016-19</t>
  </si>
  <si>
    <t>720024-19</t>
  </si>
  <si>
    <t>720030-19</t>
  </si>
  <si>
    <t>720033-18</t>
  </si>
  <si>
    <t>720053-18</t>
  </si>
  <si>
    <t>720072-18</t>
  </si>
  <si>
    <t>720079-19</t>
  </si>
  <si>
    <t>720086-19</t>
  </si>
  <si>
    <t>720100-18</t>
  </si>
  <si>
    <t>720104-18</t>
  </si>
  <si>
    <t>720107-19</t>
  </si>
  <si>
    <t>720122-18</t>
  </si>
  <si>
    <t>720131-19</t>
  </si>
  <si>
    <t>720135-18</t>
  </si>
  <si>
    <t>720154-18</t>
  </si>
  <si>
    <t>720177-18</t>
  </si>
  <si>
    <t>720178-19</t>
  </si>
  <si>
    <t>720186-18</t>
  </si>
  <si>
    <t>720197-19</t>
  </si>
  <si>
    <t>720212-18</t>
  </si>
  <si>
    <t>720214-18</t>
  </si>
  <si>
    <t>720214-19</t>
  </si>
  <si>
    <t>720232-18</t>
  </si>
  <si>
    <t>720233-18</t>
  </si>
  <si>
    <t>720237-18</t>
  </si>
  <si>
    <t>720239-18</t>
  </si>
  <si>
    <t>720253-18</t>
  </si>
  <si>
    <t>720268-18</t>
  </si>
  <si>
    <t>720274-18</t>
  </si>
  <si>
    <t>720282-18</t>
  </si>
  <si>
    <t>720285-18</t>
  </si>
  <si>
    <t>720289-18</t>
  </si>
  <si>
    <t>720296-18</t>
  </si>
  <si>
    <t>720299-18</t>
  </si>
  <si>
    <t>720300-18</t>
  </si>
  <si>
    <t>720307-18</t>
  </si>
  <si>
    <t>720449-19</t>
  </si>
  <si>
    <t>720465-19</t>
  </si>
  <si>
    <t>720493-19</t>
  </si>
  <si>
    <t>720498-18</t>
  </si>
  <si>
    <t>720555-18</t>
  </si>
  <si>
    <t>720559-19</t>
  </si>
  <si>
    <t>720569-19</t>
  </si>
  <si>
    <t>720573-18</t>
  </si>
  <si>
    <t>720580-19</t>
  </si>
  <si>
    <t>720581-18</t>
  </si>
  <si>
    <t>720592-18</t>
  </si>
  <si>
    <t>720599-19</t>
  </si>
  <si>
    <t>720602-18</t>
  </si>
  <si>
    <t>720603-19</t>
  </si>
  <si>
    <t>720606-18</t>
  </si>
  <si>
    <t>720635-18</t>
  </si>
  <si>
    <t>720636-18</t>
  </si>
  <si>
    <t>720638-19</t>
  </si>
  <si>
    <t>720648-19</t>
  </si>
  <si>
    <t>720660-18</t>
  </si>
  <si>
    <t>720661-18</t>
  </si>
  <si>
    <t>720666-19</t>
  </si>
  <si>
    <t>720675-19</t>
  </si>
  <si>
    <t>720707-18</t>
  </si>
  <si>
    <t>720708-18</t>
  </si>
  <si>
    <t>720711-18</t>
  </si>
  <si>
    <t>720724-18</t>
  </si>
  <si>
    <t>720729-18</t>
  </si>
  <si>
    <t>720748-18</t>
  </si>
  <si>
    <t>720753-18</t>
  </si>
  <si>
    <t>720755-18</t>
  </si>
  <si>
    <t>720761-18</t>
  </si>
  <si>
    <t>720762-18</t>
  </si>
  <si>
    <t>720783-18</t>
  </si>
  <si>
    <t>720805-18</t>
  </si>
  <si>
    <t>720812-18</t>
  </si>
  <si>
    <t>720815-18</t>
  </si>
  <si>
    <t>720824-18</t>
  </si>
  <si>
    <t>720829-18</t>
  </si>
  <si>
    <t>720834-18</t>
  </si>
  <si>
    <t>720836-18</t>
  </si>
  <si>
    <t>720844-18</t>
  </si>
  <si>
    <t>720848-18</t>
  </si>
  <si>
    <t>720854-19</t>
  </si>
  <si>
    <t>720875-18</t>
  </si>
  <si>
    <t>720876-18</t>
  </si>
  <si>
    <t>720883-19</t>
  </si>
  <si>
    <t>720890-18</t>
  </si>
  <si>
    <t>720895-19</t>
  </si>
  <si>
    <t>720899-19</t>
  </si>
  <si>
    <t>720902-18</t>
  </si>
  <si>
    <t>720916-18</t>
  </si>
  <si>
    <t>720919-18</t>
  </si>
  <si>
    <t>720927-18</t>
  </si>
  <si>
    <t>720933-18</t>
  </si>
  <si>
    <t>720947-18</t>
  </si>
  <si>
    <t>720950-18</t>
  </si>
  <si>
    <t>720953-18</t>
  </si>
  <si>
    <t>720954-18</t>
  </si>
  <si>
    <t>720968-18</t>
  </si>
  <si>
    <t>720974-19</t>
  </si>
  <si>
    <t>720977-19</t>
  </si>
  <si>
    <t>720989-18</t>
  </si>
  <si>
    <t>720999-19</t>
  </si>
  <si>
    <t>721003-18</t>
  </si>
  <si>
    <t>721011-19</t>
  </si>
  <si>
    <t>721026-19</t>
  </si>
  <si>
    <t>721159-18</t>
  </si>
  <si>
    <t>721171-18</t>
  </si>
  <si>
    <t>721186-18</t>
  </si>
  <si>
    <t>721189-18</t>
  </si>
  <si>
    <t>721192-18</t>
  </si>
  <si>
    <t>721194-18</t>
  </si>
  <si>
    <t>721197-18</t>
  </si>
  <si>
    <t>721199-18</t>
  </si>
  <si>
    <t>721211-18</t>
  </si>
  <si>
    <t>721225-18</t>
  </si>
  <si>
    <t>721232-18</t>
  </si>
  <si>
    <t>721254-18</t>
  </si>
  <si>
    <t>721258-18</t>
  </si>
  <si>
    <t>721260-18</t>
  </si>
  <si>
    <t>721264-18</t>
  </si>
  <si>
    <t>721272-18</t>
  </si>
  <si>
    <t>721291-18</t>
  </si>
  <si>
    <t>721293-18</t>
  </si>
  <si>
    <t>721294-18</t>
  </si>
  <si>
    <t>721296-18</t>
  </si>
  <si>
    <t>721304-18</t>
  </si>
  <si>
    <t>721318-18</t>
  </si>
  <si>
    <t>721334-18</t>
  </si>
  <si>
    <t>721335-18</t>
  </si>
  <si>
    <t>721342-18</t>
  </si>
  <si>
    <t>721343-18</t>
  </si>
  <si>
    <t>721369-18</t>
  </si>
  <si>
    <t>721373-18</t>
  </si>
  <si>
    <t>721402-18</t>
  </si>
  <si>
    <t>721428-18</t>
  </si>
  <si>
    <t>721440-18</t>
  </si>
  <si>
    <t>721443-18</t>
  </si>
  <si>
    <t>721446-18</t>
  </si>
  <si>
    <t>721454-18</t>
  </si>
  <si>
    <t>721467-18</t>
  </si>
  <si>
    <t>721474-18</t>
  </si>
  <si>
    <t>721483-18</t>
  </si>
  <si>
    <t>721487-18</t>
  </si>
  <si>
    <t>721513-18</t>
  </si>
  <si>
    <t>721536-18</t>
  </si>
  <si>
    <t>721547-18</t>
  </si>
  <si>
    <t>721553-18</t>
  </si>
  <si>
    <t>721589-18</t>
  </si>
  <si>
    <t>721595-18</t>
  </si>
  <si>
    <t>721596-18</t>
  </si>
  <si>
    <t>721600-18</t>
  </si>
  <si>
    <t>721640-18</t>
  </si>
  <si>
    <t>721641-18</t>
  </si>
  <si>
    <t>721644-18</t>
  </si>
  <si>
    <t>721649-18</t>
  </si>
  <si>
    <t>721662-18</t>
  </si>
  <si>
    <t>721669-18</t>
  </si>
  <si>
    <t>721672-18</t>
  </si>
  <si>
    <t>721681-18</t>
  </si>
  <si>
    <t>721719-18</t>
  </si>
  <si>
    <t>721720-18</t>
  </si>
  <si>
    <t>721757-18</t>
  </si>
  <si>
    <t>721759-18</t>
  </si>
  <si>
    <t>721786-18</t>
  </si>
  <si>
    <t>721789-18</t>
  </si>
  <si>
    <t>721814-18</t>
  </si>
  <si>
    <t>721834-18</t>
  </si>
  <si>
    <t>721837-18</t>
  </si>
  <si>
    <t>721872-19</t>
  </si>
  <si>
    <t>721875-19</t>
  </si>
  <si>
    <t>721878-19</t>
  </si>
  <si>
    <t>721894-18</t>
  </si>
  <si>
    <t>721899-18</t>
  </si>
  <si>
    <t>721901-18</t>
  </si>
  <si>
    <t>721911-18</t>
  </si>
  <si>
    <t>721912-18</t>
  </si>
  <si>
    <t>721913-18</t>
  </si>
  <si>
    <t>721915-18</t>
  </si>
  <si>
    <t>721916-18</t>
  </si>
  <si>
    <t>721925-18</t>
  </si>
  <si>
    <t>721930-18</t>
  </si>
  <si>
    <t>721930-19</t>
  </si>
  <si>
    <t>721943-18</t>
  </si>
  <si>
    <t>721944-19</t>
  </si>
  <si>
    <t>721950-18</t>
  </si>
  <si>
    <t>721956-18</t>
  </si>
  <si>
    <t>721961-18</t>
  </si>
  <si>
    <t>721965-18</t>
  </si>
  <si>
    <t>721985-18</t>
  </si>
  <si>
    <t>721990-18</t>
  </si>
  <si>
    <t>722009-18</t>
  </si>
  <si>
    <t>722011-18</t>
  </si>
  <si>
    <t>722018-18</t>
  </si>
  <si>
    <t>722035-18</t>
  </si>
  <si>
    <t>722066-18</t>
  </si>
  <si>
    <t>722072-18</t>
  </si>
  <si>
    <t>722099-18</t>
  </si>
  <si>
    <t>Genome_ID (TGNR-YY)</t>
  </si>
  <si>
    <t>700007-19</t>
  </si>
  <si>
    <t>700488-20</t>
  </si>
  <si>
    <t>721656-18</t>
  </si>
  <si>
    <t>721673-18-wh2</t>
  </si>
  <si>
    <t>721705-18</t>
  </si>
  <si>
    <t>721912-18-wh</t>
  </si>
  <si>
    <t>721913-18-wh</t>
  </si>
  <si>
    <t>721932-19</t>
  </si>
  <si>
    <t>721995-18</t>
  </si>
  <si>
    <t>722053-18</t>
  </si>
  <si>
    <t>722798-18</t>
  </si>
  <si>
    <t>100921-20</t>
  </si>
  <si>
    <t>103713-49</t>
  </si>
  <si>
    <t>109171-19</t>
  </si>
  <si>
    <t>109532-19</t>
  </si>
  <si>
    <t>114547-2-19</t>
  </si>
  <si>
    <t>120706-1-18</t>
  </si>
  <si>
    <t>700365-19</t>
  </si>
  <si>
    <t>700429-19</t>
  </si>
  <si>
    <t>127084-18</t>
  </si>
  <si>
    <t>130874-5-19</t>
  </si>
  <si>
    <t>130874-8-19</t>
  </si>
  <si>
    <t>721597-18-wh</t>
  </si>
  <si>
    <t>721611-18-wh</t>
  </si>
  <si>
    <t>721720-18-wh</t>
  </si>
  <si>
    <t>721773-18</t>
  </si>
  <si>
    <t>721792-18</t>
  </si>
  <si>
    <t>721794-18</t>
  </si>
  <si>
    <t>721837-B-18</t>
  </si>
  <si>
    <t>131923-B-18</t>
  </si>
  <si>
    <t>132203-19-10</t>
  </si>
  <si>
    <t>132203-19-3</t>
  </si>
  <si>
    <t>132203-19-5</t>
  </si>
  <si>
    <t>132203-19-6</t>
  </si>
  <si>
    <t>721955-18</t>
  </si>
  <si>
    <t>132203-19-9</t>
  </si>
  <si>
    <t>135987-19</t>
  </si>
  <si>
    <t>722706-18</t>
  </si>
  <si>
    <t>146081-19-6</t>
  </si>
  <si>
    <t>146081-19-9</t>
  </si>
  <si>
    <t>109915-20</t>
  </si>
  <si>
    <t>110420-20</t>
  </si>
  <si>
    <t>701271-20</t>
  </si>
  <si>
    <t>116961-18</t>
  </si>
  <si>
    <t>116967-18</t>
  </si>
  <si>
    <t>701650-19</t>
  </si>
  <si>
    <t>701758-19</t>
  </si>
  <si>
    <t>117670-18</t>
  </si>
  <si>
    <t>702670-20-wh</t>
  </si>
  <si>
    <t>121498-18</t>
  </si>
  <si>
    <t>703819-20-wh</t>
  </si>
  <si>
    <t>704150-19</t>
  </si>
  <si>
    <t>704181-20-wh</t>
  </si>
  <si>
    <t>706003-19</t>
  </si>
  <si>
    <t>706189-19</t>
  </si>
  <si>
    <t>706907-18</t>
  </si>
  <si>
    <t>707419-19</t>
  </si>
  <si>
    <t>130874-1-19</t>
  </si>
  <si>
    <t>130874-3-19</t>
  </si>
  <si>
    <t>130874-4-19</t>
  </si>
  <si>
    <t>707823-19</t>
  </si>
  <si>
    <t>708333-18</t>
  </si>
  <si>
    <t>130874-6-19</t>
  </si>
  <si>
    <t>709146-18</t>
  </si>
  <si>
    <t>131377-A-18</t>
  </si>
  <si>
    <t>131377-B-18</t>
  </si>
  <si>
    <t>709204-18</t>
  </si>
  <si>
    <t>709521-19</t>
  </si>
  <si>
    <t>131923-A-18</t>
  </si>
  <si>
    <t>710569-18</t>
  </si>
  <si>
    <t>132203-19-4</t>
  </si>
  <si>
    <t>132203-19-7</t>
  </si>
  <si>
    <t>132203-19-8</t>
  </si>
  <si>
    <t>711327-18</t>
  </si>
  <si>
    <t>146081-19-1</t>
  </si>
  <si>
    <t>146081-19-3</t>
  </si>
  <si>
    <t>712292-B-18-wh</t>
  </si>
  <si>
    <t>146081-19-8</t>
  </si>
  <si>
    <t>712679-19-wh2</t>
  </si>
  <si>
    <t>712720-19-3-1</t>
  </si>
  <si>
    <t>713467-18</t>
  </si>
  <si>
    <t>713709-18-wh</t>
  </si>
  <si>
    <t>713751-18</t>
  </si>
  <si>
    <t>713905-19</t>
  </si>
  <si>
    <t>701438-20</t>
  </si>
  <si>
    <t>701546-20</t>
  </si>
  <si>
    <t>701992-20</t>
  </si>
  <si>
    <t>714140-18</t>
  </si>
  <si>
    <t>702067-20</t>
  </si>
  <si>
    <t>714211-19</t>
  </si>
  <si>
    <t>702313-19</t>
  </si>
  <si>
    <t>703075-20-wh2</t>
  </si>
  <si>
    <t>703315-20-wh3</t>
  </si>
  <si>
    <t>715128-19</t>
  </si>
  <si>
    <t>715285-18</t>
  </si>
  <si>
    <t>704060-20-wh2</t>
  </si>
  <si>
    <t>715459-19</t>
  </si>
  <si>
    <t>704140-20</t>
  </si>
  <si>
    <t>715533-19</t>
  </si>
  <si>
    <t>715965-18</t>
  </si>
  <si>
    <t>705207-19</t>
  </si>
  <si>
    <t>705898-19</t>
  </si>
  <si>
    <t>716390-18</t>
  </si>
  <si>
    <t>705980-19</t>
  </si>
  <si>
    <t>706401-19</t>
  </si>
  <si>
    <t>716754-18</t>
  </si>
  <si>
    <t>707273-19</t>
  </si>
  <si>
    <t>716797-19</t>
  </si>
  <si>
    <t>707690-18</t>
  </si>
  <si>
    <t>708331-18</t>
  </si>
  <si>
    <t>708938-18</t>
  </si>
  <si>
    <t>709446-18</t>
  </si>
  <si>
    <t>717194-18</t>
  </si>
  <si>
    <t>711030-19</t>
  </si>
  <si>
    <t>717604-18</t>
  </si>
  <si>
    <t>717614-18</t>
  </si>
  <si>
    <t>711336-18</t>
  </si>
  <si>
    <t>711402-18</t>
  </si>
  <si>
    <t>717903-19</t>
  </si>
  <si>
    <t>711467-19</t>
  </si>
  <si>
    <t>711603-18</t>
  </si>
  <si>
    <t>711963-18</t>
  </si>
  <si>
    <t>711984-19</t>
  </si>
  <si>
    <t>718360-18</t>
  </si>
  <si>
    <t>712166-18</t>
  </si>
  <si>
    <t>712190-18</t>
  </si>
  <si>
    <t>712292-A-18</t>
  </si>
  <si>
    <t>712328-18</t>
  </si>
  <si>
    <t>712342-19</t>
  </si>
  <si>
    <t>718938-19-1</t>
  </si>
  <si>
    <t>718938-19-4</t>
  </si>
  <si>
    <t>712720-19-1</t>
  </si>
  <si>
    <t>712720-19-1-1</t>
  </si>
  <si>
    <t>712720-19-2</t>
  </si>
  <si>
    <t>718938-19-5</t>
  </si>
  <si>
    <t>712720-19-2-1</t>
  </si>
  <si>
    <t>718938-19-7</t>
  </si>
  <si>
    <t>712720-19-4</t>
  </si>
  <si>
    <t>718938-19-8</t>
  </si>
  <si>
    <t>712720-19-6</t>
  </si>
  <si>
    <t>718938-19-9</t>
  </si>
  <si>
    <t>712720-19-7</t>
  </si>
  <si>
    <t>713130-19</t>
  </si>
  <si>
    <t>713222-19-1</t>
  </si>
  <si>
    <t>713222-19-2</t>
  </si>
  <si>
    <t>713222-19-5</t>
  </si>
  <si>
    <t>713222-19-9</t>
  </si>
  <si>
    <t>719670-19</t>
  </si>
  <si>
    <t>713440-18</t>
  </si>
  <si>
    <t>713866-18</t>
  </si>
  <si>
    <t>713900-18</t>
  </si>
  <si>
    <t>713944-19</t>
  </si>
  <si>
    <t>714049-18</t>
  </si>
  <si>
    <t>720141-18</t>
  </si>
  <si>
    <t>714297-A-18</t>
  </si>
  <si>
    <t>720223-18</t>
  </si>
  <si>
    <t>720498-18-wh</t>
  </si>
  <si>
    <t>714601-19</t>
  </si>
  <si>
    <t>714691-A-18</t>
  </si>
  <si>
    <t>715212-18</t>
  </si>
  <si>
    <t>715464-18</t>
  </si>
  <si>
    <t>716079-18</t>
  </si>
  <si>
    <t>716723-19</t>
  </si>
  <si>
    <t>721001-18</t>
  </si>
  <si>
    <t>717551-18</t>
  </si>
  <si>
    <t>721027-19</t>
  </si>
  <si>
    <t>717859-19</t>
  </si>
  <si>
    <t>721303-18</t>
  </si>
  <si>
    <t>721379-18</t>
  </si>
  <si>
    <t>718501-19</t>
  </si>
  <si>
    <t>718546-18</t>
  </si>
  <si>
    <t>718877-18</t>
  </si>
  <si>
    <t>718938-19-2</t>
  </si>
  <si>
    <t>718938-19-3</t>
  </si>
  <si>
    <t>718938-19-6</t>
  </si>
  <si>
    <t>719173-19</t>
  </si>
  <si>
    <t>719351-18</t>
  </si>
  <si>
    <t>719554-18</t>
  </si>
  <si>
    <t>719800-A-18</t>
  </si>
  <si>
    <t>720186-1-18</t>
  </si>
  <si>
    <t>720187-1-18</t>
  </si>
  <si>
    <t>720187-2-18</t>
  </si>
  <si>
    <t>720220-18</t>
  </si>
  <si>
    <t>720221-19</t>
  </si>
  <si>
    <t>720264-19</t>
  </si>
  <si>
    <t>720761-18-wh</t>
  </si>
  <si>
    <t>720857-18</t>
  </si>
  <si>
    <t>720894-18</t>
  </si>
  <si>
    <t>721050-19</t>
  </si>
  <si>
    <t>721080-19</t>
  </si>
  <si>
    <t>721147-18</t>
  </si>
  <si>
    <t>721196-A-18</t>
  </si>
  <si>
    <t>721196-B-18</t>
  </si>
  <si>
    <t>721299-18</t>
  </si>
  <si>
    <t>700078-19</t>
  </si>
  <si>
    <t>700360-20</t>
  </si>
  <si>
    <t>721680-18</t>
  </si>
  <si>
    <t>721740-18</t>
  </si>
  <si>
    <t>721837-A-18</t>
  </si>
  <si>
    <t>721861-18</t>
  </si>
  <si>
    <t>721862-18</t>
  </si>
  <si>
    <t>721915-18-wh</t>
  </si>
  <si>
    <t>721975-18</t>
  </si>
  <si>
    <t>722046-18</t>
  </si>
  <si>
    <t>722117-18</t>
  </si>
  <si>
    <t>114547-1-19</t>
  </si>
  <si>
    <t>116966-18</t>
  </si>
  <si>
    <t>120706-2-18</t>
  </si>
  <si>
    <t>130874-2-19</t>
  </si>
  <si>
    <t>130874-7-19</t>
  </si>
  <si>
    <t>130874-9-19</t>
  </si>
  <si>
    <t>13087410-19</t>
  </si>
  <si>
    <t>132203-19-1</t>
  </si>
  <si>
    <t>132203-19-2</t>
  </si>
  <si>
    <t>135967-1-18</t>
  </si>
  <si>
    <t>139097-18</t>
  </si>
  <si>
    <t>146081-19-10</t>
  </si>
  <si>
    <t>146081-19-2</t>
  </si>
  <si>
    <t>146081-19-4</t>
  </si>
  <si>
    <t>146081-19-5</t>
  </si>
  <si>
    <t>146081-19-7</t>
  </si>
  <si>
    <t>611445-18</t>
  </si>
  <si>
    <t>700920-20</t>
  </si>
  <si>
    <t>701114-20</t>
  </si>
  <si>
    <t>701694-20</t>
  </si>
  <si>
    <t>701768-20</t>
  </si>
  <si>
    <t>702821-20-wh</t>
  </si>
  <si>
    <t>703190-20-wh</t>
  </si>
  <si>
    <t>703209-20</t>
  </si>
  <si>
    <t>703255-20</t>
  </si>
  <si>
    <t>703294-20-wh2</t>
  </si>
  <si>
    <t>703485-20</t>
  </si>
  <si>
    <t>703590-20-wh</t>
  </si>
  <si>
    <t>703788-20</t>
  </si>
  <si>
    <t>704198-20-wh</t>
  </si>
  <si>
    <t>705944-19</t>
  </si>
  <si>
    <t>707698-18</t>
  </si>
  <si>
    <t>707707-18</t>
  </si>
  <si>
    <t>708294-18</t>
  </si>
  <si>
    <t>709098-18</t>
  </si>
  <si>
    <t>709894-18</t>
  </si>
  <si>
    <t>710887-19</t>
  </si>
  <si>
    <t>711660-19</t>
  </si>
  <si>
    <t>712720-19-3</t>
  </si>
  <si>
    <t>712720-19-5</t>
  </si>
  <si>
    <t>712814-18-wh</t>
  </si>
  <si>
    <t>712972-19</t>
  </si>
  <si>
    <t>713222-19-10</t>
  </si>
  <si>
    <t>713222-19-3</t>
  </si>
  <si>
    <t>713222-19-4</t>
  </si>
  <si>
    <t>713222-19-6</t>
  </si>
  <si>
    <t>713222-19-7</t>
  </si>
  <si>
    <t>713222-19-8</t>
  </si>
  <si>
    <t>713302-18-wh</t>
  </si>
  <si>
    <t>713863-19</t>
  </si>
  <si>
    <t>713999-18</t>
  </si>
  <si>
    <t>714244-18</t>
  </si>
  <si>
    <t>714297-B-18</t>
  </si>
  <si>
    <t>714524-19</t>
  </si>
  <si>
    <t>714603-19</t>
  </si>
  <si>
    <t>714691-B-18</t>
  </si>
  <si>
    <t>715217-18</t>
  </si>
  <si>
    <t>715520-19</t>
  </si>
  <si>
    <t>717617-18</t>
  </si>
  <si>
    <t>717644-18</t>
  </si>
  <si>
    <t>718938-19-10</t>
  </si>
  <si>
    <t>719349-18</t>
  </si>
  <si>
    <t>719455-18</t>
  </si>
  <si>
    <t>719590-18</t>
  </si>
  <si>
    <t>719675-19</t>
  </si>
  <si>
    <t>719800-B-18</t>
  </si>
  <si>
    <t>720186-2-18</t>
  </si>
  <si>
    <t>720240-19</t>
  </si>
  <si>
    <t>720508-18</t>
  </si>
  <si>
    <t>720639-18</t>
  </si>
  <si>
    <t>720641-18</t>
  </si>
  <si>
    <t>720931-18</t>
  </si>
  <si>
    <t>720965-18</t>
  </si>
  <si>
    <t>720970-18</t>
  </si>
  <si>
    <t>720980-19</t>
  </si>
  <si>
    <t>721120-18-wh</t>
  </si>
  <si>
    <t>721500-18</t>
  </si>
  <si>
    <t>Genome_ID (not_unique!!, for lookup)</t>
  </si>
  <si>
    <t>721673-18</t>
  </si>
  <si>
    <t>721611-18</t>
  </si>
  <si>
    <t>721597-18</t>
  </si>
  <si>
    <t>721196-18</t>
  </si>
  <si>
    <t>721120-18</t>
  </si>
  <si>
    <t>720187-18</t>
  </si>
  <si>
    <t>718938-19</t>
  </si>
  <si>
    <t>714691-18</t>
  </si>
  <si>
    <t>714297-18</t>
  </si>
  <si>
    <t>713709-18</t>
  </si>
  <si>
    <t>713302-18</t>
  </si>
  <si>
    <t>713222-19</t>
  </si>
  <si>
    <t>712720-19</t>
  </si>
  <si>
    <t>712292-18</t>
  </si>
  <si>
    <t>703294-20-</t>
  </si>
  <si>
    <t>703075-20</t>
  </si>
  <si>
    <t>Genome_ID (not_unique!!, original_from_accession_map, do_not_delete!!)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</si>
</sst>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53619-808A-4E8D-B8FB-D8C1906B6BA6}">
  <dimension ref="A1:O1077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20.83203125" customWidth="1"/>
    <col min="2" max="2" width="21.1640625" customWidth="1"/>
    <col min="3" max="15" width="13.1640625" customWidth="1"/>
  </cols>
  <sheetData>
    <row r="1" spans="1:15" s="2" customFormat="1" ht="64" x14ac:dyDescent="0.2">
      <c r="A1" s="2" t="s">
        <v>3283</v>
      </c>
      <c r="B1" s="2" t="s">
        <v>4410</v>
      </c>
      <c r="C1" s="2" t="s">
        <v>4393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29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2">
      <c r="A2" t="s">
        <v>113</v>
      </c>
      <c r="B2" t="s">
        <v>3346</v>
      </c>
      <c r="C2" t="s">
        <v>3346</v>
      </c>
      <c r="D2">
        <f>VLOOKUP($C2, Egli_UPEC_metadata_provided!$A$2:$M$826, 3, FALSE)</f>
        <v>2018</v>
      </c>
      <c r="E2" t="str">
        <f>VLOOKUP($C2, Egli_UPEC_metadata_provided!$A$2:$M$826, 4, FALSE)</f>
        <v>B2-2</v>
      </c>
      <c r="F2" t="str">
        <f>VLOOKUP($C2, Egli_UPEC_metadata_provided!$A$2:$M$826, 5, FALSE)</f>
        <v>w</v>
      </c>
      <c r="G2">
        <f>VLOOKUP($C2, Egli_UPEC_metadata_provided!$A$2:$M$826, 6, FALSE)</f>
        <v>0</v>
      </c>
      <c r="H2">
        <f>VLOOKUP($C2, Egli_UPEC_metadata_provided!$A$2:$M$826, 7, FALSE)</f>
        <v>0</v>
      </c>
      <c r="I2">
        <f>VLOOKUP($C2, Egli_UPEC_metadata_provided!$A$2:$M$826, 8, FALSE)</f>
        <v>93.377990430622006</v>
      </c>
      <c r="J2" t="b">
        <f>VLOOKUP($C2, Egli_UPEC_metadata_provided!$A$2:$M$826, 9, FALSE)</f>
        <v>0</v>
      </c>
      <c r="K2">
        <f>VLOOKUP($C2, Egli_UPEC_metadata_provided!$A$2:$M$826, 10, FALSE)</f>
        <v>0</v>
      </c>
      <c r="L2" t="str">
        <f>VLOOKUP($C2, Egli_UPEC_metadata_provided!$A$2:$M$826, 11, FALSE)</f>
        <v>invasive</v>
      </c>
      <c r="M2">
        <f>VLOOKUP($C2, Egli_UPEC_metadata_provided!$A$2:$M$826, 12, FALSE)</f>
        <v>0</v>
      </c>
      <c r="N2">
        <f>VLOOKUP($C2, Egli_UPEC_metadata_provided!$A$2:$M$826, 13, FALSE)</f>
        <v>0</v>
      </c>
      <c r="O2">
        <f>VLOOKUP($C2, Egli_UPEC_metadata_provided!$A$2:$N$826, 14, FALSE)</f>
        <v>0</v>
      </c>
    </row>
    <row r="3" spans="1:15" x14ac:dyDescent="0.2">
      <c r="A3" t="s">
        <v>114</v>
      </c>
      <c r="B3" t="s">
        <v>3347</v>
      </c>
      <c r="C3" t="s">
        <v>3347</v>
      </c>
      <c r="D3">
        <f>VLOOKUP($C3, Egli_UPEC_metadata_provided!$A$2:$M$826, 3, FALSE)</f>
        <v>2018</v>
      </c>
      <c r="E3" t="str">
        <f>VLOOKUP($C3, Egli_UPEC_metadata_provided!$A$2:$M$826, 4, FALSE)</f>
        <v>B2-2</v>
      </c>
      <c r="F3" t="str">
        <f>VLOOKUP($C3, Egli_UPEC_metadata_provided!$A$2:$M$826, 5, FALSE)</f>
        <v>w</v>
      </c>
      <c r="G3">
        <f>VLOOKUP($C3, Egli_UPEC_metadata_provided!$A$2:$M$826, 6, FALSE)</f>
        <v>0</v>
      </c>
      <c r="H3">
        <f>VLOOKUP($C3, Egli_UPEC_metadata_provided!$A$2:$M$826, 7, FALSE)</f>
        <v>0</v>
      </c>
      <c r="I3">
        <f>VLOOKUP($C3, Egli_UPEC_metadata_provided!$A$2:$M$826, 8, FALSE)</f>
        <v>65.038961038961006</v>
      </c>
      <c r="J3" t="b">
        <f>VLOOKUP($C3, Egli_UPEC_metadata_provided!$A$2:$M$826, 9, FALSE)</f>
        <v>1</v>
      </c>
      <c r="K3" t="str">
        <f>VLOOKUP($C3, Egli_UPEC_metadata_provided!$A$2:$M$826, 10, FALSE)</f>
        <v>NA</v>
      </c>
      <c r="L3" t="str">
        <f>VLOOKUP($C3, Egli_UPEC_metadata_provided!$A$2:$M$826, 11, FALSE)</f>
        <v>invasive</v>
      </c>
      <c r="M3">
        <f>VLOOKUP($C3, Egli_UPEC_metadata_provided!$A$2:$M$826, 12, FALSE)</f>
        <v>0</v>
      </c>
      <c r="N3">
        <f>VLOOKUP($C3, Egli_UPEC_metadata_provided!$A$2:$M$826, 13, FALSE)</f>
        <v>0</v>
      </c>
      <c r="O3">
        <f>VLOOKUP($C3, Egli_UPEC_metadata_provided!$A$2:$N$826, 14, FALSE)</f>
        <v>0</v>
      </c>
    </row>
    <row r="4" spans="1:15" x14ac:dyDescent="0.2">
      <c r="A4" t="s">
        <v>115</v>
      </c>
      <c r="B4" t="s">
        <v>3348</v>
      </c>
      <c r="C4" t="s">
        <v>3348</v>
      </c>
      <c r="D4">
        <f>VLOOKUP($C4, Egli_UPEC_metadata_provided!$A$2:$M$826, 3, FALSE)</f>
        <v>2018</v>
      </c>
      <c r="E4" t="str">
        <f>VLOOKUP($C4, Egli_UPEC_metadata_provided!$A$2:$M$826, 4, FALSE)</f>
        <v>D1</v>
      </c>
      <c r="F4" t="str">
        <f>VLOOKUP($C4, Egli_UPEC_metadata_provided!$A$2:$M$826, 5, FALSE)</f>
        <v>m</v>
      </c>
      <c r="G4">
        <f>VLOOKUP($C4, Egli_UPEC_metadata_provided!$A$2:$M$826, 6, FALSE)</f>
        <v>0</v>
      </c>
      <c r="H4">
        <f>VLOOKUP($C4, Egli_UPEC_metadata_provided!$A$2:$M$826, 7, FALSE)</f>
        <v>3</v>
      </c>
      <c r="I4">
        <f>VLOOKUP($C4, Egli_UPEC_metadata_provided!$A$2:$M$826, 8, FALSE)</f>
        <v>66.373205741626805</v>
      </c>
      <c r="J4" t="b">
        <f>VLOOKUP($C4, Egli_UPEC_metadata_provided!$A$2:$M$826, 9, FALSE)</f>
        <v>0</v>
      </c>
      <c r="K4">
        <f>VLOOKUP($C4, Egli_UPEC_metadata_provided!$A$2:$M$826, 10, FALSE)</f>
        <v>0</v>
      </c>
      <c r="L4" t="str">
        <f>VLOOKUP($C4, Egli_UPEC_metadata_provided!$A$2:$M$826, 11, FALSE)</f>
        <v>invasive</v>
      </c>
      <c r="M4">
        <f>VLOOKUP($C4, Egli_UPEC_metadata_provided!$A$2:$M$826, 12, FALSE)</f>
        <v>0</v>
      </c>
      <c r="N4">
        <f>VLOOKUP($C4, Egli_UPEC_metadata_provided!$A$2:$M$826, 13, FALSE)</f>
        <v>0</v>
      </c>
      <c r="O4">
        <f>VLOOKUP($C4, Egli_UPEC_metadata_provided!$A$2:$N$826, 14, FALSE)</f>
        <v>1</v>
      </c>
    </row>
    <row r="5" spans="1:15" x14ac:dyDescent="0.2">
      <c r="A5" t="s">
        <v>116</v>
      </c>
      <c r="B5" t="s">
        <v>3349</v>
      </c>
      <c r="C5" t="s">
        <v>3349</v>
      </c>
      <c r="D5">
        <f>VLOOKUP($C5, Egli_UPEC_metadata_provided!$A$2:$M$826, 3, FALSE)</f>
        <v>2018</v>
      </c>
      <c r="E5" t="str">
        <f>VLOOKUP($C5, Egli_UPEC_metadata_provided!$A$2:$M$826, 4, FALSE)</f>
        <v>D1</v>
      </c>
      <c r="F5" t="str">
        <f>VLOOKUP($C5, Egli_UPEC_metadata_provided!$A$2:$M$826, 5, FALSE)</f>
        <v>w</v>
      </c>
      <c r="G5">
        <f>VLOOKUP($C5, Egli_UPEC_metadata_provided!$A$2:$M$826, 6, FALSE)</f>
        <v>0</v>
      </c>
      <c r="H5">
        <f>VLOOKUP($C5, Egli_UPEC_metadata_provided!$A$2:$M$826, 7, FALSE)</f>
        <v>3</v>
      </c>
      <c r="I5">
        <f>VLOOKUP($C5, Egli_UPEC_metadata_provided!$A$2:$M$826, 8, FALSE)</f>
        <v>76.3691045796309</v>
      </c>
      <c r="J5" t="b">
        <f>VLOOKUP($C5, Egli_UPEC_metadata_provided!$A$2:$M$826, 9, FALSE)</f>
        <v>1</v>
      </c>
      <c r="K5">
        <f>VLOOKUP($C5, Egli_UPEC_metadata_provided!$A$2:$M$826, 10, FALSE)</f>
        <v>0</v>
      </c>
      <c r="L5" t="str">
        <f>VLOOKUP($C5, Egli_UPEC_metadata_provided!$A$2:$M$826, 11, FALSE)</f>
        <v>invasive</v>
      </c>
      <c r="M5">
        <f>VLOOKUP($C5, Egli_UPEC_metadata_provided!$A$2:$M$826, 12, FALSE)</f>
        <v>1</v>
      </c>
      <c r="N5">
        <f>VLOOKUP($C5, Egli_UPEC_metadata_provided!$A$2:$M$826, 13, FALSE)</f>
        <v>0</v>
      </c>
      <c r="O5">
        <f>VLOOKUP($C5, Egli_UPEC_metadata_provided!$A$2:$N$826, 14, FALSE)</f>
        <v>0</v>
      </c>
    </row>
    <row r="6" spans="1:15" x14ac:dyDescent="0.2">
      <c r="A6" t="s">
        <v>117</v>
      </c>
      <c r="B6" t="s">
        <v>3350</v>
      </c>
      <c r="C6" t="s">
        <v>3350</v>
      </c>
      <c r="D6">
        <f>VLOOKUP($C6, Egli_UPEC_metadata_provided!$A$2:$M$826, 3, FALSE)</f>
        <v>2018</v>
      </c>
      <c r="E6" t="str">
        <f>VLOOKUP($C6, Egli_UPEC_metadata_provided!$A$2:$M$826, 4, FALSE)</f>
        <v>B2-2</v>
      </c>
      <c r="F6" t="str">
        <f>VLOOKUP($C6, Egli_UPEC_metadata_provided!$A$2:$M$826, 5, FALSE)</f>
        <v>w</v>
      </c>
      <c r="G6">
        <f>VLOOKUP($C6, Egli_UPEC_metadata_provided!$A$2:$M$826, 6, FALSE)</f>
        <v>0</v>
      </c>
      <c r="H6">
        <f>VLOOKUP($C6, Egli_UPEC_metadata_provided!$A$2:$M$826, 7, FALSE)</f>
        <v>3</v>
      </c>
      <c r="I6">
        <f>VLOOKUP($C6, Egli_UPEC_metadata_provided!$A$2:$M$826, 8, FALSE)</f>
        <v>83.991797676008204</v>
      </c>
      <c r="J6" t="b">
        <f>VLOOKUP($C6, Egli_UPEC_metadata_provided!$A$2:$M$826, 9, FALSE)</f>
        <v>1</v>
      </c>
      <c r="K6" t="str">
        <f>VLOOKUP($C6, Egli_UPEC_metadata_provided!$A$2:$M$826, 10, FALSE)</f>
        <v>NA</v>
      </c>
      <c r="L6" t="str">
        <f>VLOOKUP($C6, Egli_UPEC_metadata_provided!$A$2:$M$826, 11, FALSE)</f>
        <v>invasive</v>
      </c>
      <c r="M6">
        <f>VLOOKUP($C6, Egli_UPEC_metadata_provided!$A$2:$M$826, 12, FALSE)</f>
        <v>0</v>
      </c>
      <c r="N6">
        <f>VLOOKUP($C6, Egli_UPEC_metadata_provided!$A$2:$M$826, 13, FALSE)</f>
        <v>0</v>
      </c>
      <c r="O6">
        <f>VLOOKUP($C6, Egli_UPEC_metadata_provided!$A$2:$N$826, 14, FALSE)</f>
        <v>0</v>
      </c>
    </row>
    <row r="7" spans="1:15" x14ac:dyDescent="0.2">
      <c r="A7" t="s">
        <v>118</v>
      </c>
      <c r="B7" t="s">
        <v>3351</v>
      </c>
      <c r="C7" t="s">
        <v>3351</v>
      </c>
      <c r="D7">
        <f>VLOOKUP($C7, Egli_UPEC_metadata_provided!$A$2:$M$826, 3, FALSE)</f>
        <v>2018</v>
      </c>
      <c r="E7" t="str">
        <f>VLOOKUP($C7, Egli_UPEC_metadata_provided!$A$2:$M$826, 4, FALSE)</f>
        <v>D2</v>
      </c>
      <c r="F7" t="str">
        <f>VLOOKUP($C7, Egli_UPEC_metadata_provided!$A$2:$M$826, 5, FALSE)</f>
        <v>w</v>
      </c>
      <c r="G7">
        <f>VLOOKUP($C7, Egli_UPEC_metadata_provided!$A$2:$M$826, 6, FALSE)</f>
        <v>1</v>
      </c>
      <c r="H7">
        <f>VLOOKUP($C7, Egli_UPEC_metadata_provided!$A$2:$M$826, 7, FALSE)</f>
        <v>4</v>
      </c>
      <c r="I7">
        <f>VLOOKUP($C7, Egli_UPEC_metadata_provided!$A$2:$M$826, 8, FALSE)</f>
        <v>28.995215311004799</v>
      </c>
      <c r="J7" t="b">
        <f>VLOOKUP($C7, Egli_UPEC_metadata_provided!$A$2:$M$826, 9, FALSE)</f>
        <v>0</v>
      </c>
      <c r="K7">
        <f>VLOOKUP($C7, Egli_UPEC_metadata_provided!$A$2:$M$826, 10, FALSE)</f>
        <v>0</v>
      </c>
      <c r="L7" t="str">
        <f>VLOOKUP($C7, Egli_UPEC_metadata_provided!$A$2:$M$826, 11, FALSE)</f>
        <v>invasive</v>
      </c>
      <c r="M7">
        <f>VLOOKUP($C7, Egli_UPEC_metadata_provided!$A$2:$M$826, 12, FALSE)</f>
        <v>0</v>
      </c>
      <c r="N7">
        <f>VLOOKUP($C7, Egli_UPEC_metadata_provided!$A$2:$M$826, 13, FALSE)</f>
        <v>0</v>
      </c>
      <c r="O7">
        <f>VLOOKUP($C7, Egli_UPEC_metadata_provided!$A$2:$N$826, 14, FALSE)</f>
        <v>0</v>
      </c>
    </row>
    <row r="8" spans="1:15" x14ac:dyDescent="0.2">
      <c r="A8" t="s">
        <v>120</v>
      </c>
      <c r="B8" t="s">
        <v>3353</v>
      </c>
      <c r="C8" t="s">
        <v>3353</v>
      </c>
      <c r="D8">
        <f>VLOOKUP($C8, Egli_UPEC_metadata_provided!$A$2:$M$826, 3, FALSE)</f>
        <v>2018</v>
      </c>
      <c r="E8" t="str">
        <f>VLOOKUP($C8, Egli_UPEC_metadata_provided!$A$2:$M$826, 4, FALSE)</f>
        <v>B1</v>
      </c>
      <c r="F8" t="str">
        <f>VLOOKUP($C8, Egli_UPEC_metadata_provided!$A$2:$M$826, 5, FALSE)</f>
        <v>m</v>
      </c>
      <c r="G8">
        <f>VLOOKUP($C8, Egli_UPEC_metadata_provided!$A$2:$M$826, 6, FALSE)</f>
        <v>1</v>
      </c>
      <c r="H8">
        <f>VLOOKUP($C8, Egli_UPEC_metadata_provided!$A$2:$M$826, 7, FALSE)</f>
        <v>4</v>
      </c>
      <c r="I8">
        <f>VLOOKUP($C8, Egli_UPEC_metadata_provided!$A$2:$M$826, 8, FALSE)</f>
        <v>65.935748462064296</v>
      </c>
      <c r="J8" t="b">
        <f>VLOOKUP($C8, Egli_UPEC_metadata_provided!$A$2:$M$826, 9, FALSE)</f>
        <v>0</v>
      </c>
      <c r="K8">
        <f>VLOOKUP($C8, Egli_UPEC_metadata_provided!$A$2:$M$826, 10, FALSE)</f>
        <v>0</v>
      </c>
      <c r="L8" t="str">
        <f>VLOOKUP($C8, Egli_UPEC_metadata_provided!$A$2:$M$826, 11, FALSE)</f>
        <v>invasive</v>
      </c>
      <c r="M8">
        <f>VLOOKUP($C8, Egli_UPEC_metadata_provided!$A$2:$M$826, 12, FALSE)</f>
        <v>0</v>
      </c>
      <c r="N8">
        <f>VLOOKUP($C8, Egli_UPEC_metadata_provided!$A$2:$M$826, 13, FALSE)</f>
        <v>0</v>
      </c>
      <c r="O8">
        <f>VLOOKUP($C8, Egli_UPEC_metadata_provided!$A$2:$N$826, 14, FALSE)</f>
        <v>0</v>
      </c>
    </row>
    <row r="9" spans="1:15" x14ac:dyDescent="0.2">
      <c r="A9" t="s">
        <v>121</v>
      </c>
      <c r="B9" t="s">
        <v>3354</v>
      </c>
      <c r="C9" t="s">
        <v>3354</v>
      </c>
      <c r="D9">
        <f>VLOOKUP($C9, Egli_UPEC_metadata_provided!$A$2:$M$826, 3, FALSE)</f>
        <v>2018</v>
      </c>
      <c r="E9" t="str">
        <f>VLOOKUP($C9, Egli_UPEC_metadata_provided!$A$2:$M$826, 4, FALSE)</f>
        <v>B2-2</v>
      </c>
      <c r="F9" t="str">
        <f>VLOOKUP($C9, Egli_UPEC_metadata_provided!$A$2:$M$826, 5, FALSE)</f>
        <v>w</v>
      </c>
      <c r="G9">
        <f>VLOOKUP($C9, Egli_UPEC_metadata_provided!$A$2:$M$826, 6, FALSE)</f>
        <v>0</v>
      </c>
      <c r="H9">
        <f>VLOOKUP($C9, Egli_UPEC_metadata_provided!$A$2:$M$826, 7, FALSE)</f>
        <v>5</v>
      </c>
      <c r="I9">
        <f>VLOOKUP($C9, Egli_UPEC_metadata_provided!$A$2:$M$826, 8, FALSE)</f>
        <v>74.868079289131899</v>
      </c>
      <c r="J9" t="b">
        <f>VLOOKUP($C9, Egli_UPEC_metadata_provided!$A$2:$M$826, 9, FALSE)</f>
        <v>1</v>
      </c>
      <c r="K9">
        <f>VLOOKUP($C9, Egli_UPEC_metadata_provided!$A$2:$M$826, 10, FALSE)</f>
        <v>0</v>
      </c>
      <c r="L9" t="str">
        <f>VLOOKUP($C9, Egli_UPEC_metadata_provided!$A$2:$M$826, 11, FALSE)</f>
        <v>invasive</v>
      </c>
      <c r="M9">
        <f>VLOOKUP($C9, Egli_UPEC_metadata_provided!$A$2:$M$826, 12, FALSE)</f>
        <v>0</v>
      </c>
      <c r="N9">
        <f>VLOOKUP($C9, Egli_UPEC_metadata_provided!$A$2:$M$826, 13, FALSE)</f>
        <v>0</v>
      </c>
      <c r="O9">
        <f>VLOOKUP($C9, Egli_UPEC_metadata_provided!$A$2:$N$826, 14, FALSE)</f>
        <v>0</v>
      </c>
    </row>
    <row r="10" spans="1:15" x14ac:dyDescent="0.2">
      <c r="A10" t="s">
        <v>122</v>
      </c>
      <c r="B10" t="s">
        <v>3355</v>
      </c>
      <c r="C10" t="s">
        <v>3355</v>
      </c>
      <c r="D10">
        <f>VLOOKUP($C10, Egli_UPEC_metadata_provided!$A$2:$M$826, 3, FALSE)</f>
        <v>2018</v>
      </c>
      <c r="E10" t="str">
        <f>VLOOKUP($C10, Egli_UPEC_metadata_provided!$A$2:$M$826, 4, FALSE)</f>
        <v>B2-2</v>
      </c>
      <c r="F10" t="str">
        <f>VLOOKUP($C10, Egli_UPEC_metadata_provided!$A$2:$M$826, 5, FALSE)</f>
        <v>m</v>
      </c>
      <c r="G10">
        <f>VLOOKUP($C10, Egli_UPEC_metadata_provided!$A$2:$M$826, 6, FALSE)</f>
        <v>0</v>
      </c>
      <c r="H10">
        <f>VLOOKUP($C10, Egli_UPEC_metadata_provided!$A$2:$M$826, 7, FALSE)</f>
        <v>8</v>
      </c>
      <c r="I10">
        <f>VLOOKUP($C10, Egli_UPEC_metadata_provided!$A$2:$M$826, 8, FALSE)</f>
        <v>76.330827067669205</v>
      </c>
      <c r="J10" t="b">
        <f>VLOOKUP($C10, Egli_UPEC_metadata_provided!$A$2:$M$826, 9, FALSE)</f>
        <v>1</v>
      </c>
      <c r="K10">
        <f>VLOOKUP($C10, Egli_UPEC_metadata_provided!$A$2:$M$826, 10, FALSE)</f>
        <v>0</v>
      </c>
      <c r="L10" t="str">
        <f>VLOOKUP($C10, Egli_UPEC_metadata_provided!$A$2:$M$826, 11, FALSE)</f>
        <v>invasive</v>
      </c>
      <c r="M10">
        <f>VLOOKUP($C10, Egli_UPEC_metadata_provided!$A$2:$M$826, 12, FALSE)</f>
        <v>0</v>
      </c>
      <c r="N10">
        <f>VLOOKUP($C10, Egli_UPEC_metadata_provided!$A$2:$M$826, 13, FALSE)</f>
        <v>0</v>
      </c>
      <c r="O10">
        <f>VLOOKUP($C10, Egli_UPEC_metadata_provided!$A$2:$N$826, 14, FALSE)</f>
        <v>0</v>
      </c>
    </row>
    <row r="11" spans="1:15" x14ac:dyDescent="0.2">
      <c r="A11" t="s">
        <v>123</v>
      </c>
      <c r="B11" t="s">
        <v>3356</v>
      </c>
      <c r="C11" t="s">
        <v>3356</v>
      </c>
      <c r="D11">
        <f>VLOOKUP($C11, Egli_UPEC_metadata_provided!$A$2:$M$826, 3, FALSE)</f>
        <v>2018</v>
      </c>
      <c r="E11" t="str">
        <f>VLOOKUP($C11, Egli_UPEC_metadata_provided!$A$2:$M$826, 4, FALSE)</f>
        <v>D1</v>
      </c>
      <c r="F11" t="str">
        <f>VLOOKUP($C11, Egli_UPEC_metadata_provided!$A$2:$M$826, 5, FALSE)</f>
        <v>m</v>
      </c>
      <c r="G11">
        <f>VLOOKUP($C11, Egli_UPEC_metadata_provided!$A$2:$M$826, 6, FALSE)</f>
        <v>0</v>
      </c>
      <c r="H11">
        <f>VLOOKUP($C11, Egli_UPEC_metadata_provided!$A$2:$M$826, 7, FALSE)</f>
        <v>0</v>
      </c>
      <c r="I11">
        <f>VLOOKUP($C11, Egli_UPEC_metadata_provided!$A$2:$M$826, 8, FALSE)</f>
        <v>62.045112781954899</v>
      </c>
      <c r="J11" t="b">
        <f>VLOOKUP($C11, Egli_UPEC_metadata_provided!$A$2:$M$826, 9, FALSE)</f>
        <v>0</v>
      </c>
      <c r="K11">
        <f>VLOOKUP($C11, Egli_UPEC_metadata_provided!$A$2:$M$826, 10, FALSE)</f>
        <v>0</v>
      </c>
      <c r="L11" t="str">
        <f>VLOOKUP($C11, Egli_UPEC_metadata_provided!$A$2:$M$826, 11, FALSE)</f>
        <v>invasive</v>
      </c>
      <c r="M11">
        <f>VLOOKUP($C11, Egli_UPEC_metadata_provided!$A$2:$M$826, 12, FALSE)</f>
        <v>0</v>
      </c>
      <c r="N11">
        <f>VLOOKUP($C11, Egli_UPEC_metadata_provided!$A$2:$M$826, 13, FALSE)</f>
        <v>0</v>
      </c>
      <c r="O11">
        <f>VLOOKUP($C11, Egli_UPEC_metadata_provided!$A$2:$N$826, 14, FALSE)</f>
        <v>1</v>
      </c>
    </row>
    <row r="12" spans="1:15" x14ac:dyDescent="0.2">
      <c r="A12" t="s">
        <v>124</v>
      </c>
      <c r="B12" t="s">
        <v>3357</v>
      </c>
      <c r="C12" t="s">
        <v>3357</v>
      </c>
      <c r="D12">
        <f>VLOOKUP($C12, Egli_UPEC_metadata_provided!$A$2:$M$826, 3, FALSE)</f>
        <v>2018</v>
      </c>
      <c r="E12" t="str">
        <f>VLOOKUP($C12, Egli_UPEC_metadata_provided!$A$2:$M$826, 4, FALSE)</f>
        <v>B2-2</v>
      </c>
      <c r="F12" t="str">
        <f>VLOOKUP($C12, Egli_UPEC_metadata_provided!$A$2:$M$826, 5, FALSE)</f>
        <v>m</v>
      </c>
      <c r="G12">
        <f>VLOOKUP($C12, Egli_UPEC_metadata_provided!$A$2:$M$826, 6, FALSE)</f>
        <v>0</v>
      </c>
      <c r="H12">
        <f>VLOOKUP($C12, Egli_UPEC_metadata_provided!$A$2:$M$826, 7, FALSE)</f>
        <v>1</v>
      </c>
      <c r="I12">
        <f>VLOOKUP($C12, Egli_UPEC_metadata_provided!$A$2:$M$826, 8, FALSE)</f>
        <v>94.859876965140103</v>
      </c>
      <c r="J12" t="b">
        <f>VLOOKUP($C12, Egli_UPEC_metadata_provided!$A$2:$M$826, 9, FALSE)</f>
        <v>0</v>
      </c>
      <c r="K12">
        <f>VLOOKUP($C12, Egli_UPEC_metadata_provided!$A$2:$M$826, 10, FALSE)</f>
        <v>0</v>
      </c>
      <c r="L12" t="str">
        <f>VLOOKUP($C12, Egli_UPEC_metadata_provided!$A$2:$M$826, 11, FALSE)</f>
        <v>invasive</v>
      </c>
      <c r="M12">
        <f>VLOOKUP($C12, Egli_UPEC_metadata_provided!$A$2:$M$826, 12, FALSE)</f>
        <v>0</v>
      </c>
      <c r="N12">
        <f>VLOOKUP($C12, Egli_UPEC_metadata_provided!$A$2:$M$826, 13, FALSE)</f>
        <v>0</v>
      </c>
      <c r="O12">
        <f>VLOOKUP($C12, Egli_UPEC_metadata_provided!$A$2:$N$826, 14, FALSE)</f>
        <v>1</v>
      </c>
    </row>
    <row r="13" spans="1:15" x14ac:dyDescent="0.2">
      <c r="A13" t="s">
        <v>126</v>
      </c>
      <c r="B13" t="s">
        <v>3359</v>
      </c>
      <c r="C13" t="s">
        <v>3359</v>
      </c>
      <c r="D13">
        <f>VLOOKUP($C13, Egli_UPEC_metadata_provided!$A$2:$M$826, 3, FALSE)</f>
        <v>2018</v>
      </c>
      <c r="E13" t="str">
        <f>VLOOKUP($C13, Egli_UPEC_metadata_provided!$A$2:$M$826, 4, FALSE)</f>
        <v>D1</v>
      </c>
      <c r="F13" t="str">
        <f>VLOOKUP($C13, Egli_UPEC_metadata_provided!$A$2:$M$826, 5, FALSE)</f>
        <v>m</v>
      </c>
      <c r="G13">
        <f>VLOOKUP($C13, Egli_UPEC_metadata_provided!$A$2:$M$826, 6, FALSE)</f>
        <v>1</v>
      </c>
      <c r="H13">
        <f>VLOOKUP($C13, Egli_UPEC_metadata_provided!$A$2:$M$826, 7, FALSE)</f>
        <v>2</v>
      </c>
      <c r="I13">
        <f>VLOOKUP($C13, Egli_UPEC_metadata_provided!$A$2:$M$826, 8, FALSE)</f>
        <v>60.637047163363</v>
      </c>
      <c r="J13" t="b">
        <f>VLOOKUP($C13, Egli_UPEC_metadata_provided!$A$2:$M$826, 9, FALSE)</f>
        <v>0</v>
      </c>
      <c r="K13">
        <f>VLOOKUP($C13, Egli_UPEC_metadata_provided!$A$2:$M$826, 10, FALSE)</f>
        <v>0</v>
      </c>
      <c r="L13" t="str">
        <f>VLOOKUP($C13, Egli_UPEC_metadata_provided!$A$2:$M$826, 11, FALSE)</f>
        <v>invasive</v>
      </c>
      <c r="M13">
        <f>VLOOKUP($C13, Egli_UPEC_metadata_provided!$A$2:$M$826, 12, FALSE)</f>
        <v>0</v>
      </c>
      <c r="N13">
        <f>VLOOKUP($C13, Egli_UPEC_metadata_provided!$A$2:$M$826, 13, FALSE)</f>
        <v>0</v>
      </c>
      <c r="O13" t="str">
        <f>VLOOKUP($C13, Egli_UPEC_metadata_provided!$A$2:$N$826, 14, FALSE)</f>
        <v>NA</v>
      </c>
    </row>
    <row r="14" spans="1:15" x14ac:dyDescent="0.2">
      <c r="A14" t="s">
        <v>128</v>
      </c>
      <c r="B14" t="s">
        <v>3361</v>
      </c>
      <c r="C14" t="s">
        <v>3361</v>
      </c>
      <c r="D14">
        <f>VLOOKUP($C14, Egli_UPEC_metadata_provided!$A$2:$M$826, 3, FALSE)</f>
        <v>2018</v>
      </c>
      <c r="E14" t="str">
        <f>VLOOKUP($C14, Egli_UPEC_metadata_provided!$A$2:$M$826, 4, FALSE)</f>
        <v>B2-2</v>
      </c>
      <c r="F14" t="str">
        <f>VLOOKUP($C14, Egli_UPEC_metadata_provided!$A$2:$M$826, 5, FALSE)</f>
        <v>w</v>
      </c>
      <c r="G14">
        <f>VLOOKUP($C14, Egli_UPEC_metadata_provided!$A$2:$M$826, 6, FALSE)</f>
        <v>0</v>
      </c>
      <c r="H14">
        <f>VLOOKUP($C14, Egli_UPEC_metadata_provided!$A$2:$M$826, 7, FALSE)</f>
        <v>1</v>
      </c>
      <c r="I14">
        <f>VLOOKUP($C14, Egli_UPEC_metadata_provided!$A$2:$M$826, 8, FALSE)</f>
        <v>82.758714969241296</v>
      </c>
      <c r="J14" t="b">
        <f>VLOOKUP($C14, Egli_UPEC_metadata_provided!$A$2:$M$826, 9, FALSE)</f>
        <v>1</v>
      </c>
      <c r="K14">
        <f>VLOOKUP($C14, Egli_UPEC_metadata_provided!$A$2:$M$826, 10, FALSE)</f>
        <v>0</v>
      </c>
      <c r="L14" t="str">
        <f>VLOOKUP($C14, Egli_UPEC_metadata_provided!$A$2:$M$826, 11, FALSE)</f>
        <v>invasive</v>
      </c>
      <c r="M14">
        <f>VLOOKUP($C14, Egli_UPEC_metadata_provided!$A$2:$M$826, 12, FALSE)</f>
        <v>0</v>
      </c>
      <c r="N14">
        <f>VLOOKUP($C14, Egli_UPEC_metadata_provided!$A$2:$M$826, 13, FALSE)</f>
        <v>0</v>
      </c>
      <c r="O14">
        <f>VLOOKUP($C14, Egli_UPEC_metadata_provided!$A$2:$N$826, 14, FALSE)</f>
        <v>0</v>
      </c>
    </row>
    <row r="15" spans="1:15" x14ac:dyDescent="0.2">
      <c r="A15" t="s">
        <v>129</v>
      </c>
      <c r="B15" t="s">
        <v>3362</v>
      </c>
      <c r="C15" t="s">
        <v>3362</v>
      </c>
      <c r="D15">
        <f>VLOOKUP($C15, Egli_UPEC_metadata_provided!$A$2:$M$826, 3, FALSE)</f>
        <v>2018</v>
      </c>
      <c r="E15" t="str">
        <f>VLOOKUP($C15, Egli_UPEC_metadata_provided!$A$2:$M$826, 4, FALSE)</f>
        <v>B2-2</v>
      </c>
      <c r="F15" t="str">
        <f>VLOOKUP($C15, Egli_UPEC_metadata_provided!$A$2:$M$826, 5, FALSE)</f>
        <v>m</v>
      </c>
      <c r="G15">
        <f>VLOOKUP($C15, Egli_UPEC_metadata_provided!$A$2:$M$826, 6, FALSE)</f>
        <v>0</v>
      </c>
      <c r="H15">
        <f>VLOOKUP($C15, Egli_UPEC_metadata_provided!$A$2:$M$826, 7, FALSE)</f>
        <v>5</v>
      </c>
      <c r="I15">
        <f>VLOOKUP($C15, Egli_UPEC_metadata_provided!$A$2:$M$826, 8, FALSE)</f>
        <v>69.030758714969195</v>
      </c>
      <c r="J15" t="b">
        <f>VLOOKUP($C15, Egli_UPEC_metadata_provided!$A$2:$M$826, 9, FALSE)</f>
        <v>1</v>
      </c>
      <c r="K15">
        <f>VLOOKUP($C15, Egli_UPEC_metadata_provided!$A$2:$M$826, 10, FALSE)</f>
        <v>0</v>
      </c>
      <c r="L15" t="str">
        <f>VLOOKUP($C15, Egli_UPEC_metadata_provided!$A$2:$M$826, 11, FALSE)</f>
        <v>invasive</v>
      </c>
      <c r="M15">
        <f>VLOOKUP($C15, Egli_UPEC_metadata_provided!$A$2:$M$826, 12, FALSE)</f>
        <v>0</v>
      </c>
      <c r="N15">
        <f>VLOOKUP($C15, Egli_UPEC_metadata_provided!$A$2:$M$826, 13, FALSE)</f>
        <v>0</v>
      </c>
      <c r="O15">
        <f>VLOOKUP($C15, Egli_UPEC_metadata_provided!$A$2:$N$826, 14, FALSE)</f>
        <v>0</v>
      </c>
    </row>
    <row r="16" spans="1:15" x14ac:dyDescent="0.2">
      <c r="A16" t="s">
        <v>131</v>
      </c>
      <c r="B16" t="s">
        <v>3364</v>
      </c>
      <c r="C16" t="s">
        <v>3364</v>
      </c>
      <c r="D16">
        <f>VLOOKUP($C16, Egli_UPEC_metadata_provided!$A$2:$M$826, 3, FALSE)</f>
        <v>2018</v>
      </c>
      <c r="E16" t="str">
        <f>VLOOKUP($C16, Egli_UPEC_metadata_provided!$A$2:$M$826, 4, FALSE)</f>
        <v>C</v>
      </c>
      <c r="F16" t="str">
        <f>VLOOKUP($C16, Egli_UPEC_metadata_provided!$A$2:$M$826, 5, FALSE)</f>
        <v>w</v>
      </c>
      <c r="G16">
        <f>VLOOKUP($C16, Egli_UPEC_metadata_provided!$A$2:$M$826, 6, FALSE)</f>
        <v>0</v>
      </c>
      <c r="H16">
        <f>VLOOKUP($C16, Egli_UPEC_metadata_provided!$A$2:$M$826, 7, FALSE)</f>
        <v>3</v>
      </c>
      <c r="I16">
        <f>VLOOKUP($C16, Egli_UPEC_metadata_provided!$A$2:$M$826, 8, FALSE)</f>
        <v>63.472317156527701</v>
      </c>
      <c r="J16" t="b">
        <f>VLOOKUP($C16, Egli_UPEC_metadata_provided!$A$2:$M$826, 9, FALSE)</f>
        <v>0</v>
      </c>
      <c r="K16">
        <f>VLOOKUP($C16, Egli_UPEC_metadata_provided!$A$2:$M$826, 10, FALSE)</f>
        <v>0</v>
      </c>
      <c r="L16" t="str">
        <f>VLOOKUP($C16, Egli_UPEC_metadata_provided!$A$2:$M$826, 11, FALSE)</f>
        <v>invasive</v>
      </c>
      <c r="M16">
        <f>VLOOKUP($C16, Egli_UPEC_metadata_provided!$A$2:$M$826, 12, FALSE)</f>
        <v>0</v>
      </c>
      <c r="N16">
        <f>VLOOKUP($C16, Egli_UPEC_metadata_provided!$A$2:$M$826, 13, FALSE)</f>
        <v>0</v>
      </c>
      <c r="O16">
        <f>VLOOKUP($C16, Egli_UPEC_metadata_provided!$A$2:$N$826, 14, FALSE)</f>
        <v>1</v>
      </c>
    </row>
    <row r="17" spans="1:15" x14ac:dyDescent="0.2">
      <c r="A17" t="s">
        <v>132</v>
      </c>
      <c r="B17" t="s">
        <v>3365</v>
      </c>
      <c r="C17" t="s">
        <v>3365</v>
      </c>
      <c r="D17">
        <f>VLOOKUP($C17, Egli_UPEC_metadata_provided!$A$2:$M$826, 3, FALSE)</f>
        <v>2018</v>
      </c>
      <c r="E17" t="str">
        <f>VLOOKUP($C17, Egli_UPEC_metadata_provided!$A$2:$M$826, 4, FALSE)</f>
        <v>B2-1</v>
      </c>
      <c r="F17" t="str">
        <f>VLOOKUP($C17, Egli_UPEC_metadata_provided!$A$2:$M$826, 5, FALSE)</f>
        <v>m</v>
      </c>
      <c r="G17">
        <f>VLOOKUP($C17, Egli_UPEC_metadata_provided!$A$2:$M$826, 6, FALSE)</f>
        <v>0</v>
      </c>
      <c r="H17">
        <f>VLOOKUP($C17, Egli_UPEC_metadata_provided!$A$2:$M$826, 7, FALSE)</f>
        <v>7</v>
      </c>
      <c r="I17">
        <f>VLOOKUP($C17, Egli_UPEC_metadata_provided!$A$2:$M$826, 8, FALSE)</f>
        <v>60.656185919343798</v>
      </c>
      <c r="J17" t="b">
        <f>VLOOKUP($C17, Egli_UPEC_metadata_provided!$A$2:$M$826, 9, FALSE)</f>
        <v>0</v>
      </c>
      <c r="K17">
        <f>VLOOKUP($C17, Egli_UPEC_metadata_provided!$A$2:$M$826, 10, FALSE)</f>
        <v>0</v>
      </c>
      <c r="L17" t="str">
        <f>VLOOKUP($C17, Egli_UPEC_metadata_provided!$A$2:$M$826, 11, FALSE)</f>
        <v>invasive</v>
      </c>
      <c r="M17">
        <f>VLOOKUP($C17, Egli_UPEC_metadata_provided!$A$2:$M$826, 12, FALSE)</f>
        <v>1</v>
      </c>
      <c r="N17">
        <f>VLOOKUP($C17, Egli_UPEC_metadata_provided!$A$2:$M$826, 13, FALSE)</f>
        <v>0</v>
      </c>
      <c r="O17">
        <f>VLOOKUP($C17, Egli_UPEC_metadata_provided!$A$2:$N$826, 14, FALSE)</f>
        <v>0</v>
      </c>
    </row>
    <row r="18" spans="1:15" x14ac:dyDescent="0.2">
      <c r="A18" t="s">
        <v>133</v>
      </c>
      <c r="B18" t="s">
        <v>3366</v>
      </c>
      <c r="C18" t="s">
        <v>3366</v>
      </c>
      <c r="D18">
        <f>VLOOKUP($C18, Egli_UPEC_metadata_provided!$A$2:$M$826, 3, FALSE)</f>
        <v>2018</v>
      </c>
      <c r="E18" t="str">
        <f>VLOOKUP($C18, Egli_UPEC_metadata_provided!$A$2:$M$826, 4, FALSE)</f>
        <v>B2-1</v>
      </c>
      <c r="F18" t="str">
        <f>VLOOKUP($C18, Egli_UPEC_metadata_provided!$A$2:$M$826, 5, FALSE)</f>
        <v>m</v>
      </c>
      <c r="G18">
        <f>VLOOKUP($C18, Egli_UPEC_metadata_provided!$A$2:$M$826, 6, FALSE)</f>
        <v>0</v>
      </c>
      <c r="H18">
        <f>VLOOKUP($C18, Egli_UPEC_metadata_provided!$A$2:$M$826, 7, FALSE)</f>
        <v>6</v>
      </c>
      <c r="I18">
        <f>VLOOKUP($C18, Egli_UPEC_metadata_provided!$A$2:$M$826, 8, FALSE)</f>
        <v>71.095010252904999</v>
      </c>
      <c r="J18" t="b">
        <f>VLOOKUP($C18, Egli_UPEC_metadata_provided!$A$2:$M$826, 9, FALSE)</f>
        <v>1</v>
      </c>
      <c r="K18">
        <f>VLOOKUP($C18, Egli_UPEC_metadata_provided!$A$2:$M$826, 10, FALSE)</f>
        <v>1</v>
      </c>
      <c r="L18" t="str">
        <f>VLOOKUP($C18, Egli_UPEC_metadata_provided!$A$2:$M$826, 11, FALSE)</f>
        <v>invasive</v>
      </c>
      <c r="M18">
        <f>VLOOKUP($C18, Egli_UPEC_metadata_provided!$A$2:$M$826, 12, FALSE)</f>
        <v>0</v>
      </c>
      <c r="N18">
        <f>VLOOKUP($C18, Egli_UPEC_metadata_provided!$A$2:$M$826, 13, FALSE)</f>
        <v>0</v>
      </c>
      <c r="O18">
        <f>VLOOKUP($C18, Egli_UPEC_metadata_provided!$A$2:$N$826, 14, FALSE)</f>
        <v>0</v>
      </c>
    </row>
    <row r="19" spans="1:15" x14ac:dyDescent="0.2">
      <c r="A19" t="s">
        <v>136</v>
      </c>
      <c r="B19" t="s">
        <v>3369</v>
      </c>
      <c r="C19" t="s">
        <v>3369</v>
      </c>
      <c r="D19">
        <f>VLOOKUP($C19, Egli_UPEC_metadata_provided!$A$2:$M$826, 3, FALSE)</f>
        <v>2018</v>
      </c>
      <c r="E19" t="str">
        <f>VLOOKUP($C19, Egli_UPEC_metadata_provided!$A$2:$M$826, 4, FALSE)</f>
        <v>B2-2</v>
      </c>
      <c r="F19" t="str">
        <f>VLOOKUP($C19, Egli_UPEC_metadata_provided!$A$2:$M$826, 5, FALSE)</f>
        <v>w</v>
      </c>
      <c r="G19">
        <f>VLOOKUP($C19, Egli_UPEC_metadata_provided!$A$2:$M$826, 6, FALSE)</f>
        <v>0</v>
      </c>
      <c r="H19">
        <f>VLOOKUP($C19, Egli_UPEC_metadata_provided!$A$2:$M$826, 7, FALSE)</f>
        <v>2</v>
      </c>
      <c r="I19">
        <f>VLOOKUP($C19, Egli_UPEC_metadata_provided!$A$2:$M$826, 8, FALSE)</f>
        <v>88.177717019822296</v>
      </c>
      <c r="J19" t="b">
        <f>VLOOKUP($C19, Egli_UPEC_metadata_provided!$A$2:$M$826, 9, FALSE)</f>
        <v>1</v>
      </c>
      <c r="K19">
        <f>VLOOKUP($C19, Egli_UPEC_metadata_provided!$A$2:$M$826, 10, FALSE)</f>
        <v>0</v>
      </c>
      <c r="L19" t="str">
        <f>VLOOKUP($C19, Egli_UPEC_metadata_provided!$A$2:$M$826, 11, FALSE)</f>
        <v>invasive</v>
      </c>
      <c r="M19">
        <f>VLOOKUP($C19, Egli_UPEC_metadata_provided!$A$2:$M$826, 12, FALSE)</f>
        <v>1</v>
      </c>
      <c r="N19">
        <f>VLOOKUP($C19, Egli_UPEC_metadata_provided!$A$2:$M$826, 13, FALSE)</f>
        <v>0</v>
      </c>
      <c r="O19">
        <f>VLOOKUP($C19, Egli_UPEC_metadata_provided!$A$2:$N$826, 14, FALSE)</f>
        <v>1</v>
      </c>
    </row>
    <row r="20" spans="1:15" x14ac:dyDescent="0.2">
      <c r="A20" t="s">
        <v>137</v>
      </c>
      <c r="B20" t="s">
        <v>3370</v>
      </c>
      <c r="C20" t="s">
        <v>3370</v>
      </c>
      <c r="D20">
        <f>VLOOKUP($C20, Egli_UPEC_metadata_provided!$A$2:$M$826, 3, FALSE)</f>
        <v>2018</v>
      </c>
      <c r="E20" t="str">
        <f>VLOOKUP($C20, Egli_UPEC_metadata_provided!$A$2:$M$826, 4, FALSE)</f>
        <v>B2-2</v>
      </c>
      <c r="F20" t="str">
        <f>VLOOKUP($C20, Egli_UPEC_metadata_provided!$A$2:$M$826, 5, FALSE)</f>
        <v>m</v>
      </c>
      <c r="G20">
        <f>VLOOKUP($C20, Egli_UPEC_metadata_provided!$A$2:$M$826, 6, FALSE)</f>
        <v>0</v>
      </c>
      <c r="H20">
        <f>VLOOKUP($C20, Egli_UPEC_metadata_provided!$A$2:$M$826, 7, FALSE)</f>
        <v>2</v>
      </c>
      <c r="I20">
        <f>VLOOKUP($C20, Egli_UPEC_metadata_provided!$A$2:$M$826, 8, FALSE)</f>
        <v>79.321941216678098</v>
      </c>
      <c r="J20" t="b">
        <f>VLOOKUP($C20, Egli_UPEC_metadata_provided!$A$2:$M$826, 9, FALSE)</f>
        <v>1</v>
      </c>
      <c r="K20" t="str">
        <f>VLOOKUP($C20, Egli_UPEC_metadata_provided!$A$2:$M$826, 10, FALSE)</f>
        <v>NA</v>
      </c>
      <c r="L20" t="str">
        <f>VLOOKUP($C20, Egli_UPEC_metadata_provided!$A$2:$M$826, 11, FALSE)</f>
        <v>invasive</v>
      </c>
      <c r="M20">
        <f>VLOOKUP($C20, Egli_UPEC_metadata_provided!$A$2:$M$826, 12, FALSE)</f>
        <v>0</v>
      </c>
      <c r="N20">
        <f>VLOOKUP($C20, Egli_UPEC_metadata_provided!$A$2:$M$826, 13, FALSE)</f>
        <v>0</v>
      </c>
      <c r="O20">
        <f>VLOOKUP($C20, Egli_UPEC_metadata_provided!$A$2:$N$826, 14, FALSE)</f>
        <v>0</v>
      </c>
    </row>
    <row r="21" spans="1:15" x14ac:dyDescent="0.2">
      <c r="A21" t="s">
        <v>138</v>
      </c>
      <c r="B21" t="s">
        <v>3371</v>
      </c>
      <c r="C21" t="s">
        <v>3371</v>
      </c>
      <c r="D21">
        <f>VLOOKUP($C21, Egli_UPEC_metadata_provided!$A$2:$M$826, 3, FALSE)</f>
        <v>2018</v>
      </c>
      <c r="E21" t="str">
        <f>VLOOKUP($C21, Egli_UPEC_metadata_provided!$A$2:$M$826, 4, FALSE)</f>
        <v>B2-2</v>
      </c>
      <c r="F21" t="str">
        <f>VLOOKUP($C21, Egli_UPEC_metadata_provided!$A$2:$M$826, 5, FALSE)</f>
        <v>w</v>
      </c>
      <c r="G21">
        <f>VLOOKUP($C21, Egli_UPEC_metadata_provided!$A$2:$M$826, 6, FALSE)</f>
        <v>0</v>
      </c>
      <c r="H21">
        <f>VLOOKUP($C21, Egli_UPEC_metadata_provided!$A$2:$M$826, 7, FALSE)</f>
        <v>0</v>
      </c>
      <c r="I21">
        <f>VLOOKUP($C21, Egli_UPEC_metadata_provided!$A$2:$M$826, 8, FALSE)</f>
        <v>78.570061517429906</v>
      </c>
      <c r="J21" t="b">
        <f>VLOOKUP($C21, Egli_UPEC_metadata_provided!$A$2:$M$826, 9, FALSE)</f>
        <v>1</v>
      </c>
      <c r="K21">
        <f>VLOOKUP($C21, Egli_UPEC_metadata_provided!$A$2:$M$826, 10, FALSE)</f>
        <v>0</v>
      </c>
      <c r="L21" t="str">
        <f>VLOOKUP($C21, Egli_UPEC_metadata_provided!$A$2:$M$826, 11, FALSE)</f>
        <v>invasive</v>
      </c>
      <c r="M21">
        <f>VLOOKUP($C21, Egli_UPEC_metadata_provided!$A$2:$M$826, 12, FALSE)</f>
        <v>1</v>
      </c>
      <c r="N21">
        <f>VLOOKUP($C21, Egli_UPEC_metadata_provided!$A$2:$M$826, 13, FALSE)</f>
        <v>0</v>
      </c>
      <c r="O21">
        <f>VLOOKUP($C21, Egli_UPEC_metadata_provided!$A$2:$N$826, 14, FALSE)</f>
        <v>0</v>
      </c>
    </row>
    <row r="22" spans="1:15" x14ac:dyDescent="0.2">
      <c r="A22" t="s">
        <v>139</v>
      </c>
      <c r="B22" t="s">
        <v>3372</v>
      </c>
      <c r="C22" t="s">
        <v>3372</v>
      </c>
      <c r="D22">
        <f>VLOOKUP($C22, Egli_UPEC_metadata_provided!$A$2:$M$826, 3, FALSE)</f>
        <v>2018</v>
      </c>
      <c r="E22" t="str">
        <f>VLOOKUP($C22, Egli_UPEC_metadata_provided!$A$2:$M$826, 4, FALSE)</f>
        <v>F</v>
      </c>
      <c r="F22" t="str">
        <f>VLOOKUP($C22, Egli_UPEC_metadata_provided!$A$2:$M$826, 5, FALSE)</f>
        <v>m</v>
      </c>
      <c r="G22">
        <f>VLOOKUP($C22, Egli_UPEC_metadata_provided!$A$2:$M$826, 6, FALSE)</f>
        <v>0</v>
      </c>
      <c r="H22">
        <f>VLOOKUP($C22, Egli_UPEC_metadata_provided!$A$2:$M$826, 7, FALSE)</f>
        <v>2</v>
      </c>
      <c r="I22">
        <f>VLOOKUP($C22, Egli_UPEC_metadata_provided!$A$2:$M$826, 8, FALSE)</f>
        <v>92.792891319207101</v>
      </c>
      <c r="J22" t="b">
        <f>VLOOKUP($C22, Egli_UPEC_metadata_provided!$A$2:$M$826, 9, FALSE)</f>
        <v>0</v>
      </c>
      <c r="K22">
        <f>VLOOKUP($C22, Egli_UPEC_metadata_provided!$A$2:$M$826, 10, FALSE)</f>
        <v>0</v>
      </c>
      <c r="L22" t="str">
        <f>VLOOKUP($C22, Egli_UPEC_metadata_provided!$A$2:$M$826, 11, FALSE)</f>
        <v>invasive</v>
      </c>
      <c r="M22">
        <f>VLOOKUP($C22, Egli_UPEC_metadata_provided!$A$2:$M$826, 12, FALSE)</f>
        <v>0</v>
      </c>
      <c r="N22">
        <f>VLOOKUP($C22, Egli_UPEC_metadata_provided!$A$2:$M$826, 13, FALSE)</f>
        <v>0</v>
      </c>
      <c r="O22">
        <f>VLOOKUP($C22, Egli_UPEC_metadata_provided!$A$2:$N$826, 14, FALSE)</f>
        <v>0</v>
      </c>
    </row>
    <row r="23" spans="1:15" x14ac:dyDescent="0.2">
      <c r="A23" t="s">
        <v>143</v>
      </c>
      <c r="B23" t="s">
        <v>3376</v>
      </c>
      <c r="C23" t="s">
        <v>3376</v>
      </c>
      <c r="D23">
        <f>VLOOKUP($C23, Egli_UPEC_metadata_provided!$A$2:$M$826, 3, FALSE)</f>
        <v>2018</v>
      </c>
      <c r="E23" t="str">
        <f>VLOOKUP($C23, Egli_UPEC_metadata_provided!$A$2:$M$826, 4, FALSE)</f>
        <v>B2-2</v>
      </c>
      <c r="F23" t="str">
        <f>VLOOKUP($C23, Egli_UPEC_metadata_provided!$A$2:$M$826, 5, FALSE)</f>
        <v>w</v>
      </c>
      <c r="G23">
        <f>VLOOKUP($C23, Egli_UPEC_metadata_provided!$A$2:$M$826, 6, FALSE)</f>
        <v>0</v>
      </c>
      <c r="H23">
        <f>VLOOKUP($C23, Egli_UPEC_metadata_provided!$A$2:$M$826, 7, FALSE)</f>
        <v>8</v>
      </c>
      <c r="I23">
        <f>VLOOKUP($C23, Egli_UPEC_metadata_provided!$A$2:$M$826, 8, FALSE)</f>
        <v>82.187286397812699</v>
      </c>
      <c r="J23" t="b">
        <f>VLOOKUP($C23, Egli_UPEC_metadata_provided!$A$2:$M$826, 9, FALSE)</f>
        <v>0</v>
      </c>
      <c r="K23" t="str">
        <f>VLOOKUP($C23, Egli_UPEC_metadata_provided!$A$2:$M$826, 10, FALSE)</f>
        <v>NA</v>
      </c>
      <c r="L23" t="str">
        <f>VLOOKUP($C23, Egli_UPEC_metadata_provided!$A$2:$M$826, 11, FALSE)</f>
        <v>invasive</v>
      </c>
      <c r="M23">
        <f>VLOOKUP($C23, Egli_UPEC_metadata_provided!$A$2:$M$826, 12, FALSE)</f>
        <v>0</v>
      </c>
      <c r="N23">
        <f>VLOOKUP($C23, Egli_UPEC_metadata_provided!$A$2:$M$826, 13, FALSE)</f>
        <v>0</v>
      </c>
      <c r="O23">
        <f>VLOOKUP($C23, Egli_UPEC_metadata_provided!$A$2:$N$826, 14, FALSE)</f>
        <v>0</v>
      </c>
    </row>
    <row r="24" spans="1:15" x14ac:dyDescent="0.2">
      <c r="A24" t="s">
        <v>146</v>
      </c>
      <c r="B24" t="s">
        <v>3380</v>
      </c>
      <c r="C24" t="s">
        <v>3380</v>
      </c>
      <c r="D24">
        <f>VLOOKUP($C24, Egli_UPEC_metadata_provided!$A$2:$M$826, 3, FALSE)</f>
        <v>2018</v>
      </c>
      <c r="E24" t="str">
        <f>VLOOKUP($C24, Egli_UPEC_metadata_provided!$A$2:$M$826, 4, FALSE)</f>
        <v>B2-2</v>
      </c>
      <c r="F24" t="str">
        <f>VLOOKUP($C24, Egli_UPEC_metadata_provided!$A$2:$M$826, 5, FALSE)</f>
        <v>m</v>
      </c>
      <c r="G24">
        <f>VLOOKUP($C24, Egli_UPEC_metadata_provided!$A$2:$M$826, 6, FALSE)</f>
        <v>0</v>
      </c>
      <c r="H24">
        <f>VLOOKUP($C24, Egli_UPEC_metadata_provided!$A$2:$M$826, 7, FALSE)</f>
        <v>0</v>
      </c>
      <c r="I24">
        <f>VLOOKUP($C24, Egli_UPEC_metadata_provided!$A$2:$M$826, 8, FALSE)</f>
        <v>58.9364319890636</v>
      </c>
      <c r="J24" t="b">
        <f>VLOOKUP($C24, Egli_UPEC_metadata_provided!$A$2:$M$826, 9, FALSE)</f>
        <v>1</v>
      </c>
      <c r="K24">
        <f>VLOOKUP($C24, Egli_UPEC_metadata_provided!$A$2:$M$826, 10, FALSE)</f>
        <v>0</v>
      </c>
      <c r="L24" t="str">
        <f>VLOOKUP($C24, Egli_UPEC_metadata_provided!$A$2:$M$826, 11, FALSE)</f>
        <v>invasive</v>
      </c>
      <c r="M24">
        <f>VLOOKUP($C24, Egli_UPEC_metadata_provided!$A$2:$M$826, 12, FALSE)</f>
        <v>0</v>
      </c>
      <c r="N24">
        <f>VLOOKUP($C24, Egli_UPEC_metadata_provided!$A$2:$M$826, 13, FALSE)</f>
        <v>0</v>
      </c>
      <c r="O24">
        <f>VLOOKUP($C24, Egli_UPEC_metadata_provided!$A$2:$N$826, 14, FALSE)</f>
        <v>0</v>
      </c>
    </row>
    <row r="25" spans="1:15" x14ac:dyDescent="0.2">
      <c r="A25" t="s">
        <v>147</v>
      </c>
      <c r="B25" t="s">
        <v>3381</v>
      </c>
      <c r="C25" t="s">
        <v>3381</v>
      </c>
      <c r="D25">
        <f>VLOOKUP($C25, Egli_UPEC_metadata_provided!$A$2:$M$826, 3, FALSE)</f>
        <v>2018</v>
      </c>
      <c r="E25" t="str">
        <f>VLOOKUP($C25, Egli_UPEC_metadata_provided!$A$2:$M$826, 4, FALSE)</f>
        <v>B2-1</v>
      </c>
      <c r="F25" t="str">
        <f>VLOOKUP($C25, Egli_UPEC_metadata_provided!$A$2:$M$826, 5, FALSE)</f>
        <v>w</v>
      </c>
      <c r="G25">
        <f>VLOOKUP($C25, Egli_UPEC_metadata_provided!$A$2:$M$826, 6, FALSE)</f>
        <v>0</v>
      </c>
      <c r="H25">
        <f>VLOOKUP($C25, Egli_UPEC_metadata_provided!$A$2:$M$826, 7, FALSE)</f>
        <v>0</v>
      </c>
      <c r="I25">
        <f>VLOOKUP($C25, Egli_UPEC_metadata_provided!$A$2:$M$826, 8, FALSE)</f>
        <v>97.178400546821607</v>
      </c>
      <c r="J25" t="b">
        <f>VLOOKUP($C25, Egli_UPEC_metadata_provided!$A$2:$M$826, 9, FALSE)</f>
        <v>0</v>
      </c>
      <c r="K25">
        <f>VLOOKUP($C25, Egli_UPEC_metadata_provided!$A$2:$M$826, 10, FALSE)</f>
        <v>0</v>
      </c>
      <c r="L25" t="str">
        <f>VLOOKUP($C25, Egli_UPEC_metadata_provided!$A$2:$M$826, 11, FALSE)</f>
        <v>invasive</v>
      </c>
      <c r="M25">
        <f>VLOOKUP($C25, Egli_UPEC_metadata_provided!$A$2:$M$826, 12, FALSE)</f>
        <v>0</v>
      </c>
      <c r="N25">
        <f>VLOOKUP($C25, Egli_UPEC_metadata_provided!$A$2:$M$826, 13, FALSE)</f>
        <v>1</v>
      </c>
      <c r="O25">
        <f>VLOOKUP($C25, Egli_UPEC_metadata_provided!$A$2:$N$826, 14, FALSE)</f>
        <v>0</v>
      </c>
    </row>
    <row r="26" spans="1:15" x14ac:dyDescent="0.2">
      <c r="A26" t="s">
        <v>148</v>
      </c>
      <c r="B26" t="s">
        <v>3382</v>
      </c>
      <c r="C26" t="s">
        <v>3382</v>
      </c>
      <c r="D26">
        <f>VLOOKUP($C26, Egli_UPEC_metadata_provided!$A$2:$M$826, 3, FALSE)</f>
        <v>2018</v>
      </c>
      <c r="E26" t="str">
        <f>VLOOKUP($C26, Egli_UPEC_metadata_provided!$A$2:$M$826, 4, FALSE)</f>
        <v>B2-2</v>
      </c>
      <c r="F26" t="str">
        <f>VLOOKUP($C26, Egli_UPEC_metadata_provided!$A$2:$M$826, 5, FALSE)</f>
        <v>w</v>
      </c>
      <c r="G26">
        <f>VLOOKUP($C26, Egli_UPEC_metadata_provided!$A$2:$M$826, 6, FALSE)</f>
        <v>0</v>
      </c>
      <c r="H26">
        <f>VLOOKUP($C26, Egli_UPEC_metadata_provided!$A$2:$M$826, 7, FALSE)</f>
        <v>3</v>
      </c>
      <c r="I26">
        <f>VLOOKUP($C26, Egli_UPEC_metadata_provided!$A$2:$M$826, 8, FALSE)</f>
        <v>63.7293233082707</v>
      </c>
      <c r="J26" t="b">
        <f>VLOOKUP($C26, Egli_UPEC_metadata_provided!$A$2:$M$826, 9, FALSE)</f>
        <v>1</v>
      </c>
      <c r="K26" t="str">
        <f>VLOOKUP($C26, Egli_UPEC_metadata_provided!$A$2:$M$826, 10, FALSE)</f>
        <v>NA</v>
      </c>
      <c r="L26" t="str">
        <f>VLOOKUP($C26, Egli_UPEC_metadata_provided!$A$2:$M$826, 11, FALSE)</f>
        <v>invasive</v>
      </c>
      <c r="M26">
        <f>VLOOKUP($C26, Egli_UPEC_metadata_provided!$A$2:$M$826, 12, FALSE)</f>
        <v>0</v>
      </c>
      <c r="N26">
        <f>VLOOKUP($C26, Egli_UPEC_metadata_provided!$A$2:$M$826, 13, FALSE)</f>
        <v>0</v>
      </c>
      <c r="O26">
        <f>VLOOKUP($C26, Egli_UPEC_metadata_provided!$A$2:$N$826, 14, FALSE)</f>
        <v>1</v>
      </c>
    </row>
    <row r="27" spans="1:15" x14ac:dyDescent="0.2">
      <c r="A27" t="s">
        <v>149</v>
      </c>
      <c r="B27" t="s">
        <v>3383</v>
      </c>
      <c r="C27" t="s">
        <v>3383</v>
      </c>
      <c r="D27">
        <f>VLOOKUP($C27, Egli_UPEC_metadata_provided!$A$2:$M$826, 3, FALSE)</f>
        <v>2018</v>
      </c>
      <c r="E27" t="str">
        <f>VLOOKUP($C27, Egli_UPEC_metadata_provided!$A$2:$M$826, 4, FALSE)</f>
        <v>B2-2</v>
      </c>
      <c r="F27" t="str">
        <f>VLOOKUP($C27, Egli_UPEC_metadata_provided!$A$2:$M$826, 5, FALSE)</f>
        <v>m</v>
      </c>
      <c r="G27">
        <f>VLOOKUP($C27, Egli_UPEC_metadata_provided!$A$2:$M$826, 6, FALSE)</f>
        <v>0</v>
      </c>
      <c r="H27">
        <f>VLOOKUP($C27, Egli_UPEC_metadata_provided!$A$2:$M$826, 7, FALSE)</f>
        <v>0</v>
      </c>
      <c r="I27">
        <f>VLOOKUP($C27, Egli_UPEC_metadata_provided!$A$2:$M$826, 8, FALSE)</f>
        <v>68.103896103896105</v>
      </c>
      <c r="J27" t="b">
        <f>VLOOKUP($C27, Egli_UPEC_metadata_provided!$A$2:$M$826, 9, FALSE)</f>
        <v>0</v>
      </c>
      <c r="K27">
        <f>VLOOKUP($C27, Egli_UPEC_metadata_provided!$A$2:$M$826, 10, FALSE)</f>
        <v>0</v>
      </c>
      <c r="L27" t="str">
        <f>VLOOKUP($C27, Egli_UPEC_metadata_provided!$A$2:$M$826, 11, FALSE)</f>
        <v>invasive</v>
      </c>
      <c r="M27">
        <f>VLOOKUP($C27, Egli_UPEC_metadata_provided!$A$2:$M$826, 12, FALSE)</f>
        <v>0</v>
      </c>
      <c r="N27">
        <f>VLOOKUP($C27, Egli_UPEC_metadata_provided!$A$2:$M$826, 13, FALSE)</f>
        <v>0</v>
      </c>
      <c r="O27">
        <f>VLOOKUP($C27, Egli_UPEC_metadata_provided!$A$2:$N$826, 14, FALSE)</f>
        <v>0</v>
      </c>
    </row>
    <row r="28" spans="1:15" x14ac:dyDescent="0.2">
      <c r="A28" t="s">
        <v>150</v>
      </c>
      <c r="B28" t="s">
        <v>3384</v>
      </c>
      <c r="C28" t="s">
        <v>3384</v>
      </c>
      <c r="D28">
        <f>VLOOKUP($C28, Egli_UPEC_metadata_provided!$A$2:$M$826, 3, FALSE)</f>
        <v>2018</v>
      </c>
      <c r="E28" t="str">
        <f>VLOOKUP($C28, Egli_UPEC_metadata_provided!$A$2:$M$826, 4, FALSE)</f>
        <v>B2-2</v>
      </c>
      <c r="F28" t="str">
        <f>VLOOKUP($C28, Egli_UPEC_metadata_provided!$A$2:$M$826, 5, FALSE)</f>
        <v>m</v>
      </c>
      <c r="G28">
        <f>VLOOKUP($C28, Egli_UPEC_metadata_provided!$A$2:$M$826, 6, FALSE)</f>
        <v>0</v>
      </c>
      <c r="H28">
        <f>VLOOKUP($C28, Egli_UPEC_metadata_provided!$A$2:$M$826, 7, FALSE)</f>
        <v>3</v>
      </c>
      <c r="I28">
        <f>VLOOKUP($C28, Egli_UPEC_metadata_provided!$A$2:$M$826, 8, FALSE)</f>
        <v>78.835269993164701</v>
      </c>
      <c r="J28" t="b">
        <f>VLOOKUP($C28, Egli_UPEC_metadata_provided!$A$2:$M$826, 9, FALSE)</f>
        <v>1</v>
      </c>
      <c r="K28">
        <f>VLOOKUP($C28, Egli_UPEC_metadata_provided!$A$2:$M$826, 10, FALSE)</f>
        <v>0</v>
      </c>
      <c r="L28" t="str">
        <f>VLOOKUP($C28, Egli_UPEC_metadata_provided!$A$2:$M$826, 11, FALSE)</f>
        <v>invasive</v>
      </c>
      <c r="M28">
        <f>VLOOKUP($C28, Egli_UPEC_metadata_provided!$A$2:$M$826, 12, FALSE)</f>
        <v>0</v>
      </c>
      <c r="N28">
        <f>VLOOKUP($C28, Egli_UPEC_metadata_provided!$A$2:$M$826, 13, FALSE)</f>
        <v>0</v>
      </c>
      <c r="O28">
        <f>VLOOKUP($C28, Egli_UPEC_metadata_provided!$A$2:$N$826, 14, FALSE)</f>
        <v>0</v>
      </c>
    </row>
    <row r="29" spans="1:15" x14ac:dyDescent="0.2">
      <c r="A29" t="s">
        <v>152</v>
      </c>
      <c r="B29" t="s">
        <v>4127</v>
      </c>
      <c r="C29" t="s">
        <v>3386</v>
      </c>
      <c r="D29">
        <f>VLOOKUP($C29, Egli_UPEC_metadata_provided!$A$2:$M$826, 3, FALSE)</f>
        <v>2018</v>
      </c>
      <c r="E29" t="str">
        <f>VLOOKUP($C29, Egli_UPEC_metadata_provided!$A$2:$M$826, 4, FALSE)</f>
        <v>C</v>
      </c>
      <c r="F29" t="str">
        <f>VLOOKUP($C29, Egli_UPEC_metadata_provided!$A$2:$M$826, 5, FALSE)</f>
        <v>w</v>
      </c>
      <c r="G29">
        <f>VLOOKUP($C29, Egli_UPEC_metadata_provided!$A$2:$M$826, 6, FALSE)</f>
        <v>0</v>
      </c>
      <c r="H29">
        <f>VLOOKUP($C29, Egli_UPEC_metadata_provided!$A$2:$M$826, 7, FALSE)</f>
        <v>7</v>
      </c>
      <c r="I29">
        <f>VLOOKUP($C29, Egli_UPEC_metadata_provided!$A$2:$M$826, 8, FALSE)</f>
        <v>88.366370471633601</v>
      </c>
      <c r="J29" t="b">
        <f>VLOOKUP($C29, Egli_UPEC_metadata_provided!$A$2:$M$826, 9, FALSE)</f>
        <v>0</v>
      </c>
      <c r="K29">
        <f>VLOOKUP($C29, Egli_UPEC_metadata_provided!$A$2:$M$826, 10, FALSE)</f>
        <v>0</v>
      </c>
      <c r="L29" t="str">
        <f>VLOOKUP($C29, Egli_UPEC_metadata_provided!$A$2:$M$826, 11, FALSE)</f>
        <v>invasive</v>
      </c>
      <c r="M29">
        <f>VLOOKUP($C29, Egli_UPEC_metadata_provided!$A$2:$M$826, 12, FALSE)</f>
        <v>0</v>
      </c>
      <c r="N29">
        <f>VLOOKUP($C29, Egli_UPEC_metadata_provided!$A$2:$M$826, 13, FALSE)</f>
        <v>1</v>
      </c>
      <c r="O29">
        <f>VLOOKUP($C29, Egli_UPEC_metadata_provided!$A$2:$N$826, 14, FALSE)</f>
        <v>0</v>
      </c>
    </row>
    <row r="30" spans="1:15" x14ac:dyDescent="0.2">
      <c r="A30" t="s">
        <v>1112</v>
      </c>
      <c r="B30" t="s">
        <v>4318</v>
      </c>
      <c r="C30" t="s">
        <v>3386</v>
      </c>
      <c r="D30">
        <f>VLOOKUP($C30, Egli_UPEC_metadata_provided!$A$2:$M$826, 3, FALSE)</f>
        <v>2018</v>
      </c>
      <c r="E30" t="str">
        <f>VLOOKUP($C30, Egli_UPEC_metadata_provided!$A$2:$M$826, 4, FALSE)</f>
        <v>C</v>
      </c>
      <c r="F30" t="str">
        <f>VLOOKUP($C30, Egli_UPEC_metadata_provided!$A$2:$M$826, 5, FALSE)</f>
        <v>w</v>
      </c>
      <c r="G30">
        <f>VLOOKUP($C30, Egli_UPEC_metadata_provided!$A$2:$M$826, 6, FALSE)</f>
        <v>0</v>
      </c>
      <c r="H30">
        <f>VLOOKUP($C30, Egli_UPEC_metadata_provided!$A$2:$M$826, 7, FALSE)</f>
        <v>7</v>
      </c>
      <c r="I30">
        <f>VLOOKUP($C30, Egli_UPEC_metadata_provided!$A$2:$M$826, 8, FALSE)</f>
        <v>88.366370471633601</v>
      </c>
      <c r="J30" t="b">
        <f>VLOOKUP($C30, Egli_UPEC_metadata_provided!$A$2:$M$826, 9, FALSE)</f>
        <v>0</v>
      </c>
      <c r="K30">
        <f>VLOOKUP($C30, Egli_UPEC_metadata_provided!$A$2:$M$826, 10, FALSE)</f>
        <v>0</v>
      </c>
      <c r="L30" t="str">
        <f>VLOOKUP($C30, Egli_UPEC_metadata_provided!$A$2:$M$826, 11, FALSE)</f>
        <v>invasive</v>
      </c>
      <c r="M30">
        <f>VLOOKUP($C30, Egli_UPEC_metadata_provided!$A$2:$M$826, 12, FALSE)</f>
        <v>0</v>
      </c>
      <c r="N30">
        <f>VLOOKUP($C30, Egli_UPEC_metadata_provided!$A$2:$M$826, 13, FALSE)</f>
        <v>1</v>
      </c>
      <c r="O30">
        <f>VLOOKUP($C30, Egli_UPEC_metadata_provided!$A$2:$N$826, 14, FALSE)</f>
        <v>0</v>
      </c>
    </row>
    <row r="31" spans="1:15" x14ac:dyDescent="0.2">
      <c r="A31" t="s">
        <v>153</v>
      </c>
      <c r="B31" t="s">
        <v>3387</v>
      </c>
      <c r="C31" t="s">
        <v>3387</v>
      </c>
      <c r="D31">
        <f>VLOOKUP($C31, Egli_UPEC_metadata_provided!$A$2:$M$826, 3, FALSE)</f>
        <v>2018</v>
      </c>
      <c r="E31" t="str">
        <f>VLOOKUP($C31, Egli_UPEC_metadata_provided!$A$2:$M$826, 4, FALSE)</f>
        <v>C</v>
      </c>
      <c r="F31" t="str">
        <f>VLOOKUP($C31, Egli_UPEC_metadata_provided!$A$2:$M$826, 5, FALSE)</f>
        <v>m</v>
      </c>
      <c r="G31">
        <f>VLOOKUP($C31, Egli_UPEC_metadata_provided!$A$2:$M$826, 6, FALSE)</f>
        <v>1</v>
      </c>
      <c r="H31">
        <f>VLOOKUP($C31, Egli_UPEC_metadata_provided!$A$2:$M$826, 7, FALSE)</f>
        <v>2</v>
      </c>
      <c r="I31">
        <f>VLOOKUP($C31, Egli_UPEC_metadata_provided!$A$2:$M$826, 8, FALSE)</f>
        <v>63.004784688995201</v>
      </c>
      <c r="J31" t="b">
        <f>VLOOKUP($C31, Egli_UPEC_metadata_provided!$A$2:$M$826, 9, FALSE)</f>
        <v>0</v>
      </c>
      <c r="K31">
        <f>VLOOKUP($C31, Egli_UPEC_metadata_provided!$A$2:$M$826, 10, FALSE)</f>
        <v>0</v>
      </c>
      <c r="L31" t="str">
        <f>VLOOKUP($C31, Egli_UPEC_metadata_provided!$A$2:$M$826, 11, FALSE)</f>
        <v>invasive</v>
      </c>
      <c r="M31">
        <f>VLOOKUP($C31, Egli_UPEC_metadata_provided!$A$2:$M$826, 12, FALSE)</f>
        <v>0</v>
      </c>
      <c r="N31">
        <f>VLOOKUP($C31, Egli_UPEC_metadata_provided!$A$2:$M$826, 13, FALSE)</f>
        <v>0</v>
      </c>
      <c r="O31">
        <f>VLOOKUP($C31, Egli_UPEC_metadata_provided!$A$2:$N$826, 14, FALSE)</f>
        <v>0</v>
      </c>
    </row>
    <row r="32" spans="1:15" x14ac:dyDescent="0.2">
      <c r="A32" t="s">
        <v>155</v>
      </c>
      <c r="B32" t="s">
        <v>3389</v>
      </c>
      <c r="C32" t="s">
        <v>3389</v>
      </c>
      <c r="D32">
        <f>VLOOKUP($C32, Egli_UPEC_metadata_provided!$A$2:$M$826, 3, FALSE)</f>
        <v>2018</v>
      </c>
      <c r="E32" t="str">
        <f>VLOOKUP($C32, Egli_UPEC_metadata_provided!$A$2:$M$826, 4, FALSE)</f>
        <v>B1</v>
      </c>
      <c r="F32" t="str">
        <f>VLOOKUP($C32, Egli_UPEC_metadata_provided!$A$2:$M$826, 5, FALSE)</f>
        <v>m</v>
      </c>
      <c r="G32">
        <f>VLOOKUP($C32, Egli_UPEC_metadata_provided!$A$2:$M$826, 6, FALSE)</f>
        <v>0</v>
      </c>
      <c r="H32">
        <f>VLOOKUP($C32, Egli_UPEC_metadata_provided!$A$2:$M$826, 7, FALSE)</f>
        <v>1</v>
      </c>
      <c r="I32">
        <f>VLOOKUP($C32, Egli_UPEC_metadata_provided!$A$2:$M$826, 8, FALSE)</f>
        <v>35.012987012986997</v>
      </c>
      <c r="J32" t="b">
        <f>VLOOKUP($C32, Egli_UPEC_metadata_provided!$A$2:$M$826, 9, FALSE)</f>
        <v>0</v>
      </c>
      <c r="K32">
        <f>VLOOKUP($C32, Egli_UPEC_metadata_provided!$A$2:$M$826, 10, FALSE)</f>
        <v>0</v>
      </c>
      <c r="L32" t="str">
        <f>VLOOKUP($C32, Egli_UPEC_metadata_provided!$A$2:$M$826, 11, FALSE)</f>
        <v>invasive</v>
      </c>
      <c r="M32">
        <f>VLOOKUP($C32, Egli_UPEC_metadata_provided!$A$2:$M$826, 12, FALSE)</f>
        <v>1</v>
      </c>
      <c r="N32">
        <f>VLOOKUP($C32, Egli_UPEC_metadata_provided!$A$2:$M$826, 13, FALSE)</f>
        <v>0</v>
      </c>
      <c r="O32">
        <f>VLOOKUP($C32, Egli_UPEC_metadata_provided!$A$2:$N$826, 14, FALSE)</f>
        <v>0</v>
      </c>
    </row>
    <row r="33" spans="1:15" x14ac:dyDescent="0.2">
      <c r="A33" t="s">
        <v>156</v>
      </c>
      <c r="B33" t="s">
        <v>3390</v>
      </c>
      <c r="C33" t="s">
        <v>3390</v>
      </c>
      <c r="D33">
        <f>VLOOKUP($C33, Egli_UPEC_metadata_provided!$A$2:$M$826, 3, FALSE)</f>
        <v>2018</v>
      </c>
      <c r="E33" t="str">
        <f>VLOOKUP($C33, Egli_UPEC_metadata_provided!$A$2:$M$826, 4, FALSE)</f>
        <v>B2-2</v>
      </c>
      <c r="F33" t="str">
        <f>VLOOKUP($C33, Egli_UPEC_metadata_provided!$A$2:$M$826, 5, FALSE)</f>
        <v>w</v>
      </c>
      <c r="G33">
        <f>VLOOKUP($C33, Egli_UPEC_metadata_provided!$A$2:$M$826, 6, FALSE)</f>
        <v>0</v>
      </c>
      <c r="H33">
        <f>VLOOKUP($C33, Egli_UPEC_metadata_provided!$A$2:$M$826, 7, FALSE)</f>
        <v>1</v>
      </c>
      <c r="I33">
        <f>VLOOKUP($C33, Egli_UPEC_metadata_provided!$A$2:$M$826, 8, FALSE)</f>
        <v>94.017771701982198</v>
      </c>
      <c r="J33" t="b">
        <f>VLOOKUP($C33, Egli_UPEC_metadata_provided!$A$2:$M$826, 9, FALSE)</f>
        <v>0</v>
      </c>
      <c r="K33">
        <f>VLOOKUP($C33, Egli_UPEC_metadata_provided!$A$2:$M$826, 10, FALSE)</f>
        <v>0</v>
      </c>
      <c r="L33" t="str">
        <f>VLOOKUP($C33, Egli_UPEC_metadata_provided!$A$2:$M$826, 11, FALSE)</f>
        <v>invasive</v>
      </c>
      <c r="M33">
        <f>VLOOKUP($C33, Egli_UPEC_metadata_provided!$A$2:$M$826, 12, FALSE)</f>
        <v>0</v>
      </c>
      <c r="N33">
        <f>VLOOKUP($C33, Egli_UPEC_metadata_provided!$A$2:$M$826, 13, FALSE)</f>
        <v>0</v>
      </c>
      <c r="O33">
        <f>VLOOKUP($C33, Egli_UPEC_metadata_provided!$A$2:$N$826, 14, FALSE)</f>
        <v>0</v>
      </c>
    </row>
    <row r="34" spans="1:15" x14ac:dyDescent="0.2">
      <c r="A34" t="s">
        <v>157</v>
      </c>
      <c r="B34" t="s">
        <v>3391</v>
      </c>
      <c r="C34" t="s">
        <v>3391</v>
      </c>
      <c r="D34">
        <f>VLOOKUP($C34, Egli_UPEC_metadata_provided!$A$2:$M$826, 3, FALSE)</f>
        <v>2018</v>
      </c>
      <c r="E34" t="str">
        <f>VLOOKUP($C34, Egli_UPEC_metadata_provided!$A$2:$M$826, 4, FALSE)</f>
        <v>B2-2</v>
      </c>
      <c r="F34" t="str">
        <f>VLOOKUP($C34, Egli_UPEC_metadata_provided!$A$2:$M$826, 5, FALSE)</f>
        <v>w</v>
      </c>
      <c r="G34">
        <f>VLOOKUP($C34, Egli_UPEC_metadata_provided!$A$2:$M$826, 6, FALSE)</f>
        <v>0</v>
      </c>
      <c r="H34">
        <f>VLOOKUP($C34, Egli_UPEC_metadata_provided!$A$2:$M$826, 7, FALSE)</f>
        <v>2</v>
      </c>
      <c r="I34">
        <f>VLOOKUP($C34, Egli_UPEC_metadata_provided!$A$2:$M$826, 8, FALSE)</f>
        <v>93.544771018455194</v>
      </c>
      <c r="J34" t="b">
        <f>VLOOKUP($C34, Egli_UPEC_metadata_provided!$A$2:$M$826, 9, FALSE)</f>
        <v>1</v>
      </c>
      <c r="K34">
        <f>VLOOKUP($C34, Egli_UPEC_metadata_provided!$A$2:$M$826, 10, FALSE)</f>
        <v>0</v>
      </c>
      <c r="L34" t="str">
        <f>VLOOKUP($C34, Egli_UPEC_metadata_provided!$A$2:$M$826, 11, FALSE)</f>
        <v>invasive</v>
      </c>
      <c r="M34">
        <f>VLOOKUP($C34, Egli_UPEC_metadata_provided!$A$2:$M$826, 12, FALSE)</f>
        <v>0</v>
      </c>
      <c r="N34">
        <f>VLOOKUP($C34, Egli_UPEC_metadata_provided!$A$2:$M$826, 13, FALSE)</f>
        <v>0</v>
      </c>
      <c r="O34">
        <f>VLOOKUP($C34, Egli_UPEC_metadata_provided!$A$2:$N$826, 14, FALSE)</f>
        <v>0</v>
      </c>
    </row>
    <row r="35" spans="1:15" x14ac:dyDescent="0.2">
      <c r="A35" t="s">
        <v>158</v>
      </c>
      <c r="B35" t="s">
        <v>3392</v>
      </c>
      <c r="C35" t="s">
        <v>3392</v>
      </c>
      <c r="D35">
        <f>VLOOKUP($C35, Egli_UPEC_metadata_provided!$A$2:$M$826, 3, FALSE)</f>
        <v>2018</v>
      </c>
      <c r="E35" t="str">
        <f>VLOOKUP($C35, Egli_UPEC_metadata_provided!$A$2:$M$826, 4, FALSE)</f>
        <v>B2-2</v>
      </c>
      <c r="F35" t="str">
        <f>VLOOKUP($C35, Egli_UPEC_metadata_provided!$A$2:$M$826, 5, FALSE)</f>
        <v>m</v>
      </c>
      <c r="G35">
        <f>VLOOKUP($C35, Egli_UPEC_metadata_provided!$A$2:$M$826, 6, FALSE)</f>
        <v>0</v>
      </c>
      <c r="H35">
        <f>VLOOKUP($C35, Egli_UPEC_metadata_provided!$A$2:$M$826, 7, FALSE)</f>
        <v>8</v>
      </c>
      <c r="I35">
        <f>VLOOKUP($C35, Egli_UPEC_metadata_provided!$A$2:$M$826, 8, FALSE)</f>
        <v>76.442925495557105</v>
      </c>
      <c r="J35" t="b">
        <f>VLOOKUP($C35, Egli_UPEC_metadata_provided!$A$2:$M$826, 9, FALSE)</f>
        <v>1</v>
      </c>
      <c r="K35">
        <f>VLOOKUP($C35, Egli_UPEC_metadata_provided!$A$2:$M$826, 10, FALSE)</f>
        <v>0</v>
      </c>
      <c r="L35" t="str">
        <f>VLOOKUP($C35, Egli_UPEC_metadata_provided!$A$2:$M$826, 11, FALSE)</f>
        <v>invasive</v>
      </c>
      <c r="M35">
        <f>VLOOKUP($C35, Egli_UPEC_metadata_provided!$A$2:$M$826, 12, FALSE)</f>
        <v>1</v>
      </c>
      <c r="N35">
        <f>VLOOKUP($C35, Egli_UPEC_metadata_provided!$A$2:$M$826, 13, FALSE)</f>
        <v>0</v>
      </c>
      <c r="O35">
        <f>VLOOKUP($C35, Egli_UPEC_metadata_provided!$A$2:$N$826, 14, FALSE)</f>
        <v>0</v>
      </c>
    </row>
    <row r="36" spans="1:15" x14ac:dyDescent="0.2">
      <c r="A36" t="s">
        <v>159</v>
      </c>
      <c r="B36" t="s">
        <v>3393</v>
      </c>
      <c r="C36" t="s">
        <v>3393</v>
      </c>
      <c r="D36">
        <f>VLOOKUP($C36, Egli_UPEC_metadata_provided!$A$2:$M$826, 3, FALSE)</f>
        <v>2018</v>
      </c>
      <c r="E36" t="str">
        <f>VLOOKUP($C36, Egli_UPEC_metadata_provided!$A$2:$M$826, 4, FALSE)</f>
        <v>D1</v>
      </c>
      <c r="F36" t="str">
        <f>VLOOKUP($C36, Egli_UPEC_metadata_provided!$A$2:$M$826, 5, FALSE)</f>
        <v>w</v>
      </c>
      <c r="G36">
        <f>VLOOKUP($C36, Egli_UPEC_metadata_provided!$A$2:$M$826, 6, FALSE)</f>
        <v>1</v>
      </c>
      <c r="H36">
        <f>VLOOKUP($C36, Egli_UPEC_metadata_provided!$A$2:$M$826, 7, FALSE)</f>
        <v>2</v>
      </c>
      <c r="I36">
        <f>VLOOKUP($C36, Egli_UPEC_metadata_provided!$A$2:$M$826, 8, FALSE)</f>
        <v>72.101161995898806</v>
      </c>
      <c r="J36" t="b">
        <f>VLOOKUP($C36, Egli_UPEC_metadata_provided!$A$2:$M$826, 9, FALSE)</f>
        <v>0</v>
      </c>
      <c r="K36">
        <f>VLOOKUP($C36, Egli_UPEC_metadata_provided!$A$2:$M$826, 10, FALSE)</f>
        <v>0</v>
      </c>
      <c r="L36" t="str">
        <f>VLOOKUP($C36, Egli_UPEC_metadata_provided!$A$2:$M$826, 11, FALSE)</f>
        <v>invasive</v>
      </c>
      <c r="M36">
        <f>VLOOKUP($C36, Egli_UPEC_metadata_provided!$A$2:$M$826, 12, FALSE)</f>
        <v>0</v>
      </c>
      <c r="N36">
        <f>VLOOKUP($C36, Egli_UPEC_metadata_provided!$A$2:$M$826, 13, FALSE)</f>
        <v>0</v>
      </c>
      <c r="O36">
        <f>VLOOKUP($C36, Egli_UPEC_metadata_provided!$A$2:$N$826, 14, FALSE)</f>
        <v>0</v>
      </c>
    </row>
    <row r="37" spans="1:15" x14ac:dyDescent="0.2">
      <c r="A37" t="s">
        <v>162</v>
      </c>
      <c r="B37" t="s">
        <v>3396</v>
      </c>
      <c r="C37" t="s">
        <v>3396</v>
      </c>
      <c r="D37">
        <f>VLOOKUP($C37, Egli_UPEC_metadata_provided!$A$2:$M$826, 3, FALSE)</f>
        <v>2018</v>
      </c>
      <c r="E37" t="str">
        <f>VLOOKUP($C37, Egli_UPEC_metadata_provided!$A$2:$M$826, 4, FALSE)</f>
        <v>B2-2</v>
      </c>
      <c r="F37" t="str">
        <f>VLOOKUP($C37, Egli_UPEC_metadata_provided!$A$2:$M$826, 5, FALSE)</f>
        <v>w</v>
      </c>
      <c r="G37">
        <f>VLOOKUP($C37, Egli_UPEC_metadata_provided!$A$2:$M$826, 6, FALSE)</f>
        <v>0</v>
      </c>
      <c r="H37">
        <f>VLOOKUP($C37, Egli_UPEC_metadata_provided!$A$2:$M$826, 7, FALSE)</f>
        <v>0</v>
      </c>
      <c r="I37">
        <f>VLOOKUP($C37, Egli_UPEC_metadata_provided!$A$2:$M$826, 8, FALSE)</f>
        <v>55.097744360902297</v>
      </c>
      <c r="J37" t="b">
        <f>VLOOKUP($C37, Egli_UPEC_metadata_provided!$A$2:$M$826, 9, FALSE)</f>
        <v>0</v>
      </c>
      <c r="K37">
        <f>VLOOKUP($C37, Egli_UPEC_metadata_provided!$A$2:$M$826, 10, FALSE)</f>
        <v>0</v>
      </c>
      <c r="L37" t="str">
        <f>VLOOKUP($C37, Egli_UPEC_metadata_provided!$A$2:$M$826, 11, FALSE)</f>
        <v>invasive</v>
      </c>
      <c r="M37">
        <f>VLOOKUP($C37, Egli_UPEC_metadata_provided!$A$2:$M$826, 12, FALSE)</f>
        <v>0</v>
      </c>
      <c r="N37">
        <f>VLOOKUP($C37, Egli_UPEC_metadata_provided!$A$2:$M$826, 13, FALSE)</f>
        <v>0</v>
      </c>
      <c r="O37">
        <f>VLOOKUP($C37, Egli_UPEC_metadata_provided!$A$2:$N$826, 14, FALSE)</f>
        <v>0</v>
      </c>
    </row>
    <row r="38" spans="1:15" x14ac:dyDescent="0.2">
      <c r="A38" t="s">
        <v>163</v>
      </c>
      <c r="B38" t="s">
        <v>3397</v>
      </c>
      <c r="C38" t="s">
        <v>3397</v>
      </c>
      <c r="D38">
        <f>VLOOKUP($C38, Egli_UPEC_metadata_provided!$A$2:$M$826, 3, FALSE)</f>
        <v>2018</v>
      </c>
      <c r="E38" t="str">
        <f>VLOOKUP($C38, Egli_UPEC_metadata_provided!$A$2:$M$826, 4, FALSE)</f>
        <v>B2-2</v>
      </c>
      <c r="F38" t="str">
        <f>VLOOKUP($C38, Egli_UPEC_metadata_provided!$A$2:$M$826, 5, FALSE)</f>
        <v>w</v>
      </c>
      <c r="G38">
        <f>VLOOKUP($C38, Egli_UPEC_metadata_provided!$A$2:$M$826, 6, FALSE)</f>
        <v>0</v>
      </c>
      <c r="H38">
        <f>VLOOKUP($C38, Egli_UPEC_metadata_provided!$A$2:$M$826, 7, FALSE)</f>
        <v>0</v>
      </c>
      <c r="I38">
        <f>VLOOKUP($C38, Egli_UPEC_metadata_provided!$A$2:$M$826, 8, FALSE)</f>
        <v>82.406015037594003</v>
      </c>
      <c r="J38" t="b">
        <f>VLOOKUP($C38, Egli_UPEC_metadata_provided!$A$2:$M$826, 9, FALSE)</f>
        <v>1</v>
      </c>
      <c r="K38">
        <f>VLOOKUP($C38, Egli_UPEC_metadata_provided!$A$2:$M$826, 10, FALSE)</f>
        <v>0</v>
      </c>
      <c r="L38" t="str">
        <f>VLOOKUP($C38, Egli_UPEC_metadata_provided!$A$2:$M$826, 11, FALSE)</f>
        <v>invasive</v>
      </c>
      <c r="M38">
        <f>VLOOKUP($C38, Egli_UPEC_metadata_provided!$A$2:$M$826, 12, FALSE)</f>
        <v>0</v>
      </c>
      <c r="N38">
        <f>VLOOKUP($C38, Egli_UPEC_metadata_provided!$A$2:$M$826, 13, FALSE)</f>
        <v>0</v>
      </c>
      <c r="O38">
        <f>VLOOKUP($C38, Egli_UPEC_metadata_provided!$A$2:$N$826, 14, FALSE)</f>
        <v>0</v>
      </c>
    </row>
    <row r="39" spans="1:15" x14ac:dyDescent="0.2">
      <c r="A39" t="s">
        <v>164</v>
      </c>
      <c r="B39" t="s">
        <v>3398</v>
      </c>
      <c r="C39" t="s">
        <v>3398</v>
      </c>
      <c r="D39">
        <f>VLOOKUP($C39, Egli_UPEC_metadata_provided!$A$2:$M$826, 3, FALSE)</f>
        <v>2018</v>
      </c>
      <c r="E39" t="str">
        <f>VLOOKUP($C39, Egli_UPEC_metadata_provided!$A$2:$M$826, 4, FALSE)</f>
        <v>B2-2</v>
      </c>
      <c r="F39" t="str">
        <f>VLOOKUP($C39, Egli_UPEC_metadata_provided!$A$2:$M$826, 5, FALSE)</f>
        <v>w</v>
      </c>
      <c r="G39">
        <f>VLOOKUP($C39, Egli_UPEC_metadata_provided!$A$2:$M$826, 6, FALSE)</f>
        <v>1</v>
      </c>
      <c r="H39">
        <f>VLOOKUP($C39, Egli_UPEC_metadata_provided!$A$2:$M$826, 7, FALSE)</f>
        <v>2</v>
      </c>
      <c r="I39">
        <f>VLOOKUP($C39, Egli_UPEC_metadata_provided!$A$2:$M$826, 8, FALSE)</f>
        <v>62.534518113465502</v>
      </c>
      <c r="J39" t="b">
        <f>VLOOKUP($C39, Egli_UPEC_metadata_provided!$A$2:$M$826, 9, FALSE)</f>
        <v>1</v>
      </c>
      <c r="K39">
        <f>VLOOKUP($C39, Egli_UPEC_metadata_provided!$A$2:$M$826, 10, FALSE)</f>
        <v>0</v>
      </c>
      <c r="L39" t="str">
        <f>VLOOKUP($C39, Egli_UPEC_metadata_provided!$A$2:$M$826, 11, FALSE)</f>
        <v>invasive</v>
      </c>
      <c r="M39">
        <f>VLOOKUP($C39, Egli_UPEC_metadata_provided!$A$2:$M$826, 12, FALSE)</f>
        <v>0</v>
      </c>
      <c r="N39">
        <f>VLOOKUP($C39, Egli_UPEC_metadata_provided!$A$2:$M$826, 13, FALSE)</f>
        <v>0</v>
      </c>
      <c r="O39">
        <f>VLOOKUP($C39, Egli_UPEC_metadata_provided!$A$2:$N$826, 14, FALSE)</f>
        <v>0</v>
      </c>
    </row>
    <row r="40" spans="1:15" x14ac:dyDescent="0.2">
      <c r="A40" t="s">
        <v>165</v>
      </c>
      <c r="B40" t="s">
        <v>3399</v>
      </c>
      <c r="C40" t="s">
        <v>3399</v>
      </c>
      <c r="D40">
        <f>VLOOKUP($C40, Egli_UPEC_metadata_provided!$A$2:$M$826, 3, FALSE)</f>
        <v>2018</v>
      </c>
      <c r="E40" t="str">
        <f>VLOOKUP($C40, Egli_UPEC_metadata_provided!$A$2:$M$826, 4, FALSE)</f>
        <v>D1</v>
      </c>
      <c r="F40" t="str">
        <f>VLOOKUP($C40, Egli_UPEC_metadata_provided!$A$2:$M$826, 5, FALSE)</f>
        <v>m</v>
      </c>
      <c r="G40">
        <f>VLOOKUP($C40, Egli_UPEC_metadata_provided!$A$2:$M$826, 6, FALSE)</f>
        <v>1</v>
      </c>
      <c r="H40">
        <f>VLOOKUP($C40, Egli_UPEC_metadata_provided!$A$2:$M$826, 7, FALSE)</f>
        <v>2</v>
      </c>
      <c r="I40">
        <f>VLOOKUP($C40, Egli_UPEC_metadata_provided!$A$2:$M$826, 8, FALSE)</f>
        <v>30.4825700615174</v>
      </c>
      <c r="J40" t="b">
        <f>VLOOKUP($C40, Egli_UPEC_metadata_provided!$A$2:$M$826, 9, FALSE)</f>
        <v>0</v>
      </c>
      <c r="K40">
        <f>VLOOKUP($C40, Egli_UPEC_metadata_provided!$A$2:$M$826, 10, FALSE)</f>
        <v>0</v>
      </c>
      <c r="L40" t="str">
        <f>VLOOKUP($C40, Egli_UPEC_metadata_provided!$A$2:$M$826, 11, FALSE)</f>
        <v>invasive</v>
      </c>
      <c r="M40">
        <f>VLOOKUP($C40, Egli_UPEC_metadata_provided!$A$2:$M$826, 12, FALSE)</f>
        <v>0</v>
      </c>
      <c r="N40">
        <f>VLOOKUP($C40, Egli_UPEC_metadata_provided!$A$2:$M$826, 13, FALSE)</f>
        <v>0</v>
      </c>
      <c r="O40">
        <f>VLOOKUP($C40, Egli_UPEC_metadata_provided!$A$2:$N$826, 14, FALSE)</f>
        <v>0</v>
      </c>
    </row>
    <row r="41" spans="1:15" x14ac:dyDescent="0.2">
      <c r="A41" t="s">
        <v>167</v>
      </c>
      <c r="B41" t="s">
        <v>3401</v>
      </c>
      <c r="C41" t="s">
        <v>3401</v>
      </c>
      <c r="D41">
        <f>VLOOKUP($C41, Egli_UPEC_metadata_provided!$A$2:$M$826, 3, FALSE)</f>
        <v>2018</v>
      </c>
      <c r="E41" t="str">
        <f>VLOOKUP($C41, Egli_UPEC_metadata_provided!$A$2:$M$826, 4, FALSE)</f>
        <v>B2-2</v>
      </c>
      <c r="F41" t="str">
        <f>VLOOKUP($C41, Egli_UPEC_metadata_provided!$A$2:$M$826, 5, FALSE)</f>
        <v>w</v>
      </c>
      <c r="G41">
        <f>VLOOKUP($C41, Egli_UPEC_metadata_provided!$A$2:$M$826, 6, FALSE)</f>
        <v>0</v>
      </c>
      <c r="H41">
        <f>VLOOKUP($C41, Egli_UPEC_metadata_provided!$A$2:$M$826, 7, FALSE)</f>
        <v>0</v>
      </c>
      <c r="I41">
        <f>VLOOKUP($C41, Egli_UPEC_metadata_provided!$A$2:$M$826, 8, FALSE)</f>
        <v>66.753246753246799</v>
      </c>
      <c r="J41" t="b">
        <f>VLOOKUP($C41, Egli_UPEC_metadata_provided!$A$2:$M$826, 9, FALSE)</f>
        <v>1</v>
      </c>
      <c r="K41">
        <f>VLOOKUP($C41, Egli_UPEC_metadata_provided!$A$2:$M$826, 10, FALSE)</f>
        <v>0</v>
      </c>
      <c r="L41" t="str">
        <f>VLOOKUP($C41, Egli_UPEC_metadata_provided!$A$2:$M$826, 11, FALSE)</f>
        <v>invasive</v>
      </c>
      <c r="M41">
        <f>VLOOKUP($C41, Egli_UPEC_metadata_provided!$A$2:$M$826, 12, FALSE)</f>
        <v>0</v>
      </c>
      <c r="N41">
        <f>VLOOKUP($C41, Egli_UPEC_metadata_provided!$A$2:$M$826, 13, FALSE)</f>
        <v>0</v>
      </c>
      <c r="O41">
        <f>VLOOKUP($C41, Egli_UPEC_metadata_provided!$A$2:$N$826, 14, FALSE)</f>
        <v>0</v>
      </c>
    </row>
    <row r="42" spans="1:15" x14ac:dyDescent="0.2">
      <c r="A42" t="s">
        <v>168</v>
      </c>
      <c r="B42" t="s">
        <v>3402</v>
      </c>
      <c r="C42" t="s">
        <v>3402</v>
      </c>
      <c r="D42">
        <f>VLOOKUP($C42, Egli_UPEC_metadata_provided!$A$2:$M$826, 3, FALSE)</f>
        <v>2018</v>
      </c>
      <c r="E42" t="str">
        <f>VLOOKUP($C42, Egli_UPEC_metadata_provided!$A$2:$M$826, 4, FALSE)</f>
        <v>B1</v>
      </c>
      <c r="F42" t="str">
        <f>VLOOKUP($C42, Egli_UPEC_metadata_provided!$A$2:$M$826, 5, FALSE)</f>
        <v>m</v>
      </c>
      <c r="G42">
        <f>VLOOKUP($C42, Egli_UPEC_metadata_provided!$A$2:$M$826, 6, FALSE)</f>
        <v>1</v>
      </c>
      <c r="H42">
        <f>VLOOKUP($C42, Egli_UPEC_metadata_provided!$A$2:$M$826, 7, FALSE)</f>
        <v>4</v>
      </c>
      <c r="I42">
        <f>VLOOKUP($C42, Egli_UPEC_metadata_provided!$A$2:$M$826, 8, FALSE)</f>
        <v>58.190020505809997</v>
      </c>
      <c r="J42" t="b">
        <f>VLOOKUP($C42, Egli_UPEC_metadata_provided!$A$2:$M$826, 9, FALSE)</f>
        <v>0</v>
      </c>
      <c r="K42">
        <f>VLOOKUP($C42, Egli_UPEC_metadata_provided!$A$2:$M$826, 10, FALSE)</f>
        <v>0</v>
      </c>
      <c r="L42" t="str">
        <f>VLOOKUP($C42, Egli_UPEC_metadata_provided!$A$2:$M$826, 11, FALSE)</f>
        <v>invasive</v>
      </c>
      <c r="M42">
        <f>VLOOKUP($C42, Egli_UPEC_metadata_provided!$A$2:$M$826, 12, FALSE)</f>
        <v>1</v>
      </c>
      <c r="N42">
        <f>VLOOKUP($C42, Egli_UPEC_metadata_provided!$A$2:$M$826, 13, FALSE)</f>
        <v>0</v>
      </c>
      <c r="O42">
        <f>VLOOKUP($C42, Egli_UPEC_metadata_provided!$A$2:$N$826, 14, FALSE)</f>
        <v>0</v>
      </c>
    </row>
    <row r="43" spans="1:15" x14ac:dyDescent="0.2">
      <c r="A43" t="s">
        <v>169</v>
      </c>
      <c r="B43" t="s">
        <v>3403</v>
      </c>
      <c r="C43" t="s">
        <v>3403</v>
      </c>
      <c r="D43">
        <f>VLOOKUP($C43, Egli_UPEC_metadata_provided!$A$2:$M$826, 3, FALSE)</f>
        <v>2018</v>
      </c>
      <c r="E43" t="str">
        <f>VLOOKUP($C43, Egli_UPEC_metadata_provided!$A$2:$M$826, 4, FALSE)</f>
        <v>B2-2</v>
      </c>
      <c r="F43" t="str">
        <f>VLOOKUP($C43, Egli_UPEC_metadata_provided!$A$2:$M$826, 5, FALSE)</f>
        <v>m</v>
      </c>
      <c r="G43">
        <f>VLOOKUP($C43, Egli_UPEC_metadata_provided!$A$2:$M$826, 6, FALSE)</f>
        <v>0</v>
      </c>
      <c r="H43">
        <f>VLOOKUP($C43, Egli_UPEC_metadata_provided!$A$2:$M$826, 7, FALSE)</f>
        <v>2</v>
      </c>
      <c r="I43">
        <f>VLOOKUP($C43, Egli_UPEC_metadata_provided!$A$2:$M$826, 8, FALSE)</f>
        <v>74.083390293916594</v>
      </c>
      <c r="J43" t="b">
        <f>VLOOKUP($C43, Egli_UPEC_metadata_provided!$A$2:$M$826, 9, FALSE)</f>
        <v>0</v>
      </c>
      <c r="K43">
        <f>VLOOKUP($C43, Egli_UPEC_metadata_provided!$A$2:$M$826, 10, FALSE)</f>
        <v>0</v>
      </c>
      <c r="L43" t="str">
        <f>VLOOKUP($C43, Egli_UPEC_metadata_provided!$A$2:$M$826, 11, FALSE)</f>
        <v>invasive</v>
      </c>
      <c r="M43">
        <f>VLOOKUP($C43, Egli_UPEC_metadata_provided!$A$2:$M$826, 12, FALSE)</f>
        <v>0</v>
      </c>
      <c r="N43">
        <f>VLOOKUP($C43, Egli_UPEC_metadata_provided!$A$2:$M$826, 13, FALSE)</f>
        <v>0</v>
      </c>
      <c r="O43">
        <f>VLOOKUP($C43, Egli_UPEC_metadata_provided!$A$2:$N$826, 14, FALSE)</f>
        <v>0</v>
      </c>
    </row>
    <row r="44" spans="1:15" x14ac:dyDescent="0.2">
      <c r="A44" t="s">
        <v>170</v>
      </c>
      <c r="B44" t="s">
        <v>3404</v>
      </c>
      <c r="C44" t="s">
        <v>3404</v>
      </c>
      <c r="D44">
        <f>VLOOKUP($C44, Egli_UPEC_metadata_provided!$A$2:$M$826, 3, FALSE)</f>
        <v>2018</v>
      </c>
      <c r="E44" t="str">
        <f>VLOOKUP($C44, Egli_UPEC_metadata_provided!$A$2:$M$826, 4, FALSE)</f>
        <v>B2-2</v>
      </c>
      <c r="F44" t="str">
        <f>VLOOKUP($C44, Egli_UPEC_metadata_provided!$A$2:$M$826, 5, FALSE)</f>
        <v>m</v>
      </c>
      <c r="G44">
        <f>VLOOKUP($C44, Egli_UPEC_metadata_provided!$A$2:$M$826, 6, FALSE)</f>
        <v>1</v>
      </c>
      <c r="H44">
        <f>VLOOKUP($C44, Egli_UPEC_metadata_provided!$A$2:$M$826, 7, FALSE)</f>
        <v>2</v>
      </c>
      <c r="I44">
        <f>VLOOKUP($C44, Egli_UPEC_metadata_provided!$A$2:$M$826, 8, FALSE)</f>
        <v>70.974709501025302</v>
      </c>
      <c r="J44" t="b">
        <f>VLOOKUP($C44, Egli_UPEC_metadata_provided!$A$2:$M$826, 9, FALSE)</f>
        <v>0</v>
      </c>
      <c r="K44">
        <f>VLOOKUP($C44, Egli_UPEC_metadata_provided!$A$2:$M$826, 10, FALSE)</f>
        <v>0</v>
      </c>
      <c r="L44" t="str">
        <f>VLOOKUP($C44, Egli_UPEC_metadata_provided!$A$2:$M$826, 11, FALSE)</f>
        <v>invasive</v>
      </c>
      <c r="M44">
        <f>VLOOKUP($C44, Egli_UPEC_metadata_provided!$A$2:$M$826, 12, FALSE)</f>
        <v>0</v>
      </c>
      <c r="N44">
        <f>VLOOKUP($C44, Egli_UPEC_metadata_provided!$A$2:$M$826, 13, FALSE)</f>
        <v>0</v>
      </c>
      <c r="O44">
        <f>VLOOKUP($C44, Egli_UPEC_metadata_provided!$A$2:$N$826, 14, FALSE)</f>
        <v>0</v>
      </c>
    </row>
    <row r="45" spans="1:15" x14ac:dyDescent="0.2">
      <c r="A45" t="s">
        <v>172</v>
      </c>
      <c r="B45" t="s">
        <v>3406</v>
      </c>
      <c r="C45" t="s">
        <v>3406</v>
      </c>
      <c r="D45">
        <f>VLOOKUP($C45, Egli_UPEC_metadata_provided!$A$2:$M$826, 3, FALSE)</f>
        <v>2018</v>
      </c>
      <c r="E45" t="str">
        <f>VLOOKUP($C45, Egli_UPEC_metadata_provided!$A$2:$M$826, 4, FALSE)</f>
        <v>B1</v>
      </c>
      <c r="F45" t="str">
        <f>VLOOKUP($C45, Egli_UPEC_metadata_provided!$A$2:$M$826, 5, FALSE)</f>
        <v>w</v>
      </c>
      <c r="G45">
        <f>VLOOKUP($C45, Egli_UPEC_metadata_provided!$A$2:$M$826, 6, FALSE)</f>
        <v>1</v>
      </c>
      <c r="H45">
        <f>VLOOKUP($C45, Egli_UPEC_metadata_provided!$A$2:$M$826, 7, FALSE)</f>
        <v>6</v>
      </c>
      <c r="I45">
        <f>VLOOKUP($C45, Egli_UPEC_metadata_provided!$A$2:$M$826, 8, FALSE)</f>
        <v>57.6596035543404</v>
      </c>
      <c r="J45" t="b">
        <f>VLOOKUP($C45, Egli_UPEC_metadata_provided!$A$2:$M$826, 9, FALSE)</f>
        <v>0</v>
      </c>
      <c r="K45">
        <f>VLOOKUP($C45, Egli_UPEC_metadata_provided!$A$2:$M$826, 10, FALSE)</f>
        <v>0</v>
      </c>
      <c r="L45" t="str">
        <f>VLOOKUP($C45, Egli_UPEC_metadata_provided!$A$2:$M$826, 11, FALSE)</f>
        <v>invasive</v>
      </c>
      <c r="M45">
        <f>VLOOKUP($C45, Egli_UPEC_metadata_provided!$A$2:$M$826, 12, FALSE)</f>
        <v>0</v>
      </c>
      <c r="N45">
        <f>VLOOKUP($C45, Egli_UPEC_metadata_provided!$A$2:$M$826, 13, FALSE)</f>
        <v>1</v>
      </c>
      <c r="O45">
        <f>VLOOKUP($C45, Egli_UPEC_metadata_provided!$A$2:$N$826, 14, FALSE)</f>
        <v>0</v>
      </c>
    </row>
    <row r="46" spans="1:15" x14ac:dyDescent="0.2">
      <c r="A46" t="s">
        <v>173</v>
      </c>
      <c r="B46" t="s">
        <v>3407</v>
      </c>
      <c r="C46" t="s">
        <v>3407</v>
      </c>
      <c r="D46">
        <f>VLOOKUP($C46, Egli_UPEC_metadata_provided!$A$2:$M$826, 3, FALSE)</f>
        <v>2018</v>
      </c>
      <c r="E46" t="str">
        <f>VLOOKUP($C46, Egli_UPEC_metadata_provided!$A$2:$M$826, 4, FALSE)</f>
        <v>D2</v>
      </c>
      <c r="F46" t="str">
        <f>VLOOKUP($C46, Egli_UPEC_metadata_provided!$A$2:$M$826, 5, FALSE)</f>
        <v>w</v>
      </c>
      <c r="G46">
        <f>VLOOKUP($C46, Egli_UPEC_metadata_provided!$A$2:$M$826, 6, FALSE)</f>
        <v>0</v>
      </c>
      <c r="H46">
        <f>VLOOKUP($C46, Egli_UPEC_metadata_provided!$A$2:$M$826, 7, FALSE)</f>
        <v>1</v>
      </c>
      <c r="I46">
        <f>VLOOKUP($C46, Egli_UPEC_metadata_provided!$A$2:$M$826, 8, FALSE)</f>
        <v>70.304853041695196</v>
      </c>
      <c r="J46" t="b">
        <f>VLOOKUP($C46, Egli_UPEC_metadata_provided!$A$2:$M$826, 9, FALSE)</f>
        <v>0</v>
      </c>
      <c r="K46">
        <f>VLOOKUP($C46, Egli_UPEC_metadata_provided!$A$2:$M$826, 10, FALSE)</f>
        <v>0</v>
      </c>
      <c r="L46" t="str">
        <f>VLOOKUP($C46, Egli_UPEC_metadata_provided!$A$2:$M$826, 11, FALSE)</f>
        <v>invasive</v>
      </c>
      <c r="M46">
        <f>VLOOKUP($C46, Egli_UPEC_metadata_provided!$A$2:$M$826, 12, FALSE)</f>
        <v>0</v>
      </c>
      <c r="N46">
        <f>VLOOKUP($C46, Egli_UPEC_metadata_provided!$A$2:$M$826, 13, FALSE)</f>
        <v>0</v>
      </c>
      <c r="O46">
        <f>VLOOKUP($C46, Egli_UPEC_metadata_provided!$A$2:$N$826, 14, FALSE)</f>
        <v>0</v>
      </c>
    </row>
    <row r="47" spans="1:15" x14ac:dyDescent="0.2">
      <c r="A47" t="s">
        <v>174</v>
      </c>
      <c r="B47" t="s">
        <v>3408</v>
      </c>
      <c r="C47" t="s">
        <v>3408</v>
      </c>
      <c r="D47">
        <f>VLOOKUP($C47, Egli_UPEC_metadata_provided!$A$2:$M$826, 3, FALSE)</f>
        <v>2018</v>
      </c>
      <c r="E47" t="str">
        <f>VLOOKUP($C47, Egli_UPEC_metadata_provided!$A$2:$M$826, 4, FALSE)</f>
        <v>B2-2</v>
      </c>
      <c r="F47" t="str">
        <f>VLOOKUP($C47, Egli_UPEC_metadata_provided!$A$2:$M$826, 5, FALSE)</f>
        <v>m</v>
      </c>
      <c r="G47">
        <f>VLOOKUP($C47, Egli_UPEC_metadata_provided!$A$2:$M$826, 6, FALSE)</f>
        <v>0</v>
      </c>
      <c r="H47">
        <f>VLOOKUP($C47, Egli_UPEC_metadata_provided!$A$2:$M$826, 7, FALSE)</f>
        <v>1</v>
      </c>
      <c r="I47">
        <f>VLOOKUP($C47, Egli_UPEC_metadata_provided!$A$2:$M$826, 8, FALSE)</f>
        <v>87.934381408065605</v>
      </c>
      <c r="J47" t="b">
        <f>VLOOKUP($C47, Egli_UPEC_metadata_provided!$A$2:$M$826, 9, FALSE)</f>
        <v>0</v>
      </c>
      <c r="K47">
        <f>VLOOKUP($C47, Egli_UPEC_metadata_provided!$A$2:$M$826, 10, FALSE)</f>
        <v>0</v>
      </c>
      <c r="L47" t="str">
        <f>VLOOKUP($C47, Egli_UPEC_metadata_provided!$A$2:$M$826, 11, FALSE)</f>
        <v>invasive</v>
      </c>
      <c r="M47">
        <f>VLOOKUP($C47, Egli_UPEC_metadata_provided!$A$2:$M$826, 12, FALSE)</f>
        <v>0</v>
      </c>
      <c r="N47">
        <f>VLOOKUP($C47, Egli_UPEC_metadata_provided!$A$2:$M$826, 13, FALSE)</f>
        <v>0</v>
      </c>
      <c r="O47">
        <f>VLOOKUP($C47, Egli_UPEC_metadata_provided!$A$2:$N$826, 14, FALSE)</f>
        <v>1</v>
      </c>
    </row>
    <row r="48" spans="1:15" x14ac:dyDescent="0.2">
      <c r="A48" t="s">
        <v>175</v>
      </c>
      <c r="B48" t="s">
        <v>3409</v>
      </c>
      <c r="C48" t="s">
        <v>3409</v>
      </c>
      <c r="D48">
        <f>VLOOKUP($C48, Egli_UPEC_metadata_provided!$A$2:$M$826, 3, FALSE)</f>
        <v>2018</v>
      </c>
      <c r="E48" t="str">
        <f>VLOOKUP($C48, Egli_UPEC_metadata_provided!$A$2:$M$826, 4, FALSE)</f>
        <v>B2-2</v>
      </c>
      <c r="F48" t="str">
        <f>VLOOKUP($C48, Egli_UPEC_metadata_provided!$A$2:$M$826, 5, FALSE)</f>
        <v>w</v>
      </c>
      <c r="G48">
        <f>VLOOKUP($C48, Egli_UPEC_metadata_provided!$A$2:$M$826, 6, FALSE)</f>
        <v>0</v>
      </c>
      <c r="H48">
        <f>VLOOKUP($C48, Egli_UPEC_metadata_provided!$A$2:$M$826, 7, FALSE)</f>
        <v>1</v>
      </c>
      <c r="I48">
        <f>VLOOKUP($C48, Egli_UPEC_metadata_provided!$A$2:$M$826, 8, FALSE)</f>
        <v>83.034859876965101</v>
      </c>
      <c r="J48" t="b">
        <f>VLOOKUP($C48, Egli_UPEC_metadata_provided!$A$2:$M$826, 9, FALSE)</f>
        <v>0</v>
      </c>
      <c r="K48">
        <f>VLOOKUP($C48, Egli_UPEC_metadata_provided!$A$2:$M$826, 10, FALSE)</f>
        <v>0</v>
      </c>
      <c r="L48" t="str">
        <f>VLOOKUP($C48, Egli_UPEC_metadata_provided!$A$2:$M$826, 11, FALSE)</f>
        <v>invasive</v>
      </c>
      <c r="M48">
        <f>VLOOKUP($C48, Egli_UPEC_metadata_provided!$A$2:$M$826, 12, FALSE)</f>
        <v>0</v>
      </c>
      <c r="N48">
        <f>VLOOKUP($C48, Egli_UPEC_metadata_provided!$A$2:$M$826, 13, FALSE)</f>
        <v>0</v>
      </c>
      <c r="O48">
        <f>VLOOKUP($C48, Egli_UPEC_metadata_provided!$A$2:$N$826, 14, FALSE)</f>
        <v>0</v>
      </c>
    </row>
    <row r="49" spans="1:15" x14ac:dyDescent="0.2">
      <c r="A49" t="s">
        <v>176</v>
      </c>
      <c r="B49" t="s">
        <v>3410</v>
      </c>
      <c r="C49" t="s">
        <v>3410</v>
      </c>
      <c r="D49">
        <f>VLOOKUP($C49, Egli_UPEC_metadata_provided!$A$2:$M$826, 3, FALSE)</f>
        <v>2018</v>
      </c>
      <c r="E49" t="str">
        <f>VLOOKUP($C49, Egli_UPEC_metadata_provided!$A$2:$M$826, 4, FALSE)</f>
        <v>D1</v>
      </c>
      <c r="F49" t="str">
        <f>VLOOKUP($C49, Egli_UPEC_metadata_provided!$A$2:$M$826, 5, FALSE)</f>
        <v>w</v>
      </c>
      <c r="G49">
        <f>VLOOKUP($C49, Egli_UPEC_metadata_provided!$A$2:$M$826, 6, FALSE)</f>
        <v>0</v>
      </c>
      <c r="H49">
        <f>VLOOKUP($C49, Egli_UPEC_metadata_provided!$A$2:$M$826, 7, FALSE)</f>
        <v>1</v>
      </c>
      <c r="I49">
        <f>VLOOKUP($C49, Egli_UPEC_metadata_provided!$A$2:$M$826, 8, FALSE)</f>
        <v>86.523581681476401</v>
      </c>
      <c r="J49" t="b">
        <f>VLOOKUP($C49, Egli_UPEC_metadata_provided!$A$2:$M$826, 9, FALSE)</f>
        <v>1</v>
      </c>
      <c r="K49">
        <f>VLOOKUP($C49, Egli_UPEC_metadata_provided!$A$2:$M$826, 10, FALSE)</f>
        <v>1</v>
      </c>
      <c r="L49" t="str">
        <f>VLOOKUP($C49, Egli_UPEC_metadata_provided!$A$2:$M$826, 11, FALSE)</f>
        <v>invasive</v>
      </c>
      <c r="M49">
        <f>VLOOKUP($C49, Egli_UPEC_metadata_provided!$A$2:$M$826, 12, FALSE)</f>
        <v>0</v>
      </c>
      <c r="N49">
        <f>VLOOKUP($C49, Egli_UPEC_metadata_provided!$A$2:$M$826, 13, FALSE)</f>
        <v>0</v>
      </c>
      <c r="O49">
        <f>VLOOKUP($C49, Egli_UPEC_metadata_provided!$A$2:$N$826, 14, FALSE)</f>
        <v>0</v>
      </c>
    </row>
    <row r="50" spans="1:15" x14ac:dyDescent="0.2">
      <c r="A50" t="s">
        <v>177</v>
      </c>
      <c r="B50" t="s">
        <v>3411</v>
      </c>
      <c r="C50" t="s">
        <v>3411</v>
      </c>
      <c r="D50">
        <f>VLOOKUP($C50, Egli_UPEC_metadata_provided!$A$2:$M$826, 3, FALSE)</f>
        <v>2018</v>
      </c>
      <c r="E50" t="str">
        <f>VLOOKUP($C50, Egli_UPEC_metadata_provided!$A$2:$M$826, 4, FALSE)</f>
        <v>D1</v>
      </c>
      <c r="F50" t="str">
        <f>VLOOKUP($C50, Egli_UPEC_metadata_provided!$A$2:$M$826, 5, FALSE)</f>
        <v>w</v>
      </c>
      <c r="G50">
        <f>VLOOKUP($C50, Egli_UPEC_metadata_provided!$A$2:$M$826, 6, FALSE)</f>
        <v>0</v>
      </c>
      <c r="H50">
        <f>VLOOKUP($C50, Egli_UPEC_metadata_provided!$A$2:$M$826, 7, FALSE)</f>
        <v>1</v>
      </c>
      <c r="I50">
        <f>VLOOKUP($C50, Egli_UPEC_metadata_provided!$A$2:$M$826, 8, FALSE)</f>
        <v>84.935064935064901</v>
      </c>
      <c r="J50" t="b">
        <f>VLOOKUP($C50, Egli_UPEC_metadata_provided!$A$2:$M$826, 9, FALSE)</f>
        <v>1</v>
      </c>
      <c r="K50">
        <f>VLOOKUP($C50, Egli_UPEC_metadata_provided!$A$2:$M$826, 10, FALSE)</f>
        <v>0</v>
      </c>
      <c r="L50" t="str">
        <f>VLOOKUP($C50, Egli_UPEC_metadata_provided!$A$2:$M$826, 11, FALSE)</f>
        <v>invasive</v>
      </c>
      <c r="M50">
        <f>VLOOKUP($C50, Egli_UPEC_metadata_provided!$A$2:$M$826, 12, FALSE)</f>
        <v>0</v>
      </c>
      <c r="N50">
        <f>VLOOKUP($C50, Egli_UPEC_metadata_provided!$A$2:$M$826, 13, FALSE)</f>
        <v>0</v>
      </c>
      <c r="O50">
        <f>VLOOKUP($C50, Egli_UPEC_metadata_provided!$A$2:$N$826, 14, FALSE)</f>
        <v>0</v>
      </c>
    </row>
    <row r="51" spans="1:15" x14ac:dyDescent="0.2">
      <c r="A51" t="s">
        <v>178</v>
      </c>
      <c r="B51" t="s">
        <v>3412</v>
      </c>
      <c r="C51" t="s">
        <v>3412</v>
      </c>
      <c r="D51">
        <f>VLOOKUP($C51, Egli_UPEC_metadata_provided!$A$2:$M$826, 3, FALSE)</f>
        <v>2018</v>
      </c>
      <c r="E51" t="str">
        <f>VLOOKUP($C51, Egli_UPEC_metadata_provided!$A$2:$M$826, 4, FALSE)</f>
        <v>B2-2</v>
      </c>
      <c r="F51" t="str">
        <f>VLOOKUP($C51, Egli_UPEC_metadata_provided!$A$2:$M$826, 5, FALSE)</f>
        <v>w</v>
      </c>
      <c r="G51">
        <f>VLOOKUP($C51, Egli_UPEC_metadata_provided!$A$2:$M$826, 6, FALSE)</f>
        <v>0</v>
      </c>
      <c r="H51">
        <f>VLOOKUP($C51, Egli_UPEC_metadata_provided!$A$2:$M$826, 7, FALSE)</f>
        <v>2</v>
      </c>
      <c r="I51">
        <f>VLOOKUP($C51, Egli_UPEC_metadata_provided!$A$2:$M$826, 8, FALSE)</f>
        <v>63.633629528366399</v>
      </c>
      <c r="J51" t="b">
        <f>VLOOKUP($C51, Egli_UPEC_metadata_provided!$A$2:$M$826, 9, FALSE)</f>
        <v>1</v>
      </c>
      <c r="K51">
        <f>VLOOKUP($C51, Egli_UPEC_metadata_provided!$A$2:$M$826, 10, FALSE)</f>
        <v>0</v>
      </c>
      <c r="L51" t="str">
        <f>VLOOKUP($C51, Egli_UPEC_metadata_provided!$A$2:$M$826, 11, FALSE)</f>
        <v>invasive</v>
      </c>
      <c r="M51">
        <f>VLOOKUP($C51, Egli_UPEC_metadata_provided!$A$2:$M$826, 12, FALSE)</f>
        <v>0</v>
      </c>
      <c r="N51">
        <f>VLOOKUP($C51, Egli_UPEC_metadata_provided!$A$2:$M$826, 13, FALSE)</f>
        <v>0</v>
      </c>
      <c r="O51">
        <f>VLOOKUP($C51, Egli_UPEC_metadata_provided!$A$2:$N$826, 14, FALSE)</f>
        <v>1</v>
      </c>
    </row>
    <row r="52" spans="1:15" x14ac:dyDescent="0.2">
      <c r="A52" t="s">
        <v>179</v>
      </c>
      <c r="B52" t="s">
        <v>3413</v>
      </c>
      <c r="C52" t="s">
        <v>3413</v>
      </c>
      <c r="D52">
        <f>VLOOKUP($C52, Egli_UPEC_metadata_provided!$A$2:$M$826, 3, FALSE)</f>
        <v>2018</v>
      </c>
      <c r="E52" t="str">
        <f>VLOOKUP($C52, Egli_UPEC_metadata_provided!$A$2:$M$826, 4, FALSE)</f>
        <v>B2-2</v>
      </c>
      <c r="F52" t="str">
        <f>VLOOKUP($C52, Egli_UPEC_metadata_provided!$A$2:$M$826, 5, FALSE)</f>
        <v>m</v>
      </c>
      <c r="G52">
        <f>VLOOKUP($C52, Egli_UPEC_metadata_provided!$A$2:$M$826, 6, FALSE)</f>
        <v>0</v>
      </c>
      <c r="H52">
        <f>VLOOKUP($C52, Egli_UPEC_metadata_provided!$A$2:$M$826, 7, FALSE)</f>
        <v>3</v>
      </c>
      <c r="I52">
        <f>VLOOKUP($C52, Egli_UPEC_metadata_provided!$A$2:$M$826, 8, FALSE)</f>
        <v>72.615174299384805</v>
      </c>
      <c r="J52" t="b">
        <f>VLOOKUP($C52, Egli_UPEC_metadata_provided!$A$2:$M$826, 9, FALSE)</f>
        <v>0</v>
      </c>
      <c r="K52">
        <f>VLOOKUP($C52, Egli_UPEC_metadata_provided!$A$2:$M$826, 10, FALSE)</f>
        <v>0</v>
      </c>
      <c r="L52" t="str">
        <f>VLOOKUP($C52, Egli_UPEC_metadata_provided!$A$2:$M$826, 11, FALSE)</f>
        <v>invasive</v>
      </c>
      <c r="M52">
        <f>VLOOKUP($C52, Egli_UPEC_metadata_provided!$A$2:$M$826, 12, FALSE)</f>
        <v>0</v>
      </c>
      <c r="N52">
        <f>VLOOKUP($C52, Egli_UPEC_metadata_provided!$A$2:$M$826, 13, FALSE)</f>
        <v>0</v>
      </c>
      <c r="O52">
        <f>VLOOKUP($C52, Egli_UPEC_metadata_provided!$A$2:$N$826, 14, FALSE)</f>
        <v>0</v>
      </c>
    </row>
    <row r="53" spans="1:15" x14ac:dyDescent="0.2">
      <c r="A53" t="s">
        <v>181</v>
      </c>
      <c r="B53" t="s">
        <v>3415</v>
      </c>
      <c r="C53" t="s">
        <v>3415</v>
      </c>
      <c r="D53">
        <f>VLOOKUP($C53, Egli_UPEC_metadata_provided!$A$2:$M$826, 3, FALSE)</f>
        <v>2018</v>
      </c>
      <c r="E53" t="str">
        <f>VLOOKUP($C53, Egli_UPEC_metadata_provided!$A$2:$M$826, 4, FALSE)</f>
        <v>B2-2</v>
      </c>
      <c r="F53" t="str">
        <f>VLOOKUP($C53, Egli_UPEC_metadata_provided!$A$2:$M$826, 5, FALSE)</f>
        <v>m</v>
      </c>
      <c r="G53">
        <f>VLOOKUP($C53, Egli_UPEC_metadata_provided!$A$2:$M$826, 6, FALSE)</f>
        <v>0</v>
      </c>
      <c r="H53">
        <f>VLOOKUP($C53, Egli_UPEC_metadata_provided!$A$2:$M$826, 7, FALSE)</f>
        <v>0</v>
      </c>
      <c r="I53">
        <f>VLOOKUP($C53, Egli_UPEC_metadata_provided!$A$2:$M$826, 8, FALSE)</f>
        <v>90.796992481203006</v>
      </c>
      <c r="J53" t="b">
        <f>VLOOKUP($C53, Egli_UPEC_metadata_provided!$A$2:$M$826, 9, FALSE)</f>
        <v>0</v>
      </c>
      <c r="K53">
        <f>VLOOKUP($C53, Egli_UPEC_metadata_provided!$A$2:$M$826, 10, FALSE)</f>
        <v>0</v>
      </c>
      <c r="L53" t="str">
        <f>VLOOKUP($C53, Egli_UPEC_metadata_provided!$A$2:$M$826, 11, FALSE)</f>
        <v>invasive</v>
      </c>
      <c r="M53">
        <f>VLOOKUP($C53, Egli_UPEC_metadata_provided!$A$2:$M$826, 12, FALSE)</f>
        <v>0</v>
      </c>
      <c r="N53">
        <f>VLOOKUP($C53, Egli_UPEC_metadata_provided!$A$2:$M$826, 13, FALSE)</f>
        <v>0</v>
      </c>
      <c r="O53">
        <f>VLOOKUP($C53, Egli_UPEC_metadata_provided!$A$2:$N$826, 14, FALSE)</f>
        <v>0</v>
      </c>
    </row>
    <row r="54" spans="1:15" x14ac:dyDescent="0.2">
      <c r="A54" t="s">
        <v>183</v>
      </c>
      <c r="B54" t="s">
        <v>3417</v>
      </c>
      <c r="C54" t="s">
        <v>3417</v>
      </c>
      <c r="D54">
        <f>VLOOKUP($C54, Egli_UPEC_metadata_provided!$A$2:$M$826, 3, FALSE)</f>
        <v>2018</v>
      </c>
      <c r="E54" t="str">
        <f>VLOOKUP($C54, Egli_UPEC_metadata_provided!$A$2:$M$826, 4, FALSE)</f>
        <v>D1</v>
      </c>
      <c r="F54" t="str">
        <f>VLOOKUP($C54, Egli_UPEC_metadata_provided!$A$2:$M$826, 5, FALSE)</f>
        <v>m</v>
      </c>
      <c r="G54">
        <f>VLOOKUP($C54, Egli_UPEC_metadata_provided!$A$2:$M$826, 6, FALSE)</f>
        <v>0</v>
      </c>
      <c r="H54">
        <f>VLOOKUP($C54, Egli_UPEC_metadata_provided!$A$2:$M$826, 7, FALSE)</f>
        <v>0</v>
      </c>
      <c r="I54">
        <f>VLOOKUP($C54, Egli_UPEC_metadata_provided!$A$2:$M$826, 8, FALSE)</f>
        <v>69.383458646616504</v>
      </c>
      <c r="J54" t="b">
        <f>VLOOKUP($C54, Egli_UPEC_metadata_provided!$A$2:$M$826, 9, FALSE)</f>
        <v>1</v>
      </c>
      <c r="K54">
        <f>VLOOKUP($C54, Egli_UPEC_metadata_provided!$A$2:$M$826, 10, FALSE)</f>
        <v>0</v>
      </c>
      <c r="L54" t="str">
        <f>VLOOKUP($C54, Egli_UPEC_metadata_provided!$A$2:$M$826, 11, FALSE)</f>
        <v>invasive</v>
      </c>
      <c r="M54">
        <f>VLOOKUP($C54, Egli_UPEC_metadata_provided!$A$2:$M$826, 12, FALSE)</f>
        <v>0</v>
      </c>
      <c r="N54">
        <f>VLOOKUP($C54, Egli_UPEC_metadata_provided!$A$2:$M$826, 13, FALSE)</f>
        <v>0</v>
      </c>
      <c r="O54">
        <f>VLOOKUP($C54, Egli_UPEC_metadata_provided!$A$2:$N$826, 14, FALSE)</f>
        <v>1</v>
      </c>
    </row>
    <row r="55" spans="1:15" x14ac:dyDescent="0.2">
      <c r="A55" t="s">
        <v>185</v>
      </c>
      <c r="B55" t="s">
        <v>3419</v>
      </c>
      <c r="C55" t="s">
        <v>3419</v>
      </c>
      <c r="D55">
        <f>VLOOKUP($C55, Egli_UPEC_metadata_provided!$A$2:$M$826, 3, FALSE)</f>
        <v>2018</v>
      </c>
      <c r="E55" t="str">
        <f>VLOOKUP($C55, Egli_UPEC_metadata_provided!$A$2:$M$826, 4, FALSE)</f>
        <v>B2-1</v>
      </c>
      <c r="F55" t="str">
        <f>VLOOKUP($C55, Egli_UPEC_metadata_provided!$A$2:$M$826, 5, FALSE)</f>
        <v>w</v>
      </c>
      <c r="G55">
        <f>VLOOKUP($C55, Egli_UPEC_metadata_provided!$A$2:$M$826, 6, FALSE)</f>
        <v>0</v>
      </c>
      <c r="H55">
        <f>VLOOKUP($C55, Egli_UPEC_metadata_provided!$A$2:$M$826, 7, FALSE)</f>
        <v>1</v>
      </c>
      <c r="I55">
        <f>VLOOKUP($C55, Egli_UPEC_metadata_provided!$A$2:$M$826, 8, FALSE)</f>
        <v>87.100478468899496</v>
      </c>
      <c r="J55" t="b">
        <f>VLOOKUP($C55, Egli_UPEC_metadata_provided!$A$2:$M$826, 9, FALSE)</f>
        <v>0</v>
      </c>
      <c r="K55">
        <f>VLOOKUP($C55, Egli_UPEC_metadata_provided!$A$2:$M$826, 10, FALSE)</f>
        <v>0</v>
      </c>
      <c r="L55" t="str">
        <f>VLOOKUP($C55, Egli_UPEC_metadata_provided!$A$2:$M$826, 11, FALSE)</f>
        <v>invasive</v>
      </c>
      <c r="M55">
        <f>VLOOKUP($C55, Egli_UPEC_metadata_provided!$A$2:$M$826, 12, FALSE)</f>
        <v>0</v>
      </c>
      <c r="N55">
        <f>VLOOKUP($C55, Egli_UPEC_metadata_provided!$A$2:$M$826, 13, FALSE)</f>
        <v>0</v>
      </c>
      <c r="O55">
        <f>VLOOKUP($C55, Egli_UPEC_metadata_provided!$A$2:$N$826, 14, FALSE)</f>
        <v>0</v>
      </c>
    </row>
    <row r="56" spans="1:15" x14ac:dyDescent="0.2">
      <c r="A56" t="s">
        <v>186</v>
      </c>
      <c r="B56" t="s">
        <v>3420</v>
      </c>
      <c r="C56" t="s">
        <v>3420</v>
      </c>
      <c r="D56">
        <f>VLOOKUP($C56, Egli_UPEC_metadata_provided!$A$2:$M$826, 3, FALSE)</f>
        <v>2018</v>
      </c>
      <c r="E56" t="str">
        <f>VLOOKUP($C56, Egli_UPEC_metadata_provided!$A$2:$M$826, 4, FALSE)</f>
        <v>B2-2</v>
      </c>
      <c r="F56" t="str">
        <f>VLOOKUP($C56, Egli_UPEC_metadata_provided!$A$2:$M$826, 5, FALSE)</f>
        <v>w</v>
      </c>
      <c r="G56">
        <f>VLOOKUP($C56, Egli_UPEC_metadata_provided!$A$2:$M$826, 6, FALSE)</f>
        <v>0</v>
      </c>
      <c r="H56">
        <f>VLOOKUP($C56, Egli_UPEC_metadata_provided!$A$2:$M$826, 7, FALSE)</f>
        <v>0</v>
      </c>
      <c r="I56">
        <f>VLOOKUP($C56, Egli_UPEC_metadata_provided!$A$2:$M$826, 8, FALSE)</f>
        <v>82.939166097060806</v>
      </c>
      <c r="J56" t="b">
        <f>VLOOKUP($C56, Egli_UPEC_metadata_provided!$A$2:$M$826, 9, FALSE)</f>
        <v>1</v>
      </c>
      <c r="K56" t="str">
        <f>VLOOKUP($C56, Egli_UPEC_metadata_provided!$A$2:$M$826, 10, FALSE)</f>
        <v>NA</v>
      </c>
      <c r="L56" t="str">
        <f>VLOOKUP($C56, Egli_UPEC_metadata_provided!$A$2:$M$826, 11, FALSE)</f>
        <v>invasive</v>
      </c>
      <c r="M56">
        <f>VLOOKUP($C56, Egli_UPEC_metadata_provided!$A$2:$M$826, 12, FALSE)</f>
        <v>0</v>
      </c>
      <c r="N56">
        <f>VLOOKUP($C56, Egli_UPEC_metadata_provided!$A$2:$M$826, 13, FALSE)</f>
        <v>0</v>
      </c>
      <c r="O56">
        <f>VLOOKUP($C56, Egli_UPEC_metadata_provided!$A$2:$N$826, 14, FALSE)</f>
        <v>1</v>
      </c>
    </row>
    <row r="57" spans="1:15" x14ac:dyDescent="0.2">
      <c r="A57" t="s">
        <v>187</v>
      </c>
      <c r="B57" t="s">
        <v>3421</v>
      </c>
      <c r="C57" t="s">
        <v>3421</v>
      </c>
      <c r="D57">
        <f>VLOOKUP($C57, Egli_UPEC_metadata_provided!$A$2:$M$826, 3, FALSE)</f>
        <v>2018</v>
      </c>
      <c r="E57" t="str">
        <f>VLOOKUP($C57, Egli_UPEC_metadata_provided!$A$2:$M$826, 4, FALSE)</f>
        <v>B2-1</v>
      </c>
      <c r="F57" t="str">
        <f>VLOOKUP($C57, Egli_UPEC_metadata_provided!$A$2:$M$826, 5, FALSE)</f>
        <v>w</v>
      </c>
      <c r="G57">
        <f>VLOOKUP($C57, Egli_UPEC_metadata_provided!$A$2:$M$826, 6, FALSE)</f>
        <v>0</v>
      </c>
      <c r="H57">
        <f>VLOOKUP($C57, Egli_UPEC_metadata_provided!$A$2:$M$826, 7, FALSE)</f>
        <v>0</v>
      </c>
      <c r="I57">
        <f>VLOOKUP($C57, Egli_UPEC_metadata_provided!$A$2:$M$826, 8, FALSE)</f>
        <v>55.6172248803828</v>
      </c>
      <c r="J57" t="b">
        <f>VLOOKUP($C57, Egli_UPEC_metadata_provided!$A$2:$M$826, 9, FALSE)</f>
        <v>0</v>
      </c>
      <c r="K57">
        <f>VLOOKUP($C57, Egli_UPEC_metadata_provided!$A$2:$M$826, 10, FALSE)</f>
        <v>0</v>
      </c>
      <c r="L57" t="str">
        <f>VLOOKUP($C57, Egli_UPEC_metadata_provided!$A$2:$M$826, 11, FALSE)</f>
        <v>invasive</v>
      </c>
      <c r="M57">
        <f>VLOOKUP($C57, Egli_UPEC_metadata_provided!$A$2:$M$826, 12, FALSE)</f>
        <v>0</v>
      </c>
      <c r="N57">
        <f>VLOOKUP($C57, Egli_UPEC_metadata_provided!$A$2:$M$826, 13, FALSE)</f>
        <v>0</v>
      </c>
      <c r="O57">
        <f>VLOOKUP($C57, Egli_UPEC_metadata_provided!$A$2:$N$826, 14, FALSE)</f>
        <v>1</v>
      </c>
    </row>
    <row r="58" spans="1:15" x14ac:dyDescent="0.2">
      <c r="A58" t="s">
        <v>188</v>
      </c>
      <c r="B58" t="s">
        <v>3422</v>
      </c>
      <c r="C58" t="s">
        <v>3422</v>
      </c>
      <c r="D58">
        <f>VLOOKUP($C58, Egli_UPEC_metadata_provided!$A$2:$M$826, 3, FALSE)</f>
        <v>2018</v>
      </c>
      <c r="E58" t="str">
        <f>VLOOKUP($C58, Egli_UPEC_metadata_provided!$A$2:$M$826, 4, FALSE)</f>
        <v>B2-1</v>
      </c>
      <c r="F58" t="str">
        <f>VLOOKUP($C58, Egli_UPEC_metadata_provided!$A$2:$M$826, 5, FALSE)</f>
        <v>m</v>
      </c>
      <c r="G58">
        <f>VLOOKUP($C58, Egli_UPEC_metadata_provided!$A$2:$M$826, 6, FALSE)</f>
        <v>0</v>
      </c>
      <c r="H58">
        <f>VLOOKUP($C58, Egli_UPEC_metadata_provided!$A$2:$M$826, 7, FALSE)</f>
        <v>0</v>
      </c>
      <c r="I58">
        <f>VLOOKUP($C58, Egli_UPEC_metadata_provided!$A$2:$M$826, 8, FALSE)</f>
        <v>79.967190704032802</v>
      </c>
      <c r="J58" t="b">
        <f>VLOOKUP($C58, Egli_UPEC_metadata_provided!$A$2:$M$826, 9, FALSE)</f>
        <v>0</v>
      </c>
      <c r="K58">
        <f>VLOOKUP($C58, Egli_UPEC_metadata_provided!$A$2:$M$826, 10, FALSE)</f>
        <v>0</v>
      </c>
      <c r="L58" t="str">
        <f>VLOOKUP($C58, Egli_UPEC_metadata_provided!$A$2:$M$826, 11, FALSE)</f>
        <v>invasive</v>
      </c>
      <c r="M58">
        <f>VLOOKUP($C58, Egli_UPEC_metadata_provided!$A$2:$M$826, 12, FALSE)</f>
        <v>1</v>
      </c>
      <c r="N58">
        <f>VLOOKUP($C58, Egli_UPEC_metadata_provided!$A$2:$M$826, 13, FALSE)</f>
        <v>0</v>
      </c>
      <c r="O58">
        <f>VLOOKUP($C58, Egli_UPEC_metadata_provided!$A$2:$N$826, 14, FALSE)</f>
        <v>0</v>
      </c>
    </row>
    <row r="59" spans="1:15" x14ac:dyDescent="0.2">
      <c r="A59" t="s">
        <v>189</v>
      </c>
      <c r="B59" t="s">
        <v>3423</v>
      </c>
      <c r="C59" t="s">
        <v>3423</v>
      </c>
      <c r="D59">
        <f>VLOOKUP($C59, Egli_UPEC_metadata_provided!$A$2:$M$826, 3, FALSE)</f>
        <v>2018</v>
      </c>
      <c r="E59" t="str">
        <f>VLOOKUP($C59, Egli_UPEC_metadata_provided!$A$2:$M$826, 4, FALSE)</f>
        <v>B2-1</v>
      </c>
      <c r="F59" t="str">
        <f>VLOOKUP($C59, Egli_UPEC_metadata_provided!$A$2:$M$826, 5, FALSE)</f>
        <v>m</v>
      </c>
      <c r="G59">
        <f>VLOOKUP($C59, Egli_UPEC_metadata_provided!$A$2:$M$826, 6, FALSE)</f>
        <v>0</v>
      </c>
      <c r="H59">
        <f>VLOOKUP($C59, Egli_UPEC_metadata_provided!$A$2:$M$826, 7, FALSE)</f>
        <v>0</v>
      </c>
      <c r="I59">
        <f>VLOOKUP($C59, Egli_UPEC_metadata_provided!$A$2:$M$826, 8, FALSE)</f>
        <v>60.716336295283703</v>
      </c>
      <c r="J59" t="b">
        <f>VLOOKUP($C59, Egli_UPEC_metadata_provided!$A$2:$M$826, 9, FALSE)</f>
        <v>0</v>
      </c>
      <c r="K59">
        <f>VLOOKUP($C59, Egli_UPEC_metadata_provided!$A$2:$M$826, 10, FALSE)</f>
        <v>0</v>
      </c>
      <c r="L59" t="str">
        <f>VLOOKUP($C59, Egli_UPEC_metadata_provided!$A$2:$M$826, 11, FALSE)</f>
        <v>invasive</v>
      </c>
      <c r="M59">
        <f>VLOOKUP($C59, Egli_UPEC_metadata_provided!$A$2:$M$826, 12, FALSE)</f>
        <v>0</v>
      </c>
      <c r="N59">
        <f>VLOOKUP($C59, Egli_UPEC_metadata_provided!$A$2:$M$826, 13, FALSE)</f>
        <v>0</v>
      </c>
      <c r="O59">
        <f>VLOOKUP($C59, Egli_UPEC_metadata_provided!$A$2:$N$826, 14, FALSE)</f>
        <v>0</v>
      </c>
    </row>
    <row r="60" spans="1:15" x14ac:dyDescent="0.2">
      <c r="A60" t="s">
        <v>190</v>
      </c>
      <c r="B60" t="s">
        <v>3424</v>
      </c>
      <c r="C60" t="s">
        <v>3424</v>
      </c>
      <c r="D60">
        <f>VLOOKUP($C60, Egli_UPEC_metadata_provided!$A$2:$M$826, 3, FALSE)</f>
        <v>2018</v>
      </c>
      <c r="E60" t="str">
        <f>VLOOKUP($C60, Egli_UPEC_metadata_provided!$A$2:$M$826, 4, FALSE)</f>
        <v>B2-1</v>
      </c>
      <c r="F60" t="str">
        <f>VLOOKUP($C60, Egli_UPEC_metadata_provided!$A$2:$M$826, 5, FALSE)</f>
        <v>w</v>
      </c>
      <c r="G60">
        <f>VLOOKUP($C60, Egli_UPEC_metadata_provided!$A$2:$M$826, 6, FALSE)</f>
        <v>0</v>
      </c>
      <c r="H60">
        <f>VLOOKUP($C60, Egli_UPEC_metadata_provided!$A$2:$M$826, 7, FALSE)</f>
        <v>0</v>
      </c>
      <c r="I60">
        <f>VLOOKUP($C60, Egli_UPEC_metadata_provided!$A$2:$M$826, 8, FALSE)</f>
        <v>82.337662337662294</v>
      </c>
      <c r="J60" t="b">
        <f>VLOOKUP($C60, Egli_UPEC_metadata_provided!$A$2:$M$826, 9, FALSE)</f>
        <v>1</v>
      </c>
      <c r="K60">
        <f>VLOOKUP($C60, Egli_UPEC_metadata_provided!$A$2:$M$826, 10, FALSE)</f>
        <v>0</v>
      </c>
      <c r="L60" t="str">
        <f>VLOOKUP($C60, Egli_UPEC_metadata_provided!$A$2:$M$826, 11, FALSE)</f>
        <v>invasive</v>
      </c>
      <c r="M60">
        <f>VLOOKUP($C60, Egli_UPEC_metadata_provided!$A$2:$M$826, 12, FALSE)</f>
        <v>0</v>
      </c>
      <c r="N60">
        <f>VLOOKUP($C60, Egli_UPEC_metadata_provided!$A$2:$M$826, 13, FALSE)</f>
        <v>0</v>
      </c>
      <c r="O60">
        <f>VLOOKUP($C60, Egli_UPEC_metadata_provided!$A$2:$N$826, 14, FALSE)</f>
        <v>1</v>
      </c>
    </row>
    <row r="61" spans="1:15" x14ac:dyDescent="0.2">
      <c r="A61" t="s">
        <v>193</v>
      </c>
      <c r="B61" t="s">
        <v>3427</v>
      </c>
      <c r="C61" t="s">
        <v>3427</v>
      </c>
      <c r="D61">
        <f>VLOOKUP($C61, Egli_UPEC_metadata_provided!$A$2:$M$826, 3, FALSE)</f>
        <v>2018</v>
      </c>
      <c r="E61" t="str">
        <f>VLOOKUP($C61, Egli_UPEC_metadata_provided!$A$2:$M$826, 4, FALSE)</f>
        <v>B1</v>
      </c>
      <c r="F61" t="str">
        <f>VLOOKUP($C61, Egli_UPEC_metadata_provided!$A$2:$M$826, 5, FALSE)</f>
        <v>m</v>
      </c>
      <c r="G61">
        <f>VLOOKUP($C61, Egli_UPEC_metadata_provided!$A$2:$M$826, 6, FALSE)</f>
        <v>1</v>
      </c>
      <c r="H61">
        <f>VLOOKUP($C61, Egli_UPEC_metadata_provided!$A$2:$M$826, 7, FALSE)</f>
        <v>3</v>
      </c>
      <c r="I61">
        <f>VLOOKUP($C61, Egli_UPEC_metadata_provided!$A$2:$M$826, 8, FALSE)</f>
        <v>66.4688995215311</v>
      </c>
      <c r="J61" t="b">
        <f>VLOOKUP($C61, Egli_UPEC_metadata_provided!$A$2:$M$826, 9, FALSE)</f>
        <v>0</v>
      </c>
      <c r="K61" t="str">
        <f>VLOOKUP($C61, Egli_UPEC_metadata_provided!$A$2:$M$826, 10, FALSE)</f>
        <v>NA</v>
      </c>
      <c r="L61" t="str">
        <f>VLOOKUP($C61, Egli_UPEC_metadata_provided!$A$2:$M$826, 11, FALSE)</f>
        <v>invasive</v>
      </c>
      <c r="M61">
        <f>VLOOKUP($C61, Egli_UPEC_metadata_provided!$A$2:$M$826, 12, FALSE)</f>
        <v>0</v>
      </c>
      <c r="N61">
        <f>VLOOKUP($C61, Egli_UPEC_metadata_provided!$A$2:$M$826, 13, FALSE)</f>
        <v>0</v>
      </c>
      <c r="O61">
        <f>VLOOKUP($C61, Egli_UPEC_metadata_provided!$A$2:$N$826, 14, FALSE)</f>
        <v>0</v>
      </c>
    </row>
    <row r="62" spans="1:15" x14ac:dyDescent="0.2">
      <c r="A62" t="s">
        <v>194</v>
      </c>
      <c r="B62" t="s">
        <v>3428</v>
      </c>
      <c r="C62" t="s">
        <v>3428</v>
      </c>
      <c r="D62">
        <f>VLOOKUP($C62, Egli_UPEC_metadata_provided!$A$2:$M$826, 3, FALSE)</f>
        <v>2018</v>
      </c>
      <c r="E62" t="str">
        <f>VLOOKUP($C62, Egli_UPEC_metadata_provided!$A$2:$M$826, 4, FALSE)</f>
        <v>C</v>
      </c>
      <c r="F62" t="str">
        <f>VLOOKUP($C62, Egli_UPEC_metadata_provided!$A$2:$M$826, 5, FALSE)</f>
        <v>m</v>
      </c>
      <c r="G62">
        <f>VLOOKUP($C62, Egli_UPEC_metadata_provided!$A$2:$M$826, 6, FALSE)</f>
        <v>0</v>
      </c>
      <c r="H62">
        <f>VLOOKUP($C62, Egli_UPEC_metadata_provided!$A$2:$M$826, 7, FALSE)</f>
        <v>7</v>
      </c>
      <c r="I62">
        <f>VLOOKUP($C62, Egli_UPEC_metadata_provided!$A$2:$M$826, 8, FALSE)</f>
        <v>78.247436773752597</v>
      </c>
      <c r="J62" t="b">
        <f>VLOOKUP($C62, Egli_UPEC_metadata_provided!$A$2:$M$826, 9, FALSE)</f>
        <v>0</v>
      </c>
      <c r="K62">
        <f>VLOOKUP($C62, Egli_UPEC_metadata_provided!$A$2:$M$826, 10, FALSE)</f>
        <v>0</v>
      </c>
      <c r="L62" t="str">
        <f>VLOOKUP($C62, Egli_UPEC_metadata_provided!$A$2:$M$826, 11, FALSE)</f>
        <v>invasive</v>
      </c>
      <c r="M62">
        <f>VLOOKUP($C62, Egli_UPEC_metadata_provided!$A$2:$M$826, 12, FALSE)</f>
        <v>0</v>
      </c>
      <c r="N62">
        <f>VLOOKUP($C62, Egli_UPEC_metadata_provided!$A$2:$M$826, 13, FALSE)</f>
        <v>0</v>
      </c>
      <c r="O62">
        <f>VLOOKUP($C62, Egli_UPEC_metadata_provided!$A$2:$N$826, 14, FALSE)</f>
        <v>1</v>
      </c>
    </row>
    <row r="63" spans="1:15" x14ac:dyDescent="0.2">
      <c r="A63" t="s">
        <v>196</v>
      </c>
      <c r="B63" t="s">
        <v>3430</v>
      </c>
      <c r="C63" t="s">
        <v>3430</v>
      </c>
      <c r="D63">
        <f>VLOOKUP($C63, Egli_UPEC_metadata_provided!$A$2:$M$826, 3, FALSE)</f>
        <v>2018</v>
      </c>
      <c r="E63" t="str">
        <f>VLOOKUP($C63, Egli_UPEC_metadata_provided!$A$2:$M$826, 4, FALSE)</f>
        <v>F</v>
      </c>
      <c r="F63" t="str">
        <f>VLOOKUP($C63, Egli_UPEC_metadata_provided!$A$2:$M$826, 5, FALSE)</f>
        <v>w</v>
      </c>
      <c r="G63">
        <f>VLOOKUP($C63, Egli_UPEC_metadata_provided!$A$2:$M$826, 6, FALSE)</f>
        <v>0</v>
      </c>
      <c r="H63">
        <f>VLOOKUP($C63, Egli_UPEC_metadata_provided!$A$2:$M$826, 7, FALSE)</f>
        <v>2</v>
      </c>
      <c r="I63">
        <f>VLOOKUP($C63, Egli_UPEC_metadata_provided!$A$2:$M$826, 8, FALSE)</f>
        <v>95.617224880382807</v>
      </c>
      <c r="J63" t="b">
        <f>VLOOKUP($C63, Egli_UPEC_metadata_provided!$A$2:$M$826, 9, FALSE)</f>
        <v>1</v>
      </c>
      <c r="K63">
        <f>VLOOKUP($C63, Egli_UPEC_metadata_provided!$A$2:$M$826, 10, FALSE)</f>
        <v>0</v>
      </c>
      <c r="L63" t="str">
        <f>VLOOKUP($C63, Egli_UPEC_metadata_provided!$A$2:$M$826, 11, FALSE)</f>
        <v>invasive</v>
      </c>
      <c r="M63">
        <f>VLOOKUP($C63, Egli_UPEC_metadata_provided!$A$2:$M$826, 12, FALSE)</f>
        <v>0</v>
      </c>
      <c r="N63">
        <f>VLOOKUP($C63, Egli_UPEC_metadata_provided!$A$2:$M$826, 13, FALSE)</f>
        <v>0</v>
      </c>
      <c r="O63">
        <f>VLOOKUP($C63, Egli_UPEC_metadata_provided!$A$2:$N$826, 14, FALSE)</f>
        <v>0</v>
      </c>
    </row>
    <row r="64" spans="1:15" x14ac:dyDescent="0.2">
      <c r="A64" t="s">
        <v>197</v>
      </c>
      <c r="B64" t="s">
        <v>3431</v>
      </c>
      <c r="C64" t="s">
        <v>3431</v>
      </c>
      <c r="D64">
        <f>VLOOKUP($C64, Egli_UPEC_metadata_provided!$A$2:$M$826, 3, FALSE)</f>
        <v>2018</v>
      </c>
      <c r="E64" t="str">
        <f>VLOOKUP($C64, Egli_UPEC_metadata_provided!$A$2:$M$826, 4, FALSE)</f>
        <v>B1</v>
      </c>
      <c r="F64" t="str">
        <f>VLOOKUP($C64, Egli_UPEC_metadata_provided!$A$2:$M$826, 5, FALSE)</f>
        <v>w</v>
      </c>
      <c r="G64">
        <f>VLOOKUP($C64, Egli_UPEC_metadata_provided!$A$2:$M$826, 6, FALSE)</f>
        <v>1</v>
      </c>
      <c r="H64">
        <f>VLOOKUP($C64, Egli_UPEC_metadata_provided!$A$2:$M$826, 7, FALSE)</f>
        <v>2</v>
      </c>
      <c r="I64">
        <f>VLOOKUP($C64, Egli_UPEC_metadata_provided!$A$2:$M$826, 8, FALSE)</f>
        <v>62.649350649350701</v>
      </c>
      <c r="J64" t="b">
        <f>VLOOKUP($C64, Egli_UPEC_metadata_provided!$A$2:$M$826, 9, FALSE)</f>
        <v>0</v>
      </c>
      <c r="K64">
        <f>VLOOKUP($C64, Egli_UPEC_metadata_provided!$A$2:$M$826, 10, FALSE)</f>
        <v>0</v>
      </c>
      <c r="L64" t="str">
        <f>VLOOKUP($C64, Egli_UPEC_metadata_provided!$A$2:$M$826, 11, FALSE)</f>
        <v>invasive</v>
      </c>
      <c r="M64">
        <f>VLOOKUP($C64, Egli_UPEC_metadata_provided!$A$2:$M$826, 12, FALSE)</f>
        <v>0</v>
      </c>
      <c r="N64">
        <f>VLOOKUP($C64, Egli_UPEC_metadata_provided!$A$2:$M$826, 13, FALSE)</f>
        <v>0</v>
      </c>
      <c r="O64">
        <f>VLOOKUP($C64, Egli_UPEC_metadata_provided!$A$2:$N$826, 14, FALSE)</f>
        <v>0</v>
      </c>
    </row>
    <row r="65" spans="1:15" x14ac:dyDescent="0.2">
      <c r="A65" t="s">
        <v>199</v>
      </c>
      <c r="B65" t="s">
        <v>3433</v>
      </c>
      <c r="C65" t="s">
        <v>3433</v>
      </c>
      <c r="D65">
        <f>VLOOKUP($C65, Egli_UPEC_metadata_provided!$A$2:$M$826, 3, FALSE)</f>
        <v>2018</v>
      </c>
      <c r="E65" t="str">
        <f>VLOOKUP($C65, Egli_UPEC_metadata_provided!$A$2:$M$826, 4, FALSE)</f>
        <v>B1</v>
      </c>
      <c r="F65" t="str">
        <f>VLOOKUP($C65, Egli_UPEC_metadata_provided!$A$2:$M$826, 5, FALSE)</f>
        <v>w</v>
      </c>
      <c r="G65">
        <f>VLOOKUP($C65, Egli_UPEC_metadata_provided!$A$2:$M$826, 6, FALSE)</f>
        <v>0</v>
      </c>
      <c r="H65">
        <f>VLOOKUP($C65, Egli_UPEC_metadata_provided!$A$2:$M$826, 7, FALSE)</f>
        <v>1</v>
      </c>
      <c r="I65">
        <f>VLOOKUP($C65, Egli_UPEC_metadata_provided!$A$2:$M$826, 8, FALSE)</f>
        <v>59.764866712235097</v>
      </c>
      <c r="J65" t="b">
        <f>VLOOKUP($C65, Egli_UPEC_metadata_provided!$A$2:$M$826, 9, FALSE)</f>
        <v>0</v>
      </c>
      <c r="K65" t="str">
        <f>VLOOKUP($C65, Egli_UPEC_metadata_provided!$A$2:$M$826, 10, FALSE)</f>
        <v>NA</v>
      </c>
      <c r="L65" t="str">
        <f>VLOOKUP($C65, Egli_UPEC_metadata_provided!$A$2:$M$826, 11, FALSE)</f>
        <v>invasive</v>
      </c>
      <c r="M65">
        <f>VLOOKUP($C65, Egli_UPEC_metadata_provided!$A$2:$M$826, 12, FALSE)</f>
        <v>0</v>
      </c>
      <c r="N65">
        <f>VLOOKUP($C65, Egli_UPEC_metadata_provided!$A$2:$M$826, 13, FALSE)</f>
        <v>0</v>
      </c>
      <c r="O65">
        <f>VLOOKUP($C65, Egli_UPEC_metadata_provided!$A$2:$N$826, 14, FALSE)</f>
        <v>0</v>
      </c>
    </row>
    <row r="66" spans="1:15" x14ac:dyDescent="0.2">
      <c r="A66" t="s">
        <v>200</v>
      </c>
      <c r="B66" t="s">
        <v>3434</v>
      </c>
      <c r="C66" t="s">
        <v>3434</v>
      </c>
      <c r="D66">
        <f>VLOOKUP($C66, Egli_UPEC_metadata_provided!$A$2:$M$826, 3, FALSE)</f>
        <v>2018</v>
      </c>
      <c r="E66" t="str">
        <f>VLOOKUP($C66, Egli_UPEC_metadata_provided!$A$2:$M$826, 4, FALSE)</f>
        <v>F</v>
      </c>
      <c r="F66" t="str">
        <f>VLOOKUP($C66, Egli_UPEC_metadata_provided!$A$2:$M$826, 5, FALSE)</f>
        <v>w</v>
      </c>
      <c r="G66">
        <f>VLOOKUP($C66, Egli_UPEC_metadata_provided!$A$2:$M$826, 6, FALSE)</f>
        <v>0</v>
      </c>
      <c r="H66">
        <f>VLOOKUP($C66, Egli_UPEC_metadata_provided!$A$2:$M$826, 7, FALSE)</f>
        <v>0</v>
      </c>
      <c r="I66">
        <f>VLOOKUP($C66, Egli_UPEC_metadata_provided!$A$2:$M$826, 8, FALSE)</f>
        <v>78.930963773068996</v>
      </c>
      <c r="J66" t="b">
        <f>VLOOKUP($C66, Egli_UPEC_metadata_provided!$A$2:$M$826, 9, FALSE)</f>
        <v>1</v>
      </c>
      <c r="K66">
        <f>VLOOKUP($C66, Egli_UPEC_metadata_provided!$A$2:$M$826, 10, FALSE)</f>
        <v>0</v>
      </c>
      <c r="L66" t="str">
        <f>VLOOKUP($C66, Egli_UPEC_metadata_provided!$A$2:$M$826, 11, FALSE)</f>
        <v>invasive</v>
      </c>
      <c r="M66">
        <f>VLOOKUP($C66, Egli_UPEC_metadata_provided!$A$2:$M$826, 12, FALSE)</f>
        <v>0</v>
      </c>
      <c r="N66">
        <f>VLOOKUP($C66, Egli_UPEC_metadata_provided!$A$2:$M$826, 13, FALSE)</f>
        <v>0</v>
      </c>
      <c r="O66">
        <f>VLOOKUP($C66, Egli_UPEC_metadata_provided!$A$2:$N$826, 14, FALSE)</f>
        <v>0</v>
      </c>
    </row>
    <row r="67" spans="1:15" x14ac:dyDescent="0.2">
      <c r="A67" t="s">
        <v>203</v>
      </c>
      <c r="B67" t="s">
        <v>3437</v>
      </c>
      <c r="C67" t="s">
        <v>3437</v>
      </c>
      <c r="D67">
        <f>VLOOKUP($C67, Egli_UPEC_metadata_provided!$A$2:$M$826, 3, FALSE)</f>
        <v>2018</v>
      </c>
      <c r="E67" t="str">
        <f>VLOOKUP($C67, Egli_UPEC_metadata_provided!$A$2:$M$826, 4, FALSE)</f>
        <v>B2-1</v>
      </c>
      <c r="F67" t="str">
        <f>VLOOKUP($C67, Egli_UPEC_metadata_provided!$A$2:$M$826, 5, FALSE)</f>
        <v>m</v>
      </c>
      <c r="G67">
        <f>VLOOKUP($C67, Egli_UPEC_metadata_provided!$A$2:$M$826, 6, FALSE)</f>
        <v>0</v>
      </c>
      <c r="H67">
        <f>VLOOKUP($C67, Egli_UPEC_metadata_provided!$A$2:$M$826, 7, FALSE)</f>
        <v>3</v>
      </c>
      <c r="I67">
        <f>VLOOKUP($C67, Egli_UPEC_metadata_provided!$A$2:$M$826, 8, FALSE)</f>
        <v>36.790157211209802</v>
      </c>
      <c r="J67" t="b">
        <f>VLOOKUP($C67, Egli_UPEC_metadata_provided!$A$2:$M$826, 9, FALSE)</f>
        <v>0</v>
      </c>
      <c r="K67">
        <f>VLOOKUP($C67, Egli_UPEC_metadata_provided!$A$2:$M$826, 10, FALSE)</f>
        <v>0</v>
      </c>
      <c r="L67" t="str">
        <f>VLOOKUP($C67, Egli_UPEC_metadata_provided!$A$2:$M$826, 11, FALSE)</f>
        <v>invasive</v>
      </c>
      <c r="M67">
        <f>VLOOKUP($C67, Egli_UPEC_metadata_provided!$A$2:$M$826, 12, FALSE)</f>
        <v>1</v>
      </c>
      <c r="N67">
        <f>VLOOKUP($C67, Egli_UPEC_metadata_provided!$A$2:$M$826, 13, FALSE)</f>
        <v>0</v>
      </c>
      <c r="O67">
        <f>VLOOKUP($C67, Egli_UPEC_metadata_provided!$A$2:$N$826, 14, FALSE)</f>
        <v>0</v>
      </c>
    </row>
    <row r="68" spans="1:15" x14ac:dyDescent="0.2">
      <c r="A68" t="s">
        <v>204</v>
      </c>
      <c r="B68" t="s">
        <v>3438</v>
      </c>
      <c r="C68" t="s">
        <v>3438</v>
      </c>
      <c r="D68">
        <f>VLOOKUP($C68, Egli_UPEC_metadata_provided!$A$2:$M$826, 3, FALSE)</f>
        <v>2018</v>
      </c>
      <c r="E68" t="str">
        <f>VLOOKUP($C68, Egli_UPEC_metadata_provided!$A$2:$M$826, 4, FALSE)</f>
        <v>B1</v>
      </c>
      <c r="F68" t="str">
        <f>VLOOKUP($C68, Egli_UPEC_metadata_provided!$A$2:$M$826, 5, FALSE)</f>
        <v>m</v>
      </c>
      <c r="G68">
        <f>VLOOKUP($C68, Egli_UPEC_metadata_provided!$A$2:$M$826, 6, FALSE)</f>
        <v>0</v>
      </c>
      <c r="H68">
        <f>VLOOKUP($C68, Egli_UPEC_metadata_provided!$A$2:$M$826, 7, FALSE)</f>
        <v>0</v>
      </c>
      <c r="I68">
        <f>VLOOKUP($C68, Egli_UPEC_metadata_provided!$A$2:$M$826, 8, FALSE)</f>
        <v>57.304169514695801</v>
      </c>
      <c r="J68" t="b">
        <f>VLOOKUP($C68, Egli_UPEC_metadata_provided!$A$2:$M$826, 9, FALSE)</f>
        <v>0</v>
      </c>
      <c r="K68">
        <f>VLOOKUP($C68, Egli_UPEC_metadata_provided!$A$2:$M$826, 10, FALSE)</f>
        <v>0</v>
      </c>
      <c r="L68" t="str">
        <f>VLOOKUP($C68, Egli_UPEC_metadata_provided!$A$2:$M$826, 11, FALSE)</f>
        <v>invasive</v>
      </c>
      <c r="M68">
        <f>VLOOKUP($C68, Egli_UPEC_metadata_provided!$A$2:$M$826, 12, FALSE)</f>
        <v>0</v>
      </c>
      <c r="N68">
        <f>VLOOKUP($C68, Egli_UPEC_metadata_provided!$A$2:$M$826, 13, FALSE)</f>
        <v>0</v>
      </c>
      <c r="O68">
        <f>VLOOKUP($C68, Egli_UPEC_metadata_provided!$A$2:$N$826, 14, FALSE)</f>
        <v>1</v>
      </c>
    </row>
    <row r="69" spans="1:15" x14ac:dyDescent="0.2">
      <c r="A69" t="s">
        <v>205</v>
      </c>
      <c r="B69" t="s">
        <v>3439</v>
      </c>
      <c r="C69" t="s">
        <v>3439</v>
      </c>
      <c r="D69">
        <f>VLOOKUP($C69, Egli_UPEC_metadata_provided!$A$2:$M$826, 3, FALSE)</f>
        <v>2018</v>
      </c>
      <c r="E69" t="str">
        <f>VLOOKUP($C69, Egli_UPEC_metadata_provided!$A$2:$M$826, 4, FALSE)</f>
        <v>B2-1</v>
      </c>
      <c r="F69" t="str">
        <f>VLOOKUP($C69, Egli_UPEC_metadata_provided!$A$2:$M$826, 5, FALSE)</f>
        <v>m</v>
      </c>
      <c r="G69">
        <f>VLOOKUP($C69, Egli_UPEC_metadata_provided!$A$2:$M$826, 6, FALSE)</f>
        <v>0</v>
      </c>
      <c r="H69">
        <f>VLOOKUP($C69, Egli_UPEC_metadata_provided!$A$2:$M$826, 7, FALSE)</f>
        <v>0</v>
      </c>
      <c r="I69">
        <f>VLOOKUP($C69, Egli_UPEC_metadata_provided!$A$2:$M$826, 8, FALSE)</f>
        <v>69.717019822283007</v>
      </c>
      <c r="J69" t="b">
        <f>VLOOKUP($C69, Egli_UPEC_metadata_provided!$A$2:$M$826, 9, FALSE)</f>
        <v>0</v>
      </c>
      <c r="K69">
        <f>VLOOKUP($C69, Egli_UPEC_metadata_provided!$A$2:$M$826, 10, FALSE)</f>
        <v>0</v>
      </c>
      <c r="L69" t="str">
        <f>VLOOKUP($C69, Egli_UPEC_metadata_provided!$A$2:$M$826, 11, FALSE)</f>
        <v>invasive</v>
      </c>
      <c r="M69">
        <f>VLOOKUP($C69, Egli_UPEC_metadata_provided!$A$2:$M$826, 12, FALSE)</f>
        <v>0</v>
      </c>
      <c r="N69">
        <f>VLOOKUP($C69, Egli_UPEC_metadata_provided!$A$2:$M$826, 13, FALSE)</f>
        <v>0</v>
      </c>
      <c r="O69">
        <f>VLOOKUP($C69, Egli_UPEC_metadata_provided!$A$2:$N$826, 14, FALSE)</f>
        <v>1</v>
      </c>
    </row>
    <row r="70" spans="1:15" x14ac:dyDescent="0.2">
      <c r="A70" t="s">
        <v>206</v>
      </c>
      <c r="B70" t="s">
        <v>3440</v>
      </c>
      <c r="C70" t="s">
        <v>3440</v>
      </c>
      <c r="D70">
        <f>VLOOKUP($C70, Egli_UPEC_metadata_provided!$A$2:$M$826, 3, FALSE)</f>
        <v>2018</v>
      </c>
      <c r="E70" t="str">
        <f>VLOOKUP($C70, Egli_UPEC_metadata_provided!$A$2:$M$826, 4, FALSE)</f>
        <v>B1</v>
      </c>
      <c r="F70" t="str">
        <f>VLOOKUP($C70, Egli_UPEC_metadata_provided!$A$2:$M$826, 5, FALSE)</f>
        <v>w</v>
      </c>
      <c r="G70">
        <f>VLOOKUP($C70, Egli_UPEC_metadata_provided!$A$2:$M$826, 6, FALSE)</f>
        <v>0</v>
      </c>
      <c r="H70">
        <f>VLOOKUP($C70, Egli_UPEC_metadata_provided!$A$2:$M$826, 7, FALSE)</f>
        <v>1</v>
      </c>
      <c r="I70">
        <f>VLOOKUP($C70, Egli_UPEC_metadata_provided!$A$2:$M$826, 8, FALSE)</f>
        <v>62.7231715652768</v>
      </c>
      <c r="J70" t="b">
        <f>VLOOKUP($C70, Egli_UPEC_metadata_provided!$A$2:$M$826, 9, FALSE)</f>
        <v>0</v>
      </c>
      <c r="K70">
        <f>VLOOKUP($C70, Egli_UPEC_metadata_provided!$A$2:$M$826, 10, FALSE)</f>
        <v>1</v>
      </c>
      <c r="L70" t="str">
        <f>VLOOKUP($C70, Egli_UPEC_metadata_provided!$A$2:$M$826, 11, FALSE)</f>
        <v>invasive</v>
      </c>
      <c r="M70">
        <f>VLOOKUP($C70, Egli_UPEC_metadata_provided!$A$2:$M$826, 12, FALSE)</f>
        <v>1</v>
      </c>
      <c r="N70">
        <f>VLOOKUP($C70, Egli_UPEC_metadata_provided!$A$2:$M$826, 13, FALSE)</f>
        <v>0</v>
      </c>
      <c r="O70">
        <f>VLOOKUP($C70, Egli_UPEC_metadata_provided!$A$2:$N$826, 14, FALSE)</f>
        <v>1</v>
      </c>
    </row>
    <row r="71" spans="1:15" x14ac:dyDescent="0.2">
      <c r="A71" t="s">
        <v>208</v>
      </c>
      <c r="B71" t="s">
        <v>3442</v>
      </c>
      <c r="C71" t="s">
        <v>3442</v>
      </c>
      <c r="D71">
        <f>VLOOKUP($C71, Egli_UPEC_metadata_provided!$A$2:$M$826, 3, FALSE)</f>
        <v>2018</v>
      </c>
      <c r="E71" t="str">
        <f>VLOOKUP($C71, Egli_UPEC_metadata_provided!$A$2:$M$826, 4, FALSE)</f>
        <v>D3</v>
      </c>
      <c r="F71" t="str">
        <f>VLOOKUP($C71, Egli_UPEC_metadata_provided!$A$2:$M$826, 5, FALSE)</f>
        <v>w</v>
      </c>
      <c r="G71">
        <f>VLOOKUP($C71, Egli_UPEC_metadata_provided!$A$2:$M$826, 6, FALSE)</f>
        <v>0</v>
      </c>
      <c r="H71">
        <f>VLOOKUP($C71, Egli_UPEC_metadata_provided!$A$2:$M$826, 7, FALSE)</f>
        <v>1</v>
      </c>
      <c r="I71">
        <f>VLOOKUP($C71, Egli_UPEC_metadata_provided!$A$2:$M$826, 8, FALSE)</f>
        <v>63.0922761449077</v>
      </c>
      <c r="J71" t="b">
        <f>VLOOKUP($C71, Egli_UPEC_metadata_provided!$A$2:$M$826, 9, FALSE)</f>
        <v>0</v>
      </c>
      <c r="K71">
        <f>VLOOKUP($C71, Egli_UPEC_metadata_provided!$A$2:$M$826, 10, FALSE)</f>
        <v>0</v>
      </c>
      <c r="L71" t="str">
        <f>VLOOKUP($C71, Egli_UPEC_metadata_provided!$A$2:$M$826, 11, FALSE)</f>
        <v>invasive</v>
      </c>
      <c r="M71">
        <f>VLOOKUP($C71, Egli_UPEC_metadata_provided!$A$2:$M$826, 12, FALSE)</f>
        <v>1</v>
      </c>
      <c r="N71">
        <f>VLOOKUP($C71, Egli_UPEC_metadata_provided!$A$2:$M$826, 13, FALSE)</f>
        <v>1</v>
      </c>
      <c r="O71">
        <f>VLOOKUP($C71, Egli_UPEC_metadata_provided!$A$2:$N$826, 14, FALSE)</f>
        <v>0</v>
      </c>
    </row>
    <row r="72" spans="1:15" x14ac:dyDescent="0.2">
      <c r="A72" t="s">
        <v>209</v>
      </c>
      <c r="B72" t="s">
        <v>3443</v>
      </c>
      <c r="C72" t="s">
        <v>3443</v>
      </c>
      <c r="D72">
        <f>VLOOKUP($C72, Egli_UPEC_metadata_provided!$A$2:$M$826, 3, FALSE)</f>
        <v>2018</v>
      </c>
      <c r="E72" t="str">
        <f>VLOOKUP($C72, Egli_UPEC_metadata_provided!$A$2:$M$826, 4, FALSE)</f>
        <v>D1</v>
      </c>
      <c r="F72" t="str">
        <f>VLOOKUP($C72, Egli_UPEC_metadata_provided!$A$2:$M$826, 5, FALSE)</f>
        <v>m</v>
      </c>
      <c r="G72">
        <f>VLOOKUP($C72, Egli_UPEC_metadata_provided!$A$2:$M$826, 6, FALSE)</f>
        <v>0</v>
      </c>
      <c r="H72">
        <f>VLOOKUP($C72, Egli_UPEC_metadata_provided!$A$2:$M$826, 7, FALSE)</f>
        <v>0</v>
      </c>
      <c r="I72">
        <f>VLOOKUP($C72, Egli_UPEC_metadata_provided!$A$2:$M$826, 8, FALSE)</f>
        <v>78.299384825700599</v>
      </c>
      <c r="J72" t="b">
        <f>VLOOKUP($C72, Egli_UPEC_metadata_provided!$A$2:$M$826, 9, FALSE)</f>
        <v>1</v>
      </c>
      <c r="K72">
        <f>VLOOKUP($C72, Egli_UPEC_metadata_provided!$A$2:$M$826, 10, FALSE)</f>
        <v>0</v>
      </c>
      <c r="L72" t="str">
        <f>VLOOKUP($C72, Egli_UPEC_metadata_provided!$A$2:$M$826, 11, FALSE)</f>
        <v>invasive</v>
      </c>
      <c r="M72">
        <f>VLOOKUP($C72, Egli_UPEC_metadata_provided!$A$2:$M$826, 12, FALSE)</f>
        <v>0</v>
      </c>
      <c r="N72">
        <f>VLOOKUP($C72, Egli_UPEC_metadata_provided!$A$2:$M$826, 13, FALSE)</f>
        <v>0</v>
      </c>
      <c r="O72">
        <f>VLOOKUP($C72, Egli_UPEC_metadata_provided!$A$2:$N$826, 14, FALSE)</f>
        <v>1</v>
      </c>
    </row>
    <row r="73" spans="1:15" x14ac:dyDescent="0.2">
      <c r="A73" t="s">
        <v>211</v>
      </c>
      <c r="B73" t="s">
        <v>3445</v>
      </c>
      <c r="C73" t="s">
        <v>3445</v>
      </c>
      <c r="D73">
        <f>VLOOKUP($C73, Egli_UPEC_metadata_provided!$A$2:$M$826, 3, FALSE)</f>
        <v>2018</v>
      </c>
      <c r="E73" t="str">
        <f>VLOOKUP($C73, Egli_UPEC_metadata_provided!$A$2:$M$826, 4, FALSE)</f>
        <v>B1</v>
      </c>
      <c r="F73" t="str">
        <f>VLOOKUP($C73, Egli_UPEC_metadata_provided!$A$2:$M$826, 5, FALSE)</f>
        <v>m</v>
      </c>
      <c r="G73">
        <f>VLOOKUP($C73, Egli_UPEC_metadata_provided!$A$2:$M$826, 6, FALSE)</f>
        <v>1</v>
      </c>
      <c r="H73">
        <f>VLOOKUP($C73, Egli_UPEC_metadata_provided!$A$2:$M$826, 7, FALSE)</f>
        <v>3</v>
      </c>
      <c r="I73">
        <f>VLOOKUP($C73, Egli_UPEC_metadata_provided!$A$2:$M$826, 8, FALSE)</f>
        <v>65.487354750512694</v>
      </c>
      <c r="J73" t="b">
        <f>VLOOKUP($C73, Egli_UPEC_metadata_provided!$A$2:$M$826, 9, FALSE)</f>
        <v>0</v>
      </c>
      <c r="K73">
        <f>VLOOKUP($C73, Egli_UPEC_metadata_provided!$A$2:$M$826, 10, FALSE)</f>
        <v>0</v>
      </c>
      <c r="L73" t="str">
        <f>VLOOKUP($C73, Egli_UPEC_metadata_provided!$A$2:$M$826, 11, FALSE)</f>
        <v>invasive</v>
      </c>
      <c r="M73">
        <f>VLOOKUP($C73, Egli_UPEC_metadata_provided!$A$2:$M$826, 12, FALSE)</f>
        <v>1</v>
      </c>
      <c r="N73">
        <f>VLOOKUP($C73, Egli_UPEC_metadata_provided!$A$2:$M$826, 13, FALSE)</f>
        <v>0</v>
      </c>
      <c r="O73">
        <f>VLOOKUP($C73, Egli_UPEC_metadata_provided!$A$2:$N$826, 14, FALSE)</f>
        <v>0</v>
      </c>
    </row>
    <row r="74" spans="1:15" x14ac:dyDescent="0.2">
      <c r="A74" t="s">
        <v>212</v>
      </c>
      <c r="B74" t="s">
        <v>3446</v>
      </c>
      <c r="C74" t="s">
        <v>3446</v>
      </c>
      <c r="D74">
        <f>VLOOKUP($C74, Egli_UPEC_metadata_provided!$A$2:$M$826, 3, FALSE)</f>
        <v>2018</v>
      </c>
      <c r="E74" t="str">
        <f>VLOOKUP($C74, Egli_UPEC_metadata_provided!$A$2:$M$826, 4, FALSE)</f>
        <v>D1</v>
      </c>
      <c r="F74" t="str">
        <f>VLOOKUP($C74, Egli_UPEC_metadata_provided!$A$2:$M$826, 5, FALSE)</f>
        <v>m</v>
      </c>
      <c r="G74">
        <f>VLOOKUP($C74, Egli_UPEC_metadata_provided!$A$2:$M$826, 6, FALSE)</f>
        <v>0</v>
      </c>
      <c r="H74">
        <f>VLOOKUP($C74, Egli_UPEC_metadata_provided!$A$2:$M$826, 7, FALSE)</f>
        <v>13</v>
      </c>
      <c r="I74">
        <f>VLOOKUP($C74, Egli_UPEC_metadata_provided!$A$2:$M$826, 8, FALSE)</f>
        <v>67.403964456596</v>
      </c>
      <c r="J74" t="b">
        <f>VLOOKUP($C74, Egli_UPEC_metadata_provided!$A$2:$M$826, 9, FALSE)</f>
        <v>0</v>
      </c>
      <c r="K74">
        <f>VLOOKUP($C74, Egli_UPEC_metadata_provided!$A$2:$M$826, 10, FALSE)</f>
        <v>0</v>
      </c>
      <c r="L74" t="str">
        <f>VLOOKUP($C74, Egli_UPEC_metadata_provided!$A$2:$M$826, 11, FALSE)</f>
        <v>invasive</v>
      </c>
      <c r="M74">
        <f>VLOOKUP($C74, Egli_UPEC_metadata_provided!$A$2:$M$826, 12, FALSE)</f>
        <v>1</v>
      </c>
      <c r="N74">
        <f>VLOOKUP($C74, Egli_UPEC_metadata_provided!$A$2:$M$826, 13, FALSE)</f>
        <v>1</v>
      </c>
      <c r="O74">
        <f>VLOOKUP($C74, Egli_UPEC_metadata_provided!$A$2:$N$826, 14, FALSE)</f>
        <v>0</v>
      </c>
    </row>
    <row r="75" spans="1:15" x14ac:dyDescent="0.2">
      <c r="A75" t="s">
        <v>213</v>
      </c>
      <c r="B75" t="s">
        <v>3447</v>
      </c>
      <c r="C75" t="s">
        <v>3447</v>
      </c>
      <c r="D75">
        <f>VLOOKUP($C75, Egli_UPEC_metadata_provided!$A$2:$M$826, 3, FALSE)</f>
        <v>2018</v>
      </c>
      <c r="E75" t="str">
        <f>VLOOKUP($C75, Egli_UPEC_metadata_provided!$A$2:$M$826, 4, FALSE)</f>
        <v>B2-2</v>
      </c>
      <c r="F75" t="str">
        <f>VLOOKUP($C75, Egli_UPEC_metadata_provided!$A$2:$M$826, 5, FALSE)</f>
        <v>m</v>
      </c>
      <c r="G75">
        <f>VLOOKUP($C75, Egli_UPEC_metadata_provided!$A$2:$M$826, 6, FALSE)</f>
        <v>0</v>
      </c>
      <c r="H75">
        <f>VLOOKUP($C75, Egli_UPEC_metadata_provided!$A$2:$M$826, 7, FALSE)</f>
        <v>0</v>
      </c>
      <c r="I75">
        <f>VLOOKUP($C75, Egli_UPEC_metadata_provided!$A$2:$M$826, 8, FALSE)</f>
        <v>80.248803827751203</v>
      </c>
      <c r="J75" t="b">
        <f>VLOOKUP($C75, Egli_UPEC_metadata_provided!$A$2:$M$826, 9, FALSE)</f>
        <v>0</v>
      </c>
      <c r="K75">
        <f>VLOOKUP($C75, Egli_UPEC_metadata_provided!$A$2:$M$826, 10, FALSE)</f>
        <v>0</v>
      </c>
      <c r="L75" t="str">
        <f>VLOOKUP($C75, Egli_UPEC_metadata_provided!$A$2:$M$826, 11, FALSE)</f>
        <v>invasive</v>
      </c>
      <c r="M75">
        <f>VLOOKUP($C75, Egli_UPEC_metadata_provided!$A$2:$M$826, 12, FALSE)</f>
        <v>0</v>
      </c>
      <c r="N75">
        <f>VLOOKUP($C75, Egli_UPEC_metadata_provided!$A$2:$M$826, 13, FALSE)</f>
        <v>0</v>
      </c>
      <c r="O75">
        <f>VLOOKUP($C75, Egli_UPEC_metadata_provided!$A$2:$N$826, 14, FALSE)</f>
        <v>0</v>
      </c>
    </row>
    <row r="76" spans="1:15" x14ac:dyDescent="0.2">
      <c r="A76" t="s">
        <v>214</v>
      </c>
      <c r="B76" t="s">
        <v>4175</v>
      </c>
      <c r="C76" t="s">
        <v>3448</v>
      </c>
      <c r="D76">
        <f>VLOOKUP($C76, Egli_UPEC_metadata_provided!$A$2:$M$826, 3, FALSE)</f>
        <v>2018</v>
      </c>
      <c r="E76" t="str">
        <f>VLOOKUP($C76, Egli_UPEC_metadata_provided!$A$2:$M$826, 4, FALSE)</f>
        <v>F</v>
      </c>
      <c r="F76" t="str">
        <f>VLOOKUP($C76, Egli_UPEC_metadata_provided!$A$2:$M$826, 5, FALSE)</f>
        <v>w</v>
      </c>
      <c r="G76">
        <f>VLOOKUP($C76, Egli_UPEC_metadata_provided!$A$2:$M$826, 6, FALSE)</f>
        <v>0</v>
      </c>
      <c r="H76">
        <f>VLOOKUP($C76, Egli_UPEC_metadata_provided!$A$2:$M$826, 7, FALSE)</f>
        <v>0</v>
      </c>
      <c r="I76">
        <f>VLOOKUP($C76, Egli_UPEC_metadata_provided!$A$2:$M$826, 8, FALSE)</f>
        <v>83.0075187969925</v>
      </c>
      <c r="J76" t="b">
        <f>VLOOKUP($C76, Egli_UPEC_metadata_provided!$A$2:$M$826, 9, FALSE)</f>
        <v>1</v>
      </c>
      <c r="K76">
        <f>VLOOKUP($C76, Egli_UPEC_metadata_provided!$A$2:$M$826, 10, FALSE)</f>
        <v>0</v>
      </c>
      <c r="L76" t="str">
        <f>VLOOKUP($C76, Egli_UPEC_metadata_provided!$A$2:$M$826, 11, FALSE)</f>
        <v>invasive</v>
      </c>
      <c r="M76">
        <f>VLOOKUP($C76, Egli_UPEC_metadata_provided!$A$2:$M$826, 12, FALSE)</f>
        <v>1</v>
      </c>
      <c r="N76">
        <f>VLOOKUP($C76, Egli_UPEC_metadata_provided!$A$2:$M$826, 13, FALSE)</f>
        <v>0</v>
      </c>
      <c r="O76">
        <f>VLOOKUP($C76, Egli_UPEC_metadata_provided!$A$2:$N$826, 14, FALSE)</f>
        <v>1</v>
      </c>
    </row>
    <row r="77" spans="1:15" x14ac:dyDescent="0.2">
      <c r="A77" t="s">
        <v>1269</v>
      </c>
      <c r="B77" t="s">
        <v>4176</v>
      </c>
      <c r="C77" t="s">
        <v>3448</v>
      </c>
      <c r="D77">
        <f>VLOOKUP($C77, Egli_UPEC_metadata_provided!$A$2:$M$826, 3, FALSE)</f>
        <v>2018</v>
      </c>
      <c r="E77" t="str">
        <f>VLOOKUP($C77, Egli_UPEC_metadata_provided!$A$2:$M$826, 4, FALSE)</f>
        <v>F</v>
      </c>
      <c r="F77" t="str">
        <f>VLOOKUP($C77, Egli_UPEC_metadata_provided!$A$2:$M$826, 5, FALSE)</f>
        <v>w</v>
      </c>
      <c r="G77">
        <f>VLOOKUP($C77, Egli_UPEC_metadata_provided!$A$2:$M$826, 6, FALSE)</f>
        <v>0</v>
      </c>
      <c r="H77">
        <f>VLOOKUP($C77, Egli_UPEC_metadata_provided!$A$2:$M$826, 7, FALSE)</f>
        <v>0</v>
      </c>
      <c r="I77">
        <f>VLOOKUP($C77, Egli_UPEC_metadata_provided!$A$2:$M$826, 8, FALSE)</f>
        <v>83.0075187969925</v>
      </c>
      <c r="J77" t="b">
        <f>VLOOKUP($C77, Egli_UPEC_metadata_provided!$A$2:$M$826, 9, FALSE)</f>
        <v>1</v>
      </c>
      <c r="K77">
        <f>VLOOKUP($C77, Egli_UPEC_metadata_provided!$A$2:$M$826, 10, FALSE)</f>
        <v>0</v>
      </c>
      <c r="L77" t="str">
        <f>VLOOKUP($C77, Egli_UPEC_metadata_provided!$A$2:$M$826, 11, FALSE)</f>
        <v>invasive</v>
      </c>
      <c r="M77">
        <f>VLOOKUP($C77, Egli_UPEC_metadata_provided!$A$2:$M$826, 12, FALSE)</f>
        <v>1</v>
      </c>
      <c r="N77">
        <f>VLOOKUP($C77, Egli_UPEC_metadata_provided!$A$2:$M$826, 13, FALSE)</f>
        <v>0</v>
      </c>
      <c r="O77">
        <f>VLOOKUP($C77, Egli_UPEC_metadata_provided!$A$2:$N$826, 14, FALSE)</f>
        <v>1</v>
      </c>
    </row>
    <row r="78" spans="1:15" x14ac:dyDescent="0.2">
      <c r="A78" t="s">
        <v>216</v>
      </c>
      <c r="B78" t="s">
        <v>3450</v>
      </c>
      <c r="C78" t="s">
        <v>3450</v>
      </c>
      <c r="D78">
        <f>VLOOKUP($C78, Egli_UPEC_metadata_provided!$A$2:$M$826, 3, FALSE)</f>
        <v>2018</v>
      </c>
      <c r="E78" t="str">
        <f>VLOOKUP($C78, Egli_UPEC_metadata_provided!$A$2:$M$826, 4, FALSE)</f>
        <v>B2-2</v>
      </c>
      <c r="F78" t="str">
        <f>VLOOKUP($C78, Egli_UPEC_metadata_provided!$A$2:$M$826, 5, FALSE)</f>
        <v>w</v>
      </c>
      <c r="G78">
        <f>VLOOKUP($C78, Egli_UPEC_metadata_provided!$A$2:$M$826, 6, FALSE)</f>
        <v>0</v>
      </c>
      <c r="H78">
        <f>VLOOKUP($C78, Egli_UPEC_metadata_provided!$A$2:$M$826, 7, FALSE)</f>
        <v>0</v>
      </c>
      <c r="I78">
        <f>VLOOKUP($C78, Egli_UPEC_metadata_provided!$A$2:$M$826, 8, FALSE)</f>
        <v>76.503075871496904</v>
      </c>
      <c r="J78" t="b">
        <f>VLOOKUP($C78, Egli_UPEC_metadata_provided!$A$2:$M$826, 9, FALSE)</f>
        <v>0</v>
      </c>
      <c r="K78">
        <f>VLOOKUP($C78, Egli_UPEC_metadata_provided!$A$2:$M$826, 10, FALSE)</f>
        <v>0</v>
      </c>
      <c r="L78" t="str">
        <f>VLOOKUP($C78, Egli_UPEC_metadata_provided!$A$2:$M$826, 11, FALSE)</f>
        <v>invasive</v>
      </c>
      <c r="M78">
        <f>VLOOKUP($C78, Egli_UPEC_metadata_provided!$A$2:$M$826, 12, FALSE)</f>
        <v>0</v>
      </c>
      <c r="N78">
        <f>VLOOKUP($C78, Egli_UPEC_metadata_provided!$A$2:$M$826, 13, FALSE)</f>
        <v>0</v>
      </c>
      <c r="O78">
        <f>VLOOKUP($C78, Egli_UPEC_metadata_provided!$A$2:$N$826, 14, FALSE)</f>
        <v>0</v>
      </c>
    </row>
    <row r="79" spans="1:15" x14ac:dyDescent="0.2">
      <c r="A79" t="s">
        <v>217</v>
      </c>
      <c r="B79" t="s">
        <v>3451</v>
      </c>
      <c r="C79" t="s">
        <v>3451</v>
      </c>
      <c r="D79">
        <f>VLOOKUP($C79, Egli_UPEC_metadata_provided!$A$2:$M$826, 3, FALSE)</f>
        <v>2018</v>
      </c>
      <c r="E79" t="str">
        <f>VLOOKUP($C79, Egli_UPEC_metadata_provided!$A$2:$M$826, 4, FALSE)</f>
        <v>B2-2</v>
      </c>
      <c r="F79" t="str">
        <f>VLOOKUP($C79, Egli_UPEC_metadata_provided!$A$2:$M$826, 5, FALSE)</f>
        <v>w</v>
      </c>
      <c r="G79">
        <f>VLOOKUP($C79, Egli_UPEC_metadata_provided!$A$2:$M$826, 6, FALSE)</f>
        <v>0</v>
      </c>
      <c r="H79">
        <f>VLOOKUP($C79, Egli_UPEC_metadata_provided!$A$2:$M$826, 7, FALSE)</f>
        <v>3</v>
      </c>
      <c r="I79">
        <f>VLOOKUP($C79, Egli_UPEC_metadata_provided!$A$2:$M$826, 8, FALSE)</f>
        <v>86.616541353383496</v>
      </c>
      <c r="J79" t="b">
        <f>VLOOKUP($C79, Egli_UPEC_metadata_provided!$A$2:$M$826, 9, FALSE)</f>
        <v>1</v>
      </c>
      <c r="K79">
        <f>VLOOKUP($C79, Egli_UPEC_metadata_provided!$A$2:$M$826, 10, FALSE)</f>
        <v>0</v>
      </c>
      <c r="L79" t="str">
        <f>VLOOKUP($C79, Egli_UPEC_metadata_provided!$A$2:$M$826, 11, FALSE)</f>
        <v>invasive</v>
      </c>
      <c r="M79">
        <f>VLOOKUP($C79, Egli_UPEC_metadata_provided!$A$2:$M$826, 12, FALSE)</f>
        <v>0</v>
      </c>
      <c r="N79">
        <f>VLOOKUP($C79, Egli_UPEC_metadata_provided!$A$2:$M$826, 13, FALSE)</f>
        <v>0</v>
      </c>
      <c r="O79">
        <f>VLOOKUP($C79, Egli_UPEC_metadata_provided!$A$2:$N$826, 14, FALSE)</f>
        <v>1</v>
      </c>
    </row>
    <row r="80" spans="1:15" x14ac:dyDescent="0.2">
      <c r="A80" t="s">
        <v>1280</v>
      </c>
      <c r="B80" t="s">
        <v>4179</v>
      </c>
      <c r="C80" t="s">
        <v>3452</v>
      </c>
      <c r="D80">
        <f>VLOOKUP($C80, Egli_UPEC_metadata_provided!$A$2:$M$826, 3, FALSE)</f>
        <v>2018</v>
      </c>
      <c r="E80" t="str">
        <f>VLOOKUP($C80, Egli_UPEC_metadata_provided!$A$2:$M$826, 4, FALSE)</f>
        <v>A</v>
      </c>
      <c r="F80" t="str">
        <f>VLOOKUP($C80, Egli_UPEC_metadata_provided!$A$2:$M$826, 5, FALSE)</f>
        <v>w</v>
      </c>
      <c r="G80">
        <f>VLOOKUP($C80, Egli_UPEC_metadata_provided!$A$2:$M$826, 6, FALSE)</f>
        <v>0</v>
      </c>
      <c r="H80">
        <f>VLOOKUP($C80, Egli_UPEC_metadata_provided!$A$2:$M$826, 7, FALSE)</f>
        <v>0</v>
      </c>
      <c r="I80">
        <f>VLOOKUP($C80, Egli_UPEC_metadata_provided!$A$2:$M$826, 8, FALSE)</f>
        <v>82.132604237867398</v>
      </c>
      <c r="J80" t="b">
        <f>VLOOKUP($C80, Egli_UPEC_metadata_provided!$A$2:$M$826, 9, FALSE)</f>
        <v>0</v>
      </c>
      <c r="K80" t="str">
        <f>VLOOKUP($C80, Egli_UPEC_metadata_provided!$A$2:$M$826, 10, FALSE)</f>
        <v>NA</v>
      </c>
      <c r="L80" t="str">
        <f>VLOOKUP($C80, Egli_UPEC_metadata_provided!$A$2:$M$826, 11, FALSE)</f>
        <v>invasive</v>
      </c>
      <c r="M80">
        <f>VLOOKUP($C80, Egli_UPEC_metadata_provided!$A$2:$M$826, 12, FALSE)</f>
        <v>0</v>
      </c>
      <c r="N80">
        <f>VLOOKUP($C80, Egli_UPEC_metadata_provided!$A$2:$M$826, 13, FALSE)</f>
        <v>0</v>
      </c>
      <c r="O80">
        <f>VLOOKUP($C80, Egli_UPEC_metadata_provided!$A$2:$N$826, 14, FALSE)</f>
        <v>0</v>
      </c>
    </row>
    <row r="81" spans="1:15" x14ac:dyDescent="0.2">
      <c r="A81" t="s">
        <v>218</v>
      </c>
      <c r="B81" t="s">
        <v>4140</v>
      </c>
      <c r="C81" t="s">
        <v>3452</v>
      </c>
      <c r="D81">
        <f>VLOOKUP($C81, Egli_UPEC_metadata_provided!$A$2:$M$826, 3, FALSE)</f>
        <v>2018</v>
      </c>
      <c r="E81" t="str">
        <f>VLOOKUP($C81, Egli_UPEC_metadata_provided!$A$2:$M$826, 4, FALSE)</f>
        <v>A</v>
      </c>
      <c r="F81" t="str">
        <f>VLOOKUP($C81, Egli_UPEC_metadata_provided!$A$2:$M$826, 5, FALSE)</f>
        <v>w</v>
      </c>
      <c r="G81">
        <f>VLOOKUP($C81, Egli_UPEC_metadata_provided!$A$2:$M$826, 6, FALSE)</f>
        <v>0</v>
      </c>
      <c r="H81">
        <f>VLOOKUP($C81, Egli_UPEC_metadata_provided!$A$2:$M$826, 7, FALSE)</f>
        <v>0</v>
      </c>
      <c r="I81">
        <f>VLOOKUP($C81, Egli_UPEC_metadata_provided!$A$2:$M$826, 8, FALSE)</f>
        <v>82.132604237867398</v>
      </c>
      <c r="J81" t="b">
        <f>VLOOKUP($C81, Egli_UPEC_metadata_provided!$A$2:$M$826, 9, FALSE)</f>
        <v>0</v>
      </c>
      <c r="K81" t="str">
        <f>VLOOKUP($C81, Egli_UPEC_metadata_provided!$A$2:$M$826, 10, FALSE)</f>
        <v>NA</v>
      </c>
      <c r="L81" t="str">
        <f>VLOOKUP($C81, Egli_UPEC_metadata_provided!$A$2:$M$826, 11, FALSE)</f>
        <v>invasive</v>
      </c>
      <c r="M81">
        <f>VLOOKUP($C81, Egli_UPEC_metadata_provided!$A$2:$M$826, 12, FALSE)</f>
        <v>0</v>
      </c>
      <c r="N81">
        <f>VLOOKUP($C81, Egli_UPEC_metadata_provided!$A$2:$M$826, 13, FALSE)</f>
        <v>0</v>
      </c>
      <c r="O81">
        <f>VLOOKUP($C81, Egli_UPEC_metadata_provided!$A$2:$N$826, 14, FALSE)</f>
        <v>0</v>
      </c>
    </row>
    <row r="82" spans="1:15" x14ac:dyDescent="0.2">
      <c r="A82" t="s">
        <v>219</v>
      </c>
      <c r="B82" t="s">
        <v>3453</v>
      </c>
      <c r="C82" t="s">
        <v>3453</v>
      </c>
      <c r="D82">
        <f>VLOOKUP($C82, Egli_UPEC_metadata_provided!$A$2:$M$826, 3, FALSE)</f>
        <v>2018</v>
      </c>
      <c r="E82" t="str">
        <f>VLOOKUP($C82, Egli_UPEC_metadata_provided!$A$2:$M$826, 4, FALSE)</f>
        <v>A</v>
      </c>
      <c r="F82" t="str">
        <f>VLOOKUP($C82, Egli_UPEC_metadata_provided!$A$2:$M$826, 5, FALSE)</f>
        <v>m</v>
      </c>
      <c r="G82">
        <f>VLOOKUP($C82, Egli_UPEC_metadata_provided!$A$2:$M$826, 6, FALSE)</f>
        <v>0</v>
      </c>
      <c r="H82">
        <f>VLOOKUP($C82, Egli_UPEC_metadata_provided!$A$2:$M$826, 7, FALSE)</f>
        <v>7</v>
      </c>
      <c r="I82">
        <f>VLOOKUP($C82, Egli_UPEC_metadata_provided!$A$2:$M$826, 8, FALSE)</f>
        <v>80.962406015037601</v>
      </c>
      <c r="J82" t="b">
        <f>VLOOKUP($C82, Egli_UPEC_metadata_provided!$A$2:$M$826, 9, FALSE)</f>
        <v>0</v>
      </c>
      <c r="K82">
        <f>VLOOKUP($C82, Egli_UPEC_metadata_provided!$A$2:$M$826, 10, FALSE)</f>
        <v>0</v>
      </c>
      <c r="L82" t="str">
        <f>VLOOKUP($C82, Egli_UPEC_metadata_provided!$A$2:$M$826, 11, FALSE)</f>
        <v>invasive</v>
      </c>
      <c r="M82">
        <f>VLOOKUP($C82, Egli_UPEC_metadata_provided!$A$2:$M$826, 12, FALSE)</f>
        <v>0</v>
      </c>
      <c r="N82">
        <f>VLOOKUP($C82, Egli_UPEC_metadata_provided!$A$2:$M$826, 13, FALSE)</f>
        <v>0</v>
      </c>
      <c r="O82">
        <f>VLOOKUP($C82, Egli_UPEC_metadata_provided!$A$2:$N$826, 14, FALSE)</f>
        <v>0</v>
      </c>
    </row>
    <row r="83" spans="1:15" x14ac:dyDescent="0.2">
      <c r="A83" t="s">
        <v>220</v>
      </c>
      <c r="B83" t="s">
        <v>3454</v>
      </c>
      <c r="C83" t="s">
        <v>3454</v>
      </c>
      <c r="D83">
        <f>VLOOKUP($C83, Egli_UPEC_metadata_provided!$A$2:$M$826, 3, FALSE)</f>
        <v>2018</v>
      </c>
      <c r="E83" t="str">
        <f>VLOOKUP($C83, Egli_UPEC_metadata_provided!$A$2:$M$826, 4, FALSE)</f>
        <v>D1</v>
      </c>
      <c r="F83" t="str">
        <f>VLOOKUP($C83, Egli_UPEC_metadata_provided!$A$2:$M$826, 5, FALSE)</f>
        <v>w</v>
      </c>
      <c r="G83">
        <f>VLOOKUP($C83, Egli_UPEC_metadata_provided!$A$2:$M$826, 6, FALSE)</f>
        <v>0</v>
      </c>
      <c r="H83">
        <f>VLOOKUP($C83, Egli_UPEC_metadata_provided!$A$2:$M$826, 7, FALSE)</f>
        <v>0</v>
      </c>
      <c r="I83">
        <f>VLOOKUP($C83, Egli_UPEC_metadata_provided!$A$2:$M$826, 8, FALSE)</f>
        <v>78.993848257006107</v>
      </c>
      <c r="J83" t="b">
        <f>VLOOKUP($C83, Egli_UPEC_metadata_provided!$A$2:$M$826, 9, FALSE)</f>
        <v>1</v>
      </c>
      <c r="K83">
        <f>VLOOKUP($C83, Egli_UPEC_metadata_provided!$A$2:$M$826, 10, FALSE)</f>
        <v>0</v>
      </c>
      <c r="L83" t="str">
        <f>VLOOKUP($C83, Egli_UPEC_metadata_provided!$A$2:$M$826, 11, FALSE)</f>
        <v>invasive</v>
      </c>
      <c r="M83">
        <f>VLOOKUP($C83, Egli_UPEC_metadata_provided!$A$2:$M$826, 12, FALSE)</f>
        <v>0</v>
      </c>
      <c r="N83">
        <f>VLOOKUP($C83, Egli_UPEC_metadata_provided!$A$2:$M$826, 13, FALSE)</f>
        <v>0</v>
      </c>
      <c r="O83">
        <f>VLOOKUP($C83, Egli_UPEC_metadata_provided!$A$2:$N$826, 14, FALSE)</f>
        <v>1</v>
      </c>
    </row>
    <row r="84" spans="1:15" x14ac:dyDescent="0.2">
      <c r="A84" t="s">
        <v>222</v>
      </c>
      <c r="B84" t="s">
        <v>3456</v>
      </c>
      <c r="C84" t="s">
        <v>3456</v>
      </c>
      <c r="D84">
        <f>VLOOKUP($C84, Egli_UPEC_metadata_provided!$A$2:$M$826, 3, FALSE)</f>
        <v>2018</v>
      </c>
      <c r="E84" t="str">
        <f>VLOOKUP($C84, Egli_UPEC_metadata_provided!$A$2:$M$826, 4, FALSE)</f>
        <v>D1</v>
      </c>
      <c r="F84" t="str">
        <f>VLOOKUP($C84, Egli_UPEC_metadata_provided!$A$2:$M$826, 5, FALSE)</f>
        <v>m</v>
      </c>
      <c r="G84">
        <f>VLOOKUP($C84, Egli_UPEC_metadata_provided!$A$2:$M$826, 6, FALSE)</f>
        <v>0</v>
      </c>
      <c r="H84">
        <f>VLOOKUP($C84, Egli_UPEC_metadata_provided!$A$2:$M$826, 7, FALSE)</f>
        <v>0</v>
      </c>
      <c r="I84">
        <f>VLOOKUP($C84, Egli_UPEC_metadata_provided!$A$2:$M$826, 8, FALSE)</f>
        <v>78.025974025973994</v>
      </c>
      <c r="J84" t="b">
        <f>VLOOKUP($C84, Egli_UPEC_metadata_provided!$A$2:$M$826, 9, FALSE)</f>
        <v>1</v>
      </c>
      <c r="K84">
        <f>VLOOKUP($C84, Egli_UPEC_metadata_provided!$A$2:$M$826, 10, FALSE)</f>
        <v>0</v>
      </c>
      <c r="L84" t="str">
        <f>VLOOKUP($C84, Egli_UPEC_metadata_provided!$A$2:$M$826, 11, FALSE)</f>
        <v>invasive</v>
      </c>
      <c r="M84">
        <f>VLOOKUP($C84, Egli_UPEC_metadata_provided!$A$2:$M$826, 12, FALSE)</f>
        <v>0</v>
      </c>
      <c r="N84">
        <f>VLOOKUP($C84, Egli_UPEC_metadata_provided!$A$2:$M$826, 13, FALSE)</f>
        <v>0</v>
      </c>
      <c r="O84">
        <f>VLOOKUP($C84, Egli_UPEC_metadata_provided!$A$2:$N$826, 14, FALSE)</f>
        <v>1</v>
      </c>
    </row>
    <row r="85" spans="1:15" x14ac:dyDescent="0.2">
      <c r="A85" t="s">
        <v>223</v>
      </c>
      <c r="B85" t="s">
        <v>3457</v>
      </c>
      <c r="C85" t="s">
        <v>3457</v>
      </c>
      <c r="D85">
        <f>VLOOKUP($C85, Egli_UPEC_metadata_provided!$A$2:$M$826, 3, FALSE)</f>
        <v>2018</v>
      </c>
      <c r="E85" t="str">
        <f>VLOOKUP($C85, Egli_UPEC_metadata_provided!$A$2:$M$826, 4, FALSE)</f>
        <v>D3</v>
      </c>
      <c r="F85" t="str">
        <f>VLOOKUP($C85, Egli_UPEC_metadata_provided!$A$2:$M$826, 5, FALSE)</f>
        <v>m</v>
      </c>
      <c r="G85">
        <f>VLOOKUP($C85, Egli_UPEC_metadata_provided!$A$2:$M$826, 6, FALSE)</f>
        <v>0</v>
      </c>
      <c r="H85">
        <f>VLOOKUP($C85, Egli_UPEC_metadata_provided!$A$2:$M$826, 7, FALSE)</f>
        <v>6</v>
      </c>
      <c r="I85">
        <f>VLOOKUP($C85, Egli_UPEC_metadata_provided!$A$2:$M$826, 8, FALSE)</f>
        <v>85.558441558441601</v>
      </c>
      <c r="J85" t="b">
        <f>VLOOKUP($C85, Egli_UPEC_metadata_provided!$A$2:$M$826, 9, FALSE)</f>
        <v>0</v>
      </c>
      <c r="K85">
        <f>VLOOKUP($C85, Egli_UPEC_metadata_provided!$A$2:$M$826, 10, FALSE)</f>
        <v>0</v>
      </c>
      <c r="L85" t="str">
        <f>VLOOKUP($C85, Egli_UPEC_metadata_provided!$A$2:$M$826, 11, FALSE)</f>
        <v>invasive</v>
      </c>
      <c r="M85">
        <f>VLOOKUP($C85, Egli_UPEC_metadata_provided!$A$2:$M$826, 12, FALSE)</f>
        <v>1</v>
      </c>
      <c r="N85">
        <f>VLOOKUP($C85, Egli_UPEC_metadata_provided!$A$2:$M$826, 13, FALSE)</f>
        <v>0</v>
      </c>
      <c r="O85">
        <f>VLOOKUP($C85, Egli_UPEC_metadata_provided!$A$2:$N$826, 14, FALSE)</f>
        <v>0</v>
      </c>
    </row>
    <row r="86" spans="1:15" x14ac:dyDescent="0.2">
      <c r="A86" t="s">
        <v>226</v>
      </c>
      <c r="B86" t="s">
        <v>3460</v>
      </c>
      <c r="C86" t="s">
        <v>3460</v>
      </c>
      <c r="D86">
        <f>VLOOKUP($C86, Egli_UPEC_metadata_provided!$A$2:$M$826, 3, FALSE)</f>
        <v>2018</v>
      </c>
      <c r="E86" t="str">
        <f>VLOOKUP($C86, Egli_UPEC_metadata_provided!$A$2:$M$826, 4, FALSE)</f>
        <v>A</v>
      </c>
      <c r="F86" t="str">
        <f>VLOOKUP($C86, Egli_UPEC_metadata_provided!$A$2:$M$826, 5, FALSE)</f>
        <v>m</v>
      </c>
      <c r="G86">
        <f>VLOOKUP($C86, Egli_UPEC_metadata_provided!$A$2:$M$826, 6, FALSE)</f>
        <v>0</v>
      </c>
      <c r="H86">
        <f>VLOOKUP($C86, Egli_UPEC_metadata_provided!$A$2:$M$826, 7, FALSE)</f>
        <v>6</v>
      </c>
      <c r="I86">
        <f>VLOOKUP($C86, Egli_UPEC_metadata_provided!$A$2:$M$826, 8, FALSE)</f>
        <v>79.3766233766234</v>
      </c>
      <c r="J86" t="b">
        <f>VLOOKUP($C86, Egli_UPEC_metadata_provided!$A$2:$M$826, 9, FALSE)</f>
        <v>0</v>
      </c>
      <c r="K86">
        <f>VLOOKUP($C86, Egli_UPEC_metadata_provided!$A$2:$M$826, 10, FALSE)</f>
        <v>0</v>
      </c>
      <c r="L86" t="str">
        <f>VLOOKUP($C86, Egli_UPEC_metadata_provided!$A$2:$M$826, 11, FALSE)</f>
        <v>invasive</v>
      </c>
      <c r="M86">
        <f>VLOOKUP($C86, Egli_UPEC_metadata_provided!$A$2:$M$826, 12, FALSE)</f>
        <v>0</v>
      </c>
      <c r="N86">
        <f>VLOOKUP($C86, Egli_UPEC_metadata_provided!$A$2:$M$826, 13, FALSE)</f>
        <v>0</v>
      </c>
      <c r="O86">
        <f>VLOOKUP($C86, Egli_UPEC_metadata_provided!$A$2:$N$826, 14, FALSE)</f>
        <v>1</v>
      </c>
    </row>
    <row r="87" spans="1:15" x14ac:dyDescent="0.2">
      <c r="A87" t="s">
        <v>227</v>
      </c>
      <c r="B87" t="s">
        <v>3461</v>
      </c>
      <c r="C87" t="s">
        <v>3461</v>
      </c>
      <c r="D87">
        <f>VLOOKUP($C87, Egli_UPEC_metadata_provided!$A$2:$M$826, 3, FALSE)</f>
        <v>2018</v>
      </c>
      <c r="E87" t="str">
        <f>VLOOKUP($C87, Egli_UPEC_metadata_provided!$A$2:$M$826, 4, FALSE)</f>
        <v>B2-2</v>
      </c>
      <c r="F87" t="str">
        <f>VLOOKUP($C87, Egli_UPEC_metadata_provided!$A$2:$M$826, 5, FALSE)</f>
        <v>m</v>
      </c>
      <c r="G87">
        <f>VLOOKUP($C87, Egli_UPEC_metadata_provided!$A$2:$M$826, 6, FALSE)</f>
        <v>0</v>
      </c>
      <c r="H87">
        <f>VLOOKUP($C87, Egli_UPEC_metadata_provided!$A$2:$M$826, 7, FALSE)</f>
        <v>8</v>
      </c>
      <c r="I87">
        <f>VLOOKUP($C87, Egli_UPEC_metadata_provided!$A$2:$M$826, 8, FALSE)</f>
        <v>86.389610389610397</v>
      </c>
      <c r="J87" t="b">
        <f>VLOOKUP($C87, Egli_UPEC_metadata_provided!$A$2:$M$826, 9, FALSE)</f>
        <v>1</v>
      </c>
      <c r="K87">
        <f>VLOOKUP($C87, Egli_UPEC_metadata_provided!$A$2:$M$826, 10, FALSE)</f>
        <v>0</v>
      </c>
      <c r="L87" t="str">
        <f>VLOOKUP($C87, Egli_UPEC_metadata_provided!$A$2:$M$826, 11, FALSE)</f>
        <v>invasive</v>
      </c>
      <c r="M87">
        <f>VLOOKUP($C87, Egli_UPEC_metadata_provided!$A$2:$M$826, 12, FALSE)</f>
        <v>0</v>
      </c>
      <c r="N87">
        <f>VLOOKUP($C87, Egli_UPEC_metadata_provided!$A$2:$M$826, 13, FALSE)</f>
        <v>0</v>
      </c>
      <c r="O87">
        <f>VLOOKUP($C87, Egli_UPEC_metadata_provided!$A$2:$N$826, 14, FALSE)</f>
        <v>0</v>
      </c>
    </row>
    <row r="88" spans="1:15" x14ac:dyDescent="0.2">
      <c r="A88" t="s">
        <v>228</v>
      </c>
      <c r="B88" t="s">
        <v>3462</v>
      </c>
      <c r="C88" t="s">
        <v>3462</v>
      </c>
      <c r="D88">
        <f>VLOOKUP($C88, Egli_UPEC_metadata_provided!$A$2:$M$826, 3, FALSE)</f>
        <v>2018</v>
      </c>
      <c r="E88" t="str">
        <f>VLOOKUP($C88, Egli_UPEC_metadata_provided!$A$2:$M$826, 4, FALSE)</f>
        <v>B2-2</v>
      </c>
      <c r="F88" t="str">
        <f>VLOOKUP($C88, Egli_UPEC_metadata_provided!$A$2:$M$826, 5, FALSE)</f>
        <v>m</v>
      </c>
      <c r="G88">
        <f>VLOOKUP($C88, Egli_UPEC_metadata_provided!$A$2:$M$826, 6, FALSE)</f>
        <v>0</v>
      </c>
      <c r="H88">
        <f>VLOOKUP($C88, Egli_UPEC_metadata_provided!$A$2:$M$826, 7, FALSE)</f>
        <v>2</v>
      </c>
      <c r="I88">
        <f>VLOOKUP($C88, Egli_UPEC_metadata_provided!$A$2:$M$826, 8, FALSE)</f>
        <v>72.049213943950804</v>
      </c>
      <c r="J88" t="b">
        <f>VLOOKUP($C88, Egli_UPEC_metadata_provided!$A$2:$M$826, 9, FALSE)</f>
        <v>0</v>
      </c>
      <c r="K88">
        <f>VLOOKUP($C88, Egli_UPEC_metadata_provided!$A$2:$M$826, 10, FALSE)</f>
        <v>0</v>
      </c>
      <c r="L88" t="str">
        <f>VLOOKUP($C88, Egli_UPEC_metadata_provided!$A$2:$M$826, 11, FALSE)</f>
        <v>invasive</v>
      </c>
      <c r="M88">
        <f>VLOOKUP($C88, Egli_UPEC_metadata_provided!$A$2:$M$826, 12, FALSE)</f>
        <v>1</v>
      </c>
      <c r="N88">
        <f>VLOOKUP($C88, Egli_UPEC_metadata_provided!$A$2:$M$826, 13, FALSE)</f>
        <v>0</v>
      </c>
      <c r="O88">
        <f>VLOOKUP($C88, Egli_UPEC_metadata_provided!$A$2:$N$826, 14, FALSE)</f>
        <v>0</v>
      </c>
    </row>
    <row r="89" spans="1:15" x14ac:dyDescent="0.2">
      <c r="A89" t="s">
        <v>229</v>
      </c>
      <c r="B89" t="s">
        <v>3463</v>
      </c>
      <c r="C89" t="s">
        <v>3463</v>
      </c>
      <c r="D89">
        <f>VLOOKUP($C89, Egli_UPEC_metadata_provided!$A$2:$M$826, 3, FALSE)</f>
        <v>2018</v>
      </c>
      <c r="E89" t="str">
        <f>VLOOKUP($C89, Egli_UPEC_metadata_provided!$A$2:$M$826, 4, FALSE)</f>
        <v>B2-2</v>
      </c>
      <c r="F89" t="str">
        <f>VLOOKUP($C89, Egli_UPEC_metadata_provided!$A$2:$M$826, 5, FALSE)</f>
        <v>w</v>
      </c>
      <c r="G89">
        <f>VLOOKUP($C89, Egli_UPEC_metadata_provided!$A$2:$M$826, 6, FALSE)</f>
        <v>1</v>
      </c>
      <c r="H89">
        <f>VLOOKUP($C89, Egli_UPEC_metadata_provided!$A$2:$M$826, 7, FALSE)</f>
        <v>0</v>
      </c>
      <c r="I89">
        <f>VLOOKUP($C89, Egli_UPEC_metadata_provided!$A$2:$M$826, 8, FALSE)</f>
        <v>71.669172932330795</v>
      </c>
      <c r="J89" t="b">
        <f>VLOOKUP($C89, Egli_UPEC_metadata_provided!$A$2:$M$826, 9, FALSE)</f>
        <v>1</v>
      </c>
      <c r="K89">
        <f>VLOOKUP($C89, Egli_UPEC_metadata_provided!$A$2:$M$826, 10, FALSE)</f>
        <v>0</v>
      </c>
      <c r="L89" t="str">
        <f>VLOOKUP($C89, Egli_UPEC_metadata_provided!$A$2:$M$826, 11, FALSE)</f>
        <v>invasive</v>
      </c>
      <c r="M89">
        <f>VLOOKUP($C89, Egli_UPEC_metadata_provided!$A$2:$M$826, 12, FALSE)</f>
        <v>0</v>
      </c>
      <c r="N89">
        <f>VLOOKUP($C89, Egli_UPEC_metadata_provided!$A$2:$M$826, 13, FALSE)</f>
        <v>0</v>
      </c>
      <c r="O89">
        <f>VLOOKUP($C89, Egli_UPEC_metadata_provided!$A$2:$N$826, 14, FALSE)</f>
        <v>0</v>
      </c>
    </row>
    <row r="90" spans="1:15" x14ac:dyDescent="0.2">
      <c r="A90" t="s">
        <v>233</v>
      </c>
      <c r="B90" t="s">
        <v>3467</v>
      </c>
      <c r="C90" t="s">
        <v>3467</v>
      </c>
      <c r="D90">
        <f>VLOOKUP($C90, Egli_UPEC_metadata_provided!$A$2:$M$826, 3, FALSE)</f>
        <v>2018</v>
      </c>
      <c r="E90" t="str">
        <f>VLOOKUP($C90, Egli_UPEC_metadata_provided!$A$2:$M$826, 4, FALSE)</f>
        <v>D1</v>
      </c>
      <c r="F90" t="str">
        <f>VLOOKUP($C90, Egli_UPEC_metadata_provided!$A$2:$M$826, 5, FALSE)</f>
        <v>w</v>
      </c>
      <c r="G90">
        <f>VLOOKUP($C90, Egli_UPEC_metadata_provided!$A$2:$M$826, 6, FALSE)</f>
        <v>0</v>
      </c>
      <c r="H90">
        <f>VLOOKUP($C90, Egli_UPEC_metadata_provided!$A$2:$M$826, 7, FALSE)</f>
        <v>0</v>
      </c>
      <c r="I90">
        <f>VLOOKUP($C90, Egli_UPEC_metadata_provided!$A$2:$M$826, 8, FALSE)</f>
        <v>90.941900205058104</v>
      </c>
      <c r="J90" t="b">
        <f>VLOOKUP($C90, Egli_UPEC_metadata_provided!$A$2:$M$826, 9, FALSE)</f>
        <v>1</v>
      </c>
      <c r="K90">
        <f>VLOOKUP($C90, Egli_UPEC_metadata_provided!$A$2:$M$826, 10, FALSE)</f>
        <v>0</v>
      </c>
      <c r="L90" t="str">
        <f>VLOOKUP($C90, Egli_UPEC_metadata_provided!$A$2:$M$826, 11, FALSE)</f>
        <v>invasive</v>
      </c>
      <c r="M90">
        <f>VLOOKUP($C90, Egli_UPEC_metadata_provided!$A$2:$M$826, 12, FALSE)</f>
        <v>0</v>
      </c>
      <c r="N90">
        <f>VLOOKUP($C90, Egli_UPEC_metadata_provided!$A$2:$M$826, 13, FALSE)</f>
        <v>0</v>
      </c>
      <c r="O90">
        <f>VLOOKUP($C90, Egli_UPEC_metadata_provided!$A$2:$N$826, 14, FALSE)</f>
        <v>0</v>
      </c>
    </row>
    <row r="91" spans="1:15" x14ac:dyDescent="0.2">
      <c r="A91" t="s">
        <v>234</v>
      </c>
      <c r="B91" t="s">
        <v>3468</v>
      </c>
      <c r="C91" t="s">
        <v>3468</v>
      </c>
      <c r="D91">
        <f>VLOOKUP($C91, Egli_UPEC_metadata_provided!$A$2:$M$826, 3, FALSE)</f>
        <v>2018</v>
      </c>
      <c r="E91" t="str">
        <f>VLOOKUP($C91, Egli_UPEC_metadata_provided!$A$2:$M$826, 4, FALSE)</f>
        <v>D1</v>
      </c>
      <c r="F91" t="str">
        <f>VLOOKUP($C91, Egli_UPEC_metadata_provided!$A$2:$M$826, 5, FALSE)</f>
        <v>w</v>
      </c>
      <c r="G91">
        <f>VLOOKUP($C91, Egli_UPEC_metadata_provided!$A$2:$M$826, 6, FALSE)</f>
        <v>0</v>
      </c>
      <c r="H91">
        <f>VLOOKUP($C91, Egli_UPEC_metadata_provided!$A$2:$M$826, 7, FALSE)</f>
        <v>1</v>
      </c>
      <c r="I91">
        <f>VLOOKUP($C91, Egli_UPEC_metadata_provided!$A$2:$M$826, 8, FALSE)</f>
        <v>87.625427204374603</v>
      </c>
      <c r="J91" t="b">
        <f>VLOOKUP($C91, Egli_UPEC_metadata_provided!$A$2:$M$826, 9, FALSE)</f>
        <v>0</v>
      </c>
      <c r="K91">
        <f>VLOOKUP($C91, Egli_UPEC_metadata_provided!$A$2:$M$826, 10, FALSE)</f>
        <v>0</v>
      </c>
      <c r="L91" t="str">
        <f>VLOOKUP($C91, Egli_UPEC_metadata_provided!$A$2:$M$826, 11, FALSE)</f>
        <v>invasive</v>
      </c>
      <c r="M91">
        <f>VLOOKUP($C91, Egli_UPEC_metadata_provided!$A$2:$M$826, 12, FALSE)</f>
        <v>0</v>
      </c>
      <c r="N91">
        <f>VLOOKUP($C91, Egli_UPEC_metadata_provided!$A$2:$M$826, 13, FALSE)</f>
        <v>0</v>
      </c>
      <c r="O91">
        <f>VLOOKUP($C91, Egli_UPEC_metadata_provided!$A$2:$N$826, 14, FALSE)</f>
        <v>0</v>
      </c>
    </row>
    <row r="92" spans="1:15" x14ac:dyDescent="0.2">
      <c r="A92" t="s">
        <v>235</v>
      </c>
      <c r="B92" t="s">
        <v>3469</v>
      </c>
      <c r="C92" t="s">
        <v>3469</v>
      </c>
      <c r="D92">
        <f>VLOOKUP($C92, Egli_UPEC_metadata_provided!$A$2:$M$826, 3, FALSE)</f>
        <v>2018</v>
      </c>
      <c r="E92" t="str">
        <f>VLOOKUP($C92, Egli_UPEC_metadata_provided!$A$2:$M$826, 4, FALSE)</f>
        <v>B2-2</v>
      </c>
      <c r="F92" t="str">
        <f>VLOOKUP($C92, Egli_UPEC_metadata_provided!$A$2:$M$826, 5, FALSE)</f>
        <v>w</v>
      </c>
      <c r="G92">
        <f>VLOOKUP($C92, Egli_UPEC_metadata_provided!$A$2:$M$826, 6, FALSE)</f>
        <v>0</v>
      </c>
      <c r="H92">
        <f>VLOOKUP($C92, Egli_UPEC_metadata_provided!$A$2:$M$826, 7, FALSE)</f>
        <v>0</v>
      </c>
      <c r="I92">
        <f>VLOOKUP($C92, Egli_UPEC_metadata_provided!$A$2:$M$826, 8, FALSE)</f>
        <v>23.600820232399201</v>
      </c>
      <c r="J92" t="b">
        <f>VLOOKUP($C92, Egli_UPEC_metadata_provided!$A$2:$M$826, 9, FALSE)</f>
        <v>1</v>
      </c>
      <c r="K92">
        <f>VLOOKUP($C92, Egli_UPEC_metadata_provided!$A$2:$M$826, 10, FALSE)</f>
        <v>0</v>
      </c>
      <c r="L92" t="str">
        <f>VLOOKUP($C92, Egli_UPEC_metadata_provided!$A$2:$M$826, 11, FALSE)</f>
        <v>invasive</v>
      </c>
      <c r="M92">
        <f>VLOOKUP($C92, Egli_UPEC_metadata_provided!$A$2:$M$826, 12, FALSE)</f>
        <v>0</v>
      </c>
      <c r="N92">
        <f>VLOOKUP($C92, Egli_UPEC_metadata_provided!$A$2:$M$826, 13, FALSE)</f>
        <v>0</v>
      </c>
      <c r="O92">
        <f>VLOOKUP($C92, Egli_UPEC_metadata_provided!$A$2:$N$826, 14, FALSE)</f>
        <v>1</v>
      </c>
    </row>
    <row r="93" spans="1:15" x14ac:dyDescent="0.2">
      <c r="A93" t="s">
        <v>238</v>
      </c>
      <c r="B93" t="s">
        <v>3472</v>
      </c>
      <c r="C93" t="s">
        <v>3472</v>
      </c>
      <c r="D93">
        <f>VLOOKUP($C93, Egli_UPEC_metadata_provided!$A$2:$M$826, 3, FALSE)</f>
        <v>2018</v>
      </c>
      <c r="E93" t="str">
        <f>VLOOKUP($C93, Egli_UPEC_metadata_provided!$A$2:$M$826, 4, FALSE)</f>
        <v>B2-2</v>
      </c>
      <c r="F93" t="str">
        <f>VLOOKUP($C93, Egli_UPEC_metadata_provided!$A$2:$M$826, 5, FALSE)</f>
        <v>w</v>
      </c>
      <c r="G93">
        <f>VLOOKUP($C93, Egli_UPEC_metadata_provided!$A$2:$M$826, 6, FALSE)</f>
        <v>0</v>
      </c>
      <c r="H93">
        <f>VLOOKUP($C93, Egli_UPEC_metadata_provided!$A$2:$M$826, 7, FALSE)</f>
        <v>2</v>
      </c>
      <c r="I93">
        <f>VLOOKUP($C93, Egli_UPEC_metadata_provided!$A$2:$M$826, 8, FALSE)</f>
        <v>65.331510594668501</v>
      </c>
      <c r="J93" t="b">
        <f>VLOOKUP($C93, Egli_UPEC_metadata_provided!$A$2:$M$826, 9, FALSE)</f>
        <v>0</v>
      </c>
      <c r="K93">
        <f>VLOOKUP($C93, Egli_UPEC_metadata_provided!$A$2:$M$826, 10, FALSE)</f>
        <v>0</v>
      </c>
      <c r="L93" t="str">
        <f>VLOOKUP($C93, Egli_UPEC_metadata_provided!$A$2:$M$826, 11, FALSE)</f>
        <v>invasive</v>
      </c>
      <c r="M93">
        <f>VLOOKUP($C93, Egli_UPEC_metadata_provided!$A$2:$M$826, 12, FALSE)</f>
        <v>0</v>
      </c>
      <c r="N93">
        <f>VLOOKUP($C93, Egli_UPEC_metadata_provided!$A$2:$M$826, 13, FALSE)</f>
        <v>0</v>
      </c>
      <c r="O93">
        <f>VLOOKUP($C93, Egli_UPEC_metadata_provided!$A$2:$N$826, 14, FALSE)</f>
        <v>1</v>
      </c>
    </row>
    <row r="94" spans="1:15" x14ac:dyDescent="0.2">
      <c r="A94" t="s">
        <v>240</v>
      </c>
      <c r="B94" t="s">
        <v>3474</v>
      </c>
      <c r="C94" t="s">
        <v>3474</v>
      </c>
      <c r="D94">
        <f>VLOOKUP($C94, Egli_UPEC_metadata_provided!$A$2:$M$826, 3, FALSE)</f>
        <v>2018</v>
      </c>
      <c r="E94" t="str">
        <f>VLOOKUP($C94, Egli_UPEC_metadata_provided!$A$2:$M$826, 4, FALSE)</f>
        <v>F</v>
      </c>
      <c r="F94" t="str">
        <f>VLOOKUP($C94, Egli_UPEC_metadata_provided!$A$2:$M$826, 5, FALSE)</f>
        <v>m</v>
      </c>
      <c r="G94">
        <f>VLOOKUP($C94, Egli_UPEC_metadata_provided!$A$2:$M$826, 6, FALSE)</f>
        <v>0</v>
      </c>
      <c r="H94">
        <f>VLOOKUP($C94, Egli_UPEC_metadata_provided!$A$2:$M$826, 7, FALSE)</f>
        <v>3</v>
      </c>
      <c r="I94">
        <f>VLOOKUP($C94, Egli_UPEC_metadata_provided!$A$2:$M$826, 8, FALSE)</f>
        <v>80.639781271360206</v>
      </c>
      <c r="J94" t="b">
        <f>VLOOKUP($C94, Egli_UPEC_metadata_provided!$A$2:$M$826, 9, FALSE)</f>
        <v>0</v>
      </c>
      <c r="K94">
        <f>VLOOKUP($C94, Egli_UPEC_metadata_provided!$A$2:$M$826, 10, FALSE)</f>
        <v>0</v>
      </c>
      <c r="L94" t="str">
        <f>VLOOKUP($C94, Egli_UPEC_metadata_provided!$A$2:$M$826, 11, FALSE)</f>
        <v>invasive</v>
      </c>
      <c r="M94">
        <f>VLOOKUP($C94, Egli_UPEC_metadata_provided!$A$2:$M$826, 12, FALSE)</f>
        <v>0</v>
      </c>
      <c r="N94">
        <f>VLOOKUP($C94, Egli_UPEC_metadata_provided!$A$2:$M$826, 13, FALSE)</f>
        <v>0</v>
      </c>
      <c r="O94">
        <f>VLOOKUP($C94, Egli_UPEC_metadata_provided!$A$2:$N$826, 14, FALSE)</f>
        <v>0</v>
      </c>
    </row>
    <row r="95" spans="1:15" x14ac:dyDescent="0.2">
      <c r="A95" t="s">
        <v>244</v>
      </c>
      <c r="B95" t="s">
        <v>4325</v>
      </c>
      <c r="C95" t="s">
        <v>3478</v>
      </c>
      <c r="D95">
        <f>VLOOKUP($C95, Egli_UPEC_metadata_provided!$A$2:$M$826, 3, FALSE)</f>
        <v>2018</v>
      </c>
      <c r="E95" t="str">
        <f>VLOOKUP($C95, Egli_UPEC_metadata_provided!$A$2:$M$826, 4, FALSE)</f>
        <v>B1</v>
      </c>
      <c r="F95" t="str">
        <f>VLOOKUP($C95, Egli_UPEC_metadata_provided!$A$2:$M$826, 5, FALSE)</f>
        <v>w</v>
      </c>
      <c r="G95">
        <f>VLOOKUP($C95, Egli_UPEC_metadata_provided!$A$2:$M$826, 6, FALSE)</f>
        <v>0</v>
      </c>
      <c r="H95">
        <f>VLOOKUP($C95, Egli_UPEC_metadata_provided!$A$2:$M$826, 7, FALSE)</f>
        <v>2</v>
      </c>
      <c r="I95">
        <f>VLOOKUP($C95, Egli_UPEC_metadata_provided!$A$2:$M$826, 8, FALSE)</f>
        <v>74.170881749829107</v>
      </c>
      <c r="J95" t="b">
        <f>VLOOKUP($C95, Egli_UPEC_metadata_provided!$A$2:$M$826, 9, FALSE)</f>
        <v>0</v>
      </c>
      <c r="K95">
        <f>VLOOKUP($C95, Egli_UPEC_metadata_provided!$A$2:$M$826, 10, FALSE)</f>
        <v>0</v>
      </c>
      <c r="L95" t="str">
        <f>VLOOKUP($C95, Egli_UPEC_metadata_provided!$A$2:$M$826, 11, FALSE)</f>
        <v>invasive</v>
      </c>
      <c r="M95">
        <f>VLOOKUP($C95, Egli_UPEC_metadata_provided!$A$2:$M$826, 12, FALSE)</f>
        <v>1</v>
      </c>
      <c r="N95">
        <f>VLOOKUP($C95, Egli_UPEC_metadata_provided!$A$2:$M$826, 13, FALSE)</f>
        <v>0</v>
      </c>
      <c r="O95">
        <f>VLOOKUP($C95, Egli_UPEC_metadata_provided!$A$2:$N$826, 14, FALSE)</f>
        <v>0</v>
      </c>
    </row>
    <row r="96" spans="1:15" x14ac:dyDescent="0.2">
      <c r="A96" t="s">
        <v>245</v>
      </c>
      <c r="B96" t="s">
        <v>3479</v>
      </c>
      <c r="C96" t="s">
        <v>3479</v>
      </c>
      <c r="D96">
        <f>VLOOKUP($C96, Egli_UPEC_metadata_provided!$A$2:$M$826, 3, FALSE)</f>
        <v>2018</v>
      </c>
      <c r="E96" t="str">
        <f>VLOOKUP($C96, Egli_UPEC_metadata_provided!$A$2:$M$826, 4, FALSE)</f>
        <v>B2-2</v>
      </c>
      <c r="F96" t="str">
        <f>VLOOKUP($C96, Egli_UPEC_metadata_provided!$A$2:$M$826, 5, FALSE)</f>
        <v>w</v>
      </c>
      <c r="G96">
        <f>VLOOKUP($C96, Egli_UPEC_metadata_provided!$A$2:$M$826, 6, FALSE)</f>
        <v>0</v>
      </c>
      <c r="H96">
        <f>VLOOKUP($C96, Egli_UPEC_metadata_provided!$A$2:$M$826, 7, FALSE)</f>
        <v>0</v>
      </c>
      <c r="I96">
        <f>VLOOKUP($C96, Egli_UPEC_metadata_provided!$A$2:$M$826, 8, FALSE)</f>
        <v>58.755980861243998</v>
      </c>
      <c r="J96" t="b">
        <f>VLOOKUP($C96, Egli_UPEC_metadata_provided!$A$2:$M$826, 9, FALSE)</f>
        <v>0</v>
      </c>
      <c r="K96">
        <f>VLOOKUP($C96, Egli_UPEC_metadata_provided!$A$2:$M$826, 10, FALSE)</f>
        <v>0</v>
      </c>
      <c r="L96" t="str">
        <f>VLOOKUP($C96, Egli_UPEC_metadata_provided!$A$2:$M$826, 11, FALSE)</f>
        <v>invasive</v>
      </c>
      <c r="M96">
        <f>VLOOKUP($C96, Egli_UPEC_metadata_provided!$A$2:$M$826, 12, FALSE)</f>
        <v>0</v>
      </c>
      <c r="N96">
        <f>VLOOKUP($C96, Egli_UPEC_metadata_provided!$A$2:$M$826, 13, FALSE)</f>
        <v>0</v>
      </c>
      <c r="O96">
        <f>VLOOKUP($C96, Egli_UPEC_metadata_provided!$A$2:$N$826, 14, FALSE)</f>
        <v>1</v>
      </c>
    </row>
    <row r="97" spans="1:15" x14ac:dyDescent="0.2">
      <c r="A97" t="s">
        <v>246</v>
      </c>
      <c r="B97" t="s">
        <v>3480</v>
      </c>
      <c r="C97" t="s">
        <v>3480</v>
      </c>
      <c r="D97">
        <f>VLOOKUP($C97, Egli_UPEC_metadata_provided!$A$2:$M$826, 3, FALSE)</f>
        <v>2018</v>
      </c>
      <c r="E97" t="str">
        <f>VLOOKUP($C97, Egli_UPEC_metadata_provided!$A$2:$M$826, 4, FALSE)</f>
        <v>D1</v>
      </c>
      <c r="F97" t="str">
        <f>VLOOKUP($C97, Egli_UPEC_metadata_provided!$A$2:$M$826, 5, FALSE)</f>
        <v>w</v>
      </c>
      <c r="G97">
        <f>VLOOKUP($C97, Egli_UPEC_metadata_provided!$A$2:$M$826, 6, FALSE)</f>
        <v>0</v>
      </c>
      <c r="H97">
        <f>VLOOKUP($C97, Egli_UPEC_metadata_provided!$A$2:$M$826, 7, FALSE)</f>
        <v>0</v>
      </c>
      <c r="I97">
        <f>VLOOKUP($C97, Egli_UPEC_metadata_provided!$A$2:$M$826, 8, FALSE)</f>
        <v>67.953520164046495</v>
      </c>
      <c r="J97" t="b">
        <f>VLOOKUP($C97, Egli_UPEC_metadata_provided!$A$2:$M$826, 9, FALSE)</f>
        <v>1</v>
      </c>
      <c r="K97">
        <f>VLOOKUP($C97, Egli_UPEC_metadata_provided!$A$2:$M$826, 10, FALSE)</f>
        <v>0</v>
      </c>
      <c r="L97" t="str">
        <f>VLOOKUP($C97, Egli_UPEC_metadata_provided!$A$2:$M$826, 11, FALSE)</f>
        <v>invasive</v>
      </c>
      <c r="M97">
        <f>VLOOKUP($C97, Egli_UPEC_metadata_provided!$A$2:$M$826, 12, FALSE)</f>
        <v>0</v>
      </c>
      <c r="N97">
        <f>VLOOKUP($C97, Egli_UPEC_metadata_provided!$A$2:$M$826, 13, FALSE)</f>
        <v>0</v>
      </c>
      <c r="O97">
        <f>VLOOKUP($C97, Egli_UPEC_metadata_provided!$A$2:$N$826, 14, FALSE)</f>
        <v>1</v>
      </c>
    </row>
    <row r="98" spans="1:15" x14ac:dyDescent="0.2">
      <c r="A98" t="s">
        <v>248</v>
      </c>
      <c r="B98" t="s">
        <v>3482</v>
      </c>
      <c r="C98" t="s">
        <v>3482</v>
      </c>
      <c r="D98">
        <f>VLOOKUP($C98, Egli_UPEC_metadata_provided!$A$2:$M$826, 3, FALSE)</f>
        <v>2018</v>
      </c>
      <c r="E98" t="str">
        <f>VLOOKUP($C98, Egli_UPEC_metadata_provided!$A$2:$M$826, 4, FALSE)</f>
        <v>B2-2</v>
      </c>
      <c r="F98" t="str">
        <f>VLOOKUP($C98, Egli_UPEC_metadata_provided!$A$2:$M$826, 5, FALSE)</f>
        <v>w</v>
      </c>
      <c r="G98">
        <f>VLOOKUP($C98, Egli_UPEC_metadata_provided!$A$2:$M$826, 6, FALSE)</f>
        <v>0</v>
      </c>
      <c r="H98">
        <f>VLOOKUP($C98, Egli_UPEC_metadata_provided!$A$2:$M$826, 7, FALSE)</f>
        <v>0</v>
      </c>
      <c r="I98">
        <f>VLOOKUP($C98, Egli_UPEC_metadata_provided!$A$2:$M$826, 8, FALSE)</f>
        <v>78.4114832535885</v>
      </c>
      <c r="J98" t="b">
        <f>VLOOKUP($C98, Egli_UPEC_metadata_provided!$A$2:$M$826, 9, FALSE)</f>
        <v>0</v>
      </c>
      <c r="K98">
        <f>VLOOKUP($C98, Egli_UPEC_metadata_provided!$A$2:$M$826, 10, FALSE)</f>
        <v>0</v>
      </c>
      <c r="L98" t="str">
        <f>VLOOKUP($C98, Egli_UPEC_metadata_provided!$A$2:$M$826, 11, FALSE)</f>
        <v>invasive</v>
      </c>
      <c r="M98">
        <f>VLOOKUP($C98, Egli_UPEC_metadata_provided!$A$2:$M$826, 12, FALSE)</f>
        <v>0</v>
      </c>
      <c r="N98">
        <f>VLOOKUP($C98, Egli_UPEC_metadata_provided!$A$2:$M$826, 13, FALSE)</f>
        <v>0</v>
      </c>
      <c r="O98">
        <f>VLOOKUP($C98, Egli_UPEC_metadata_provided!$A$2:$N$826, 14, FALSE)</f>
        <v>1</v>
      </c>
    </row>
    <row r="99" spans="1:15" x14ac:dyDescent="0.2">
      <c r="A99" t="s">
        <v>249</v>
      </c>
      <c r="B99" t="s">
        <v>3483</v>
      </c>
      <c r="C99" t="s">
        <v>3483</v>
      </c>
      <c r="D99">
        <f>VLOOKUP($C99, Egli_UPEC_metadata_provided!$A$2:$M$826, 3, FALSE)</f>
        <v>2018</v>
      </c>
      <c r="E99" t="str">
        <f>VLOOKUP($C99, Egli_UPEC_metadata_provided!$A$2:$M$826, 4, FALSE)</f>
        <v>B2-2</v>
      </c>
      <c r="F99" t="str">
        <f>VLOOKUP($C99, Egli_UPEC_metadata_provided!$A$2:$M$826, 5, FALSE)</f>
        <v>m</v>
      </c>
      <c r="G99" t="str">
        <f>VLOOKUP($C99, Egli_UPEC_metadata_provided!$A$2:$M$826, 6, FALSE)</f>
        <v>NA</v>
      </c>
      <c r="H99">
        <f>VLOOKUP($C99, Egli_UPEC_metadata_provided!$A$2:$M$826, 7, FALSE)</f>
        <v>6</v>
      </c>
      <c r="I99">
        <f>VLOOKUP($C99, Egli_UPEC_metadata_provided!$A$2:$M$826, 8, FALSE)</f>
        <v>50.017771701982198</v>
      </c>
      <c r="J99" t="b">
        <f>VLOOKUP($C99, Egli_UPEC_metadata_provided!$A$2:$M$826, 9, FALSE)</f>
        <v>0</v>
      </c>
      <c r="K99">
        <f>VLOOKUP($C99, Egli_UPEC_metadata_provided!$A$2:$M$826, 10, FALSE)</f>
        <v>0</v>
      </c>
      <c r="L99" t="str">
        <f>VLOOKUP($C99, Egli_UPEC_metadata_provided!$A$2:$M$826, 11, FALSE)</f>
        <v>invasive</v>
      </c>
      <c r="M99">
        <f>VLOOKUP($C99, Egli_UPEC_metadata_provided!$A$2:$M$826, 12, FALSE)</f>
        <v>0</v>
      </c>
      <c r="N99">
        <f>VLOOKUP($C99, Egli_UPEC_metadata_provided!$A$2:$M$826, 13, FALSE)</f>
        <v>0</v>
      </c>
      <c r="O99">
        <f>VLOOKUP($C99, Egli_UPEC_metadata_provided!$A$2:$N$826, 14, FALSE)</f>
        <v>0</v>
      </c>
    </row>
    <row r="100" spans="1:15" x14ac:dyDescent="0.2">
      <c r="A100" t="s">
        <v>251</v>
      </c>
      <c r="B100" t="s">
        <v>3485</v>
      </c>
      <c r="C100" t="s">
        <v>3485</v>
      </c>
      <c r="D100">
        <f>VLOOKUP($C100, Egli_UPEC_metadata_provided!$A$2:$M$826, 3, FALSE)</f>
        <v>2018</v>
      </c>
      <c r="E100" t="str">
        <f>VLOOKUP($C100, Egli_UPEC_metadata_provided!$A$2:$M$826, 4, FALSE)</f>
        <v>B2-2</v>
      </c>
      <c r="F100" t="str">
        <f>VLOOKUP($C100, Egli_UPEC_metadata_provided!$A$2:$M$826, 5, FALSE)</f>
        <v>w</v>
      </c>
      <c r="G100">
        <f>VLOOKUP($C100, Egli_UPEC_metadata_provided!$A$2:$M$826, 6, FALSE)</f>
        <v>0</v>
      </c>
      <c r="H100">
        <f>VLOOKUP($C100, Egli_UPEC_metadata_provided!$A$2:$M$826, 7, FALSE)</f>
        <v>0</v>
      </c>
      <c r="I100">
        <f>VLOOKUP($C100, Egli_UPEC_metadata_provided!$A$2:$M$826, 8, FALSE)</f>
        <v>27.185235816814799</v>
      </c>
      <c r="J100" t="b">
        <f>VLOOKUP($C100, Egli_UPEC_metadata_provided!$A$2:$M$826, 9, FALSE)</f>
        <v>1</v>
      </c>
      <c r="K100">
        <f>VLOOKUP($C100, Egli_UPEC_metadata_provided!$A$2:$M$826, 10, FALSE)</f>
        <v>0</v>
      </c>
      <c r="L100" t="str">
        <f>VLOOKUP($C100, Egli_UPEC_metadata_provided!$A$2:$M$826, 11, FALSE)</f>
        <v>invasive</v>
      </c>
      <c r="M100">
        <f>VLOOKUP($C100, Egli_UPEC_metadata_provided!$A$2:$M$826, 12, FALSE)</f>
        <v>0</v>
      </c>
      <c r="N100">
        <f>VLOOKUP($C100, Egli_UPEC_metadata_provided!$A$2:$M$826, 13, FALSE)</f>
        <v>0</v>
      </c>
      <c r="O100">
        <f>VLOOKUP($C100, Egli_UPEC_metadata_provided!$A$2:$N$826, 14, FALSE)</f>
        <v>1</v>
      </c>
    </row>
    <row r="101" spans="1:15" x14ac:dyDescent="0.2">
      <c r="A101" t="s">
        <v>254</v>
      </c>
      <c r="B101" t="s">
        <v>3488</v>
      </c>
      <c r="C101" t="s">
        <v>3488</v>
      </c>
      <c r="D101">
        <f>VLOOKUP($C101, Egli_UPEC_metadata_provided!$A$2:$M$826, 3, FALSE)</f>
        <v>2018</v>
      </c>
      <c r="E101" t="str">
        <f>VLOOKUP($C101, Egli_UPEC_metadata_provided!$A$2:$M$826, 4, FALSE)</f>
        <v>B2-1</v>
      </c>
      <c r="F101" t="str">
        <f>VLOOKUP($C101, Egli_UPEC_metadata_provided!$A$2:$M$826, 5, FALSE)</f>
        <v>m</v>
      </c>
      <c r="G101">
        <f>VLOOKUP($C101, Egli_UPEC_metadata_provided!$A$2:$M$826, 6, FALSE)</f>
        <v>0</v>
      </c>
      <c r="H101">
        <f>VLOOKUP($C101, Egli_UPEC_metadata_provided!$A$2:$M$826, 7, FALSE)</f>
        <v>1</v>
      </c>
      <c r="I101">
        <f>VLOOKUP($C101, Egli_UPEC_metadata_provided!$A$2:$M$826, 8, FALSE)</f>
        <v>39.578947368421098</v>
      </c>
      <c r="J101" t="b">
        <f>VLOOKUP($C101, Egli_UPEC_metadata_provided!$A$2:$M$826, 9, FALSE)</f>
        <v>0</v>
      </c>
      <c r="K101">
        <f>VLOOKUP($C101, Egli_UPEC_metadata_provided!$A$2:$M$826, 10, FALSE)</f>
        <v>0</v>
      </c>
      <c r="L101" t="str">
        <f>VLOOKUP($C101, Egli_UPEC_metadata_provided!$A$2:$M$826, 11, FALSE)</f>
        <v>invasive</v>
      </c>
      <c r="M101">
        <f>VLOOKUP($C101, Egli_UPEC_metadata_provided!$A$2:$M$826, 12, FALSE)</f>
        <v>1</v>
      </c>
      <c r="N101">
        <f>VLOOKUP($C101, Egli_UPEC_metadata_provided!$A$2:$M$826, 13, FALSE)</f>
        <v>0</v>
      </c>
      <c r="O101">
        <f>VLOOKUP($C101, Egli_UPEC_metadata_provided!$A$2:$N$826, 14, FALSE)</f>
        <v>0</v>
      </c>
    </row>
    <row r="102" spans="1:15" x14ac:dyDescent="0.2">
      <c r="A102" t="s">
        <v>255</v>
      </c>
      <c r="B102" t="s">
        <v>3489</v>
      </c>
      <c r="C102" t="s">
        <v>3489</v>
      </c>
      <c r="D102">
        <f>VLOOKUP($C102, Egli_UPEC_metadata_provided!$A$2:$M$826, 3, FALSE)</f>
        <v>2018</v>
      </c>
      <c r="E102" t="str">
        <f>VLOOKUP($C102, Egli_UPEC_metadata_provided!$A$2:$M$826, 4, FALSE)</f>
        <v>D1</v>
      </c>
      <c r="F102" t="str">
        <f>VLOOKUP($C102, Egli_UPEC_metadata_provided!$A$2:$M$826, 5, FALSE)</f>
        <v>m</v>
      </c>
      <c r="G102">
        <f>VLOOKUP($C102, Egli_UPEC_metadata_provided!$A$2:$M$826, 6, FALSE)</f>
        <v>1</v>
      </c>
      <c r="H102">
        <f>VLOOKUP($C102, Egli_UPEC_metadata_provided!$A$2:$M$826, 7, FALSE)</f>
        <v>2</v>
      </c>
      <c r="I102">
        <f>VLOOKUP($C102, Egli_UPEC_metadata_provided!$A$2:$M$826, 8, FALSE)</f>
        <v>28.101161995898799</v>
      </c>
      <c r="J102" t="b">
        <f>VLOOKUP($C102, Egli_UPEC_metadata_provided!$A$2:$M$826, 9, FALSE)</f>
        <v>0</v>
      </c>
      <c r="K102">
        <f>VLOOKUP($C102, Egli_UPEC_metadata_provided!$A$2:$M$826, 10, FALSE)</f>
        <v>0</v>
      </c>
      <c r="L102" t="str">
        <f>VLOOKUP($C102, Egli_UPEC_metadata_provided!$A$2:$M$826, 11, FALSE)</f>
        <v>invasive</v>
      </c>
      <c r="M102">
        <f>VLOOKUP($C102, Egli_UPEC_metadata_provided!$A$2:$M$826, 12, FALSE)</f>
        <v>0</v>
      </c>
      <c r="N102">
        <f>VLOOKUP($C102, Egli_UPEC_metadata_provided!$A$2:$M$826, 13, FALSE)</f>
        <v>0</v>
      </c>
      <c r="O102">
        <f>VLOOKUP($C102, Egli_UPEC_metadata_provided!$A$2:$N$826, 14, FALSE)</f>
        <v>0</v>
      </c>
    </row>
    <row r="103" spans="1:15" x14ac:dyDescent="0.2">
      <c r="A103" t="s">
        <v>257</v>
      </c>
      <c r="B103" t="s">
        <v>3491</v>
      </c>
      <c r="C103" t="s">
        <v>3491</v>
      </c>
      <c r="D103">
        <f>VLOOKUP($C103, Egli_UPEC_metadata_provided!$A$2:$M$826, 3, FALSE)</f>
        <v>2018</v>
      </c>
      <c r="E103" t="str">
        <f>VLOOKUP($C103, Egli_UPEC_metadata_provided!$A$2:$M$826, 4, FALSE)</f>
        <v>B2-2</v>
      </c>
      <c r="F103" t="str">
        <f>VLOOKUP($C103, Egli_UPEC_metadata_provided!$A$2:$M$826, 5, FALSE)</f>
        <v>m</v>
      </c>
      <c r="G103">
        <f>VLOOKUP($C103, Egli_UPEC_metadata_provided!$A$2:$M$826, 6, FALSE)</f>
        <v>0</v>
      </c>
      <c r="H103">
        <f>VLOOKUP($C103, Egli_UPEC_metadata_provided!$A$2:$M$826, 7, FALSE)</f>
        <v>0</v>
      </c>
      <c r="I103">
        <f>VLOOKUP($C103, Egli_UPEC_metadata_provided!$A$2:$M$826, 8, FALSE)</f>
        <v>54.017771701982198</v>
      </c>
      <c r="J103" t="b">
        <f>VLOOKUP($C103, Egli_UPEC_metadata_provided!$A$2:$M$826, 9, FALSE)</f>
        <v>0</v>
      </c>
      <c r="K103" t="str">
        <f>VLOOKUP($C103, Egli_UPEC_metadata_provided!$A$2:$M$826, 10, FALSE)</f>
        <v>NA</v>
      </c>
      <c r="L103" t="str">
        <f>VLOOKUP($C103, Egli_UPEC_metadata_provided!$A$2:$M$826, 11, FALSE)</f>
        <v>invasive</v>
      </c>
      <c r="M103">
        <f>VLOOKUP($C103, Egli_UPEC_metadata_provided!$A$2:$M$826, 12, FALSE)</f>
        <v>0</v>
      </c>
      <c r="N103">
        <f>VLOOKUP($C103, Egli_UPEC_metadata_provided!$A$2:$M$826, 13, FALSE)</f>
        <v>0</v>
      </c>
      <c r="O103">
        <f>VLOOKUP($C103, Egli_UPEC_metadata_provided!$A$2:$N$826, 14, FALSE)</f>
        <v>1</v>
      </c>
    </row>
    <row r="104" spans="1:15" x14ac:dyDescent="0.2">
      <c r="A104" t="s">
        <v>258</v>
      </c>
      <c r="B104" t="s">
        <v>3492</v>
      </c>
      <c r="C104" t="s">
        <v>3492</v>
      </c>
      <c r="D104">
        <f>VLOOKUP($C104, Egli_UPEC_metadata_provided!$A$2:$M$826, 3, FALSE)</f>
        <v>2018</v>
      </c>
      <c r="E104" t="str">
        <f>VLOOKUP($C104, Egli_UPEC_metadata_provided!$A$2:$M$826, 4, FALSE)</f>
        <v>B2-1</v>
      </c>
      <c r="F104" t="str">
        <f>VLOOKUP($C104, Egli_UPEC_metadata_provided!$A$2:$M$826, 5, FALSE)</f>
        <v>w</v>
      </c>
      <c r="G104">
        <f>VLOOKUP($C104, Egli_UPEC_metadata_provided!$A$2:$M$826, 6, FALSE)</f>
        <v>0</v>
      </c>
      <c r="H104">
        <f>VLOOKUP($C104, Egli_UPEC_metadata_provided!$A$2:$M$826, 7, FALSE)</f>
        <v>8</v>
      </c>
      <c r="I104">
        <f>VLOOKUP($C104, Egli_UPEC_metadata_provided!$A$2:$M$826, 8, FALSE)</f>
        <v>74.687628161312404</v>
      </c>
      <c r="J104" t="b">
        <f>VLOOKUP($C104, Egli_UPEC_metadata_provided!$A$2:$M$826, 9, FALSE)</f>
        <v>0</v>
      </c>
      <c r="K104">
        <f>VLOOKUP($C104, Egli_UPEC_metadata_provided!$A$2:$M$826, 10, FALSE)</f>
        <v>1</v>
      </c>
      <c r="L104" t="str">
        <f>VLOOKUP($C104, Egli_UPEC_metadata_provided!$A$2:$M$826, 11, FALSE)</f>
        <v>invasive</v>
      </c>
      <c r="M104">
        <f>VLOOKUP($C104, Egli_UPEC_metadata_provided!$A$2:$M$826, 12, FALSE)</f>
        <v>0</v>
      </c>
      <c r="N104">
        <f>VLOOKUP($C104, Egli_UPEC_metadata_provided!$A$2:$M$826, 13, FALSE)</f>
        <v>0</v>
      </c>
      <c r="O104">
        <f>VLOOKUP($C104, Egli_UPEC_metadata_provided!$A$2:$N$826, 14, FALSE)</f>
        <v>1</v>
      </c>
    </row>
    <row r="105" spans="1:15" x14ac:dyDescent="0.2">
      <c r="A105" t="s">
        <v>259</v>
      </c>
      <c r="B105" t="s">
        <v>3493</v>
      </c>
      <c r="C105" t="s">
        <v>3493</v>
      </c>
      <c r="D105">
        <f>VLOOKUP($C105, Egli_UPEC_metadata_provided!$A$2:$M$826, 3, FALSE)</f>
        <v>2018</v>
      </c>
      <c r="E105" t="str">
        <f>VLOOKUP($C105, Egli_UPEC_metadata_provided!$A$2:$M$826, 4, FALSE)</f>
        <v>B1</v>
      </c>
      <c r="F105" t="str">
        <f>VLOOKUP($C105, Egli_UPEC_metadata_provided!$A$2:$M$826, 5, FALSE)</f>
        <v>w</v>
      </c>
      <c r="G105">
        <f>VLOOKUP($C105, Egli_UPEC_metadata_provided!$A$2:$M$826, 6, FALSE)</f>
        <v>1</v>
      </c>
      <c r="H105">
        <f>VLOOKUP($C105, Egli_UPEC_metadata_provided!$A$2:$M$826, 7, FALSE)</f>
        <v>1</v>
      </c>
      <c r="I105">
        <f>VLOOKUP($C105, Egli_UPEC_metadata_provided!$A$2:$M$826, 8, FALSE)</f>
        <v>70.624743677375307</v>
      </c>
      <c r="J105" t="b">
        <f>VLOOKUP($C105, Egli_UPEC_metadata_provided!$A$2:$M$826, 9, FALSE)</f>
        <v>0</v>
      </c>
      <c r="K105">
        <f>VLOOKUP($C105, Egli_UPEC_metadata_provided!$A$2:$M$826, 10, FALSE)</f>
        <v>0</v>
      </c>
      <c r="L105" t="str">
        <f>VLOOKUP($C105, Egli_UPEC_metadata_provided!$A$2:$M$826, 11, FALSE)</f>
        <v>invasive</v>
      </c>
      <c r="M105">
        <f>VLOOKUP($C105, Egli_UPEC_metadata_provided!$A$2:$M$826, 12, FALSE)</f>
        <v>1</v>
      </c>
      <c r="N105">
        <f>VLOOKUP($C105, Egli_UPEC_metadata_provided!$A$2:$M$826, 13, FALSE)</f>
        <v>0</v>
      </c>
      <c r="O105">
        <f>VLOOKUP($C105, Egli_UPEC_metadata_provided!$A$2:$N$826, 14, FALSE)</f>
        <v>0</v>
      </c>
    </row>
    <row r="106" spans="1:15" x14ac:dyDescent="0.2">
      <c r="A106" t="s">
        <v>260</v>
      </c>
      <c r="B106" t="s">
        <v>3494</v>
      </c>
      <c r="C106" t="s">
        <v>3494</v>
      </c>
      <c r="D106">
        <f>VLOOKUP($C106, Egli_UPEC_metadata_provided!$A$2:$M$826, 3, FALSE)</f>
        <v>2018</v>
      </c>
      <c r="E106" t="str">
        <f>VLOOKUP($C106, Egli_UPEC_metadata_provided!$A$2:$M$826, 4, FALSE)</f>
        <v>B2-2</v>
      </c>
      <c r="F106" t="str">
        <f>VLOOKUP($C106, Egli_UPEC_metadata_provided!$A$2:$M$826, 5, FALSE)</f>
        <v>w</v>
      </c>
      <c r="G106">
        <f>VLOOKUP($C106, Egli_UPEC_metadata_provided!$A$2:$M$826, 6, FALSE)</f>
        <v>0</v>
      </c>
      <c r="H106">
        <f>VLOOKUP($C106, Egli_UPEC_metadata_provided!$A$2:$M$826, 7, FALSE)</f>
        <v>0</v>
      </c>
      <c r="I106">
        <f>VLOOKUP($C106, Egli_UPEC_metadata_provided!$A$2:$M$826, 8, FALSE)</f>
        <v>73.714285714285694</v>
      </c>
      <c r="J106" t="b">
        <f>VLOOKUP($C106, Egli_UPEC_metadata_provided!$A$2:$M$826, 9, FALSE)</f>
        <v>0</v>
      </c>
      <c r="K106">
        <f>VLOOKUP($C106, Egli_UPEC_metadata_provided!$A$2:$M$826, 10, FALSE)</f>
        <v>0</v>
      </c>
      <c r="L106" t="str">
        <f>VLOOKUP($C106, Egli_UPEC_metadata_provided!$A$2:$M$826, 11, FALSE)</f>
        <v>invasive</v>
      </c>
      <c r="M106">
        <f>VLOOKUP($C106, Egli_UPEC_metadata_provided!$A$2:$M$826, 12, FALSE)</f>
        <v>0</v>
      </c>
      <c r="N106">
        <f>VLOOKUP($C106, Egli_UPEC_metadata_provided!$A$2:$M$826, 13, FALSE)</f>
        <v>0</v>
      </c>
      <c r="O106">
        <f>VLOOKUP($C106, Egli_UPEC_metadata_provided!$A$2:$N$826, 14, FALSE)</f>
        <v>0</v>
      </c>
    </row>
    <row r="107" spans="1:15" x14ac:dyDescent="0.2">
      <c r="A107" t="s">
        <v>261</v>
      </c>
      <c r="B107" t="s">
        <v>3495</v>
      </c>
      <c r="C107" t="s">
        <v>3495</v>
      </c>
      <c r="D107">
        <f>VLOOKUP($C107, Egli_UPEC_metadata_provided!$A$2:$M$826, 3, FALSE)</f>
        <v>2018</v>
      </c>
      <c r="E107" t="str">
        <f>VLOOKUP($C107, Egli_UPEC_metadata_provided!$A$2:$M$826, 4, FALSE)</f>
        <v>D3</v>
      </c>
      <c r="F107" t="str">
        <f>VLOOKUP($C107, Egli_UPEC_metadata_provided!$A$2:$M$826, 5, FALSE)</f>
        <v>m</v>
      </c>
      <c r="G107">
        <f>VLOOKUP($C107, Egli_UPEC_metadata_provided!$A$2:$M$826, 6, FALSE)</f>
        <v>0</v>
      </c>
      <c r="H107">
        <f>VLOOKUP($C107, Egli_UPEC_metadata_provided!$A$2:$M$826, 7, FALSE)</f>
        <v>4</v>
      </c>
      <c r="I107">
        <f>VLOOKUP($C107, Egli_UPEC_metadata_provided!$A$2:$M$826, 8, FALSE)</f>
        <v>88.399179767600799</v>
      </c>
      <c r="J107" t="b">
        <f>VLOOKUP($C107, Egli_UPEC_metadata_provided!$A$2:$M$826, 9, FALSE)</f>
        <v>1</v>
      </c>
      <c r="K107">
        <f>VLOOKUP($C107, Egli_UPEC_metadata_provided!$A$2:$M$826, 10, FALSE)</f>
        <v>0</v>
      </c>
      <c r="L107" t="str">
        <f>VLOOKUP($C107, Egli_UPEC_metadata_provided!$A$2:$M$826, 11, FALSE)</f>
        <v>invasive</v>
      </c>
      <c r="M107">
        <f>VLOOKUP($C107, Egli_UPEC_metadata_provided!$A$2:$M$826, 12, FALSE)</f>
        <v>0</v>
      </c>
      <c r="N107">
        <f>VLOOKUP($C107, Egli_UPEC_metadata_provided!$A$2:$M$826, 13, FALSE)</f>
        <v>0</v>
      </c>
      <c r="O107">
        <f>VLOOKUP($C107, Egli_UPEC_metadata_provided!$A$2:$N$826, 14, FALSE)</f>
        <v>0</v>
      </c>
    </row>
    <row r="108" spans="1:15" x14ac:dyDescent="0.2">
      <c r="A108" t="s">
        <v>262</v>
      </c>
      <c r="B108" t="s">
        <v>3496</v>
      </c>
      <c r="C108" t="s">
        <v>3496</v>
      </c>
      <c r="D108">
        <f>VLOOKUP($C108, Egli_UPEC_metadata_provided!$A$2:$M$826, 3, FALSE)</f>
        <v>2018</v>
      </c>
      <c r="E108" t="str">
        <f>VLOOKUP($C108, Egli_UPEC_metadata_provided!$A$2:$M$826, 4, FALSE)</f>
        <v>B2-1</v>
      </c>
      <c r="F108" t="str">
        <f>VLOOKUP($C108, Egli_UPEC_metadata_provided!$A$2:$M$826, 5, FALSE)</f>
        <v>w</v>
      </c>
      <c r="G108">
        <f>VLOOKUP($C108, Egli_UPEC_metadata_provided!$A$2:$M$826, 6, FALSE)</f>
        <v>1</v>
      </c>
      <c r="H108">
        <f>VLOOKUP($C108, Egli_UPEC_metadata_provided!$A$2:$M$826, 7, FALSE)</f>
        <v>3</v>
      </c>
      <c r="I108">
        <f>VLOOKUP($C108, Egli_UPEC_metadata_provided!$A$2:$M$826, 8, FALSE)</f>
        <v>64.385509227614506</v>
      </c>
      <c r="J108" t="b">
        <f>VLOOKUP($C108, Egli_UPEC_metadata_provided!$A$2:$M$826, 9, FALSE)</f>
        <v>1</v>
      </c>
      <c r="K108" t="str">
        <f>VLOOKUP($C108, Egli_UPEC_metadata_provided!$A$2:$M$826, 10, FALSE)</f>
        <v>NA</v>
      </c>
      <c r="L108" t="str">
        <f>VLOOKUP($C108, Egli_UPEC_metadata_provided!$A$2:$M$826, 11, FALSE)</f>
        <v>invasive</v>
      </c>
      <c r="M108">
        <f>VLOOKUP($C108, Egli_UPEC_metadata_provided!$A$2:$M$826, 12, FALSE)</f>
        <v>0</v>
      </c>
      <c r="N108">
        <f>VLOOKUP($C108, Egli_UPEC_metadata_provided!$A$2:$M$826, 13, FALSE)</f>
        <v>0</v>
      </c>
      <c r="O108">
        <f>VLOOKUP($C108, Egli_UPEC_metadata_provided!$A$2:$N$826, 14, FALSE)</f>
        <v>1</v>
      </c>
    </row>
    <row r="109" spans="1:15" x14ac:dyDescent="0.2">
      <c r="A109" t="s">
        <v>265</v>
      </c>
      <c r="B109" t="s">
        <v>3499</v>
      </c>
      <c r="C109" t="s">
        <v>3499</v>
      </c>
      <c r="D109">
        <f>VLOOKUP($C109, Egli_UPEC_metadata_provided!$A$2:$M$826, 3, FALSE)</f>
        <v>2018</v>
      </c>
      <c r="E109" t="str">
        <f>VLOOKUP($C109, Egli_UPEC_metadata_provided!$A$2:$M$826, 4, FALSE)</f>
        <v>B2-2</v>
      </c>
      <c r="F109" t="str">
        <f>VLOOKUP($C109, Egli_UPEC_metadata_provided!$A$2:$M$826, 5, FALSE)</f>
        <v>m</v>
      </c>
      <c r="G109">
        <f>VLOOKUP($C109, Egli_UPEC_metadata_provided!$A$2:$M$826, 6, FALSE)</f>
        <v>0</v>
      </c>
      <c r="H109">
        <f>VLOOKUP($C109, Egli_UPEC_metadata_provided!$A$2:$M$826, 7, FALSE)</f>
        <v>0</v>
      </c>
      <c r="I109">
        <f>VLOOKUP($C109, Egli_UPEC_metadata_provided!$A$2:$M$826, 8, FALSE)</f>
        <v>28.9432672590567</v>
      </c>
      <c r="J109" t="b">
        <f>VLOOKUP($C109, Egli_UPEC_metadata_provided!$A$2:$M$826, 9, FALSE)</f>
        <v>0</v>
      </c>
      <c r="K109" t="str">
        <f>VLOOKUP($C109, Egli_UPEC_metadata_provided!$A$2:$M$826, 10, FALSE)</f>
        <v>NA</v>
      </c>
      <c r="L109" t="str">
        <f>VLOOKUP($C109, Egli_UPEC_metadata_provided!$A$2:$M$826, 11, FALSE)</f>
        <v>invasive</v>
      </c>
      <c r="M109">
        <f>VLOOKUP($C109, Egli_UPEC_metadata_provided!$A$2:$M$826, 12, FALSE)</f>
        <v>0</v>
      </c>
      <c r="N109">
        <f>VLOOKUP($C109, Egli_UPEC_metadata_provided!$A$2:$M$826, 13, FALSE)</f>
        <v>0</v>
      </c>
      <c r="O109">
        <f>VLOOKUP($C109, Egli_UPEC_metadata_provided!$A$2:$N$826, 14, FALSE)</f>
        <v>0</v>
      </c>
    </row>
    <row r="110" spans="1:15" x14ac:dyDescent="0.2">
      <c r="A110" t="s">
        <v>266</v>
      </c>
      <c r="B110" t="s">
        <v>3500</v>
      </c>
      <c r="C110" t="s">
        <v>3500</v>
      </c>
      <c r="D110">
        <f>VLOOKUP($C110, Egli_UPEC_metadata_provided!$A$2:$M$826, 3, FALSE)</f>
        <v>2018</v>
      </c>
      <c r="E110" t="str">
        <f>VLOOKUP($C110, Egli_UPEC_metadata_provided!$A$2:$M$826, 4, FALSE)</f>
        <v>A</v>
      </c>
      <c r="F110" t="str">
        <f>VLOOKUP($C110, Egli_UPEC_metadata_provided!$A$2:$M$826, 5, FALSE)</f>
        <v>m</v>
      </c>
      <c r="G110">
        <f>VLOOKUP($C110, Egli_UPEC_metadata_provided!$A$2:$M$826, 6, FALSE)</f>
        <v>0</v>
      </c>
      <c r="H110">
        <f>VLOOKUP($C110, Egli_UPEC_metadata_provided!$A$2:$M$826, 7, FALSE)</f>
        <v>4</v>
      </c>
      <c r="I110">
        <f>VLOOKUP($C110, Egli_UPEC_metadata_provided!$A$2:$M$826, 8, FALSE)</f>
        <v>70.2118933697881</v>
      </c>
      <c r="J110" t="b">
        <f>VLOOKUP($C110, Egli_UPEC_metadata_provided!$A$2:$M$826, 9, FALSE)</f>
        <v>0</v>
      </c>
      <c r="K110">
        <f>VLOOKUP($C110, Egli_UPEC_metadata_provided!$A$2:$M$826, 10, FALSE)</f>
        <v>0</v>
      </c>
      <c r="L110" t="str">
        <f>VLOOKUP($C110, Egli_UPEC_metadata_provided!$A$2:$M$826, 11, FALSE)</f>
        <v>invasive</v>
      </c>
      <c r="M110">
        <f>VLOOKUP($C110, Egli_UPEC_metadata_provided!$A$2:$M$826, 12, FALSE)</f>
        <v>0</v>
      </c>
      <c r="N110">
        <f>VLOOKUP($C110, Egli_UPEC_metadata_provided!$A$2:$M$826, 13, FALSE)</f>
        <v>0</v>
      </c>
      <c r="O110">
        <f>VLOOKUP($C110, Egli_UPEC_metadata_provided!$A$2:$N$826, 14, FALSE)</f>
        <v>1</v>
      </c>
    </row>
    <row r="111" spans="1:15" x14ac:dyDescent="0.2">
      <c r="A111" t="s">
        <v>267</v>
      </c>
      <c r="B111" t="s">
        <v>3501</v>
      </c>
      <c r="C111" t="s">
        <v>3501</v>
      </c>
      <c r="D111">
        <f>VLOOKUP($C111, Egli_UPEC_metadata_provided!$A$2:$M$826, 3, FALSE)</f>
        <v>2018</v>
      </c>
      <c r="E111" t="str">
        <f>VLOOKUP($C111, Egli_UPEC_metadata_provided!$A$2:$M$826, 4, FALSE)</f>
        <v>B2-1</v>
      </c>
      <c r="F111" t="str">
        <f>VLOOKUP($C111, Egli_UPEC_metadata_provided!$A$2:$M$826, 5, FALSE)</f>
        <v>m</v>
      </c>
      <c r="G111">
        <f>VLOOKUP($C111, Egli_UPEC_metadata_provided!$A$2:$M$826, 6, FALSE)</f>
        <v>0</v>
      </c>
      <c r="H111">
        <f>VLOOKUP($C111, Egli_UPEC_metadata_provided!$A$2:$M$826, 7, FALSE)</f>
        <v>1</v>
      </c>
      <c r="I111">
        <f>VLOOKUP($C111, Egli_UPEC_metadata_provided!$A$2:$M$826, 8, FALSE)</f>
        <v>83.557074504442895</v>
      </c>
      <c r="J111" t="b">
        <f>VLOOKUP($C111, Egli_UPEC_metadata_provided!$A$2:$M$826, 9, FALSE)</f>
        <v>0</v>
      </c>
      <c r="K111">
        <f>VLOOKUP($C111, Egli_UPEC_metadata_provided!$A$2:$M$826, 10, FALSE)</f>
        <v>0</v>
      </c>
      <c r="L111" t="str">
        <f>VLOOKUP($C111, Egli_UPEC_metadata_provided!$A$2:$M$826, 11, FALSE)</f>
        <v>invasive</v>
      </c>
      <c r="M111">
        <f>VLOOKUP($C111, Egli_UPEC_metadata_provided!$A$2:$M$826, 12, FALSE)</f>
        <v>0</v>
      </c>
      <c r="N111">
        <f>VLOOKUP($C111, Egli_UPEC_metadata_provided!$A$2:$M$826, 13, FALSE)</f>
        <v>0</v>
      </c>
      <c r="O111">
        <f>VLOOKUP($C111, Egli_UPEC_metadata_provided!$A$2:$N$826, 14, FALSE)</f>
        <v>0</v>
      </c>
    </row>
    <row r="112" spans="1:15" x14ac:dyDescent="0.2">
      <c r="A112" t="s">
        <v>269</v>
      </c>
      <c r="B112" t="s">
        <v>3503</v>
      </c>
      <c r="C112" t="s">
        <v>3503</v>
      </c>
      <c r="D112">
        <f>VLOOKUP($C112, Egli_UPEC_metadata_provided!$A$2:$M$826, 3, FALSE)</f>
        <v>2018</v>
      </c>
      <c r="E112" t="str">
        <f>VLOOKUP($C112, Egli_UPEC_metadata_provided!$A$2:$M$826, 4, FALSE)</f>
        <v>B2-2</v>
      </c>
      <c r="F112" t="str">
        <f>VLOOKUP($C112, Egli_UPEC_metadata_provided!$A$2:$M$826, 5, FALSE)</f>
        <v>w</v>
      </c>
      <c r="G112">
        <f>VLOOKUP($C112, Egli_UPEC_metadata_provided!$A$2:$M$826, 6, FALSE)</f>
        <v>0</v>
      </c>
      <c r="H112">
        <f>VLOOKUP($C112, Egli_UPEC_metadata_provided!$A$2:$M$826, 7, FALSE)</f>
        <v>1</v>
      </c>
      <c r="I112">
        <f>VLOOKUP($C112, Egli_UPEC_metadata_provided!$A$2:$M$826, 8, FALSE)</f>
        <v>81.476418318523599</v>
      </c>
      <c r="J112" t="b">
        <f>VLOOKUP($C112, Egli_UPEC_metadata_provided!$A$2:$M$826, 9, FALSE)</f>
        <v>1</v>
      </c>
      <c r="K112">
        <f>VLOOKUP($C112, Egli_UPEC_metadata_provided!$A$2:$M$826, 10, FALSE)</f>
        <v>0</v>
      </c>
      <c r="L112" t="str">
        <f>VLOOKUP($C112, Egli_UPEC_metadata_provided!$A$2:$M$826, 11, FALSE)</f>
        <v>invasive</v>
      </c>
      <c r="M112">
        <f>VLOOKUP($C112, Egli_UPEC_metadata_provided!$A$2:$M$826, 12, FALSE)</f>
        <v>0</v>
      </c>
      <c r="N112">
        <f>VLOOKUP($C112, Egli_UPEC_metadata_provided!$A$2:$M$826, 13, FALSE)</f>
        <v>0</v>
      </c>
      <c r="O112">
        <f>VLOOKUP($C112, Egli_UPEC_metadata_provided!$A$2:$N$826, 14, FALSE)</f>
        <v>0</v>
      </c>
    </row>
    <row r="113" spans="1:15" x14ac:dyDescent="0.2">
      <c r="A113" t="s">
        <v>271</v>
      </c>
      <c r="B113" t="s">
        <v>3505</v>
      </c>
      <c r="C113" t="s">
        <v>3505</v>
      </c>
      <c r="D113">
        <f>VLOOKUP($C113, Egli_UPEC_metadata_provided!$A$2:$M$826, 3, FALSE)</f>
        <v>2018</v>
      </c>
      <c r="E113" t="str">
        <f>VLOOKUP($C113, Egli_UPEC_metadata_provided!$A$2:$M$826, 4, FALSE)</f>
        <v>B2-2</v>
      </c>
      <c r="F113" t="str">
        <f>VLOOKUP($C113, Egli_UPEC_metadata_provided!$A$2:$M$826, 5, FALSE)</f>
        <v>w</v>
      </c>
      <c r="G113">
        <f>VLOOKUP($C113, Egli_UPEC_metadata_provided!$A$2:$M$826, 6, FALSE)</f>
        <v>0</v>
      </c>
      <c r="H113">
        <f>VLOOKUP($C113, Egli_UPEC_metadata_provided!$A$2:$M$826, 7, FALSE)</f>
        <v>1</v>
      </c>
      <c r="I113">
        <f>VLOOKUP($C113, Egli_UPEC_metadata_provided!$A$2:$M$826, 8, FALSE)</f>
        <v>81.725222146274803</v>
      </c>
      <c r="J113" t="b">
        <f>VLOOKUP($C113, Egli_UPEC_metadata_provided!$A$2:$M$826, 9, FALSE)</f>
        <v>0</v>
      </c>
      <c r="K113">
        <f>VLOOKUP($C113, Egli_UPEC_metadata_provided!$A$2:$M$826, 10, FALSE)</f>
        <v>0</v>
      </c>
      <c r="L113" t="str">
        <f>VLOOKUP($C113, Egli_UPEC_metadata_provided!$A$2:$M$826, 11, FALSE)</f>
        <v>invasive</v>
      </c>
      <c r="M113">
        <f>VLOOKUP($C113, Egli_UPEC_metadata_provided!$A$2:$M$826, 12, FALSE)</f>
        <v>0</v>
      </c>
      <c r="N113">
        <f>VLOOKUP($C113, Egli_UPEC_metadata_provided!$A$2:$M$826, 13, FALSE)</f>
        <v>0</v>
      </c>
      <c r="O113">
        <f>VLOOKUP($C113, Egli_UPEC_metadata_provided!$A$2:$N$826, 14, FALSE)</f>
        <v>0</v>
      </c>
    </row>
    <row r="114" spans="1:15" x14ac:dyDescent="0.2">
      <c r="A114" t="s">
        <v>272</v>
      </c>
      <c r="B114" t="s">
        <v>3506</v>
      </c>
      <c r="C114" t="s">
        <v>3506</v>
      </c>
      <c r="D114">
        <f>VLOOKUP($C114, Egli_UPEC_metadata_provided!$A$2:$M$826, 3, FALSE)</f>
        <v>2018</v>
      </c>
      <c r="E114" t="str">
        <f>VLOOKUP($C114, Egli_UPEC_metadata_provided!$A$2:$M$826, 4, FALSE)</f>
        <v>B2-2</v>
      </c>
      <c r="F114" t="str">
        <f>VLOOKUP($C114, Egli_UPEC_metadata_provided!$A$2:$M$826, 5, FALSE)</f>
        <v>w</v>
      </c>
      <c r="G114">
        <f>VLOOKUP($C114, Egli_UPEC_metadata_provided!$A$2:$M$826, 6, FALSE)</f>
        <v>0</v>
      </c>
      <c r="H114">
        <f>VLOOKUP($C114, Egli_UPEC_metadata_provided!$A$2:$M$826, 7, FALSE)</f>
        <v>0</v>
      </c>
      <c r="I114">
        <f>VLOOKUP($C114, Egli_UPEC_metadata_provided!$A$2:$M$826, 8, FALSE)</f>
        <v>17.968557758031402</v>
      </c>
      <c r="J114" t="b">
        <f>VLOOKUP($C114, Egli_UPEC_metadata_provided!$A$2:$M$826, 9, FALSE)</f>
        <v>1</v>
      </c>
      <c r="K114">
        <f>VLOOKUP($C114, Egli_UPEC_metadata_provided!$A$2:$M$826, 10, FALSE)</f>
        <v>0</v>
      </c>
      <c r="L114" t="str">
        <f>VLOOKUP($C114, Egli_UPEC_metadata_provided!$A$2:$M$826, 11, FALSE)</f>
        <v>invasive</v>
      </c>
      <c r="M114">
        <f>VLOOKUP($C114, Egli_UPEC_metadata_provided!$A$2:$M$826, 12, FALSE)</f>
        <v>0</v>
      </c>
      <c r="N114">
        <f>VLOOKUP($C114, Egli_UPEC_metadata_provided!$A$2:$M$826, 13, FALSE)</f>
        <v>0</v>
      </c>
      <c r="O114">
        <f>VLOOKUP($C114, Egli_UPEC_metadata_provided!$A$2:$N$826, 14, FALSE)</f>
        <v>1</v>
      </c>
    </row>
    <row r="115" spans="1:15" x14ac:dyDescent="0.2">
      <c r="A115" t="s">
        <v>273</v>
      </c>
      <c r="B115" t="s">
        <v>3507</v>
      </c>
      <c r="C115" t="s">
        <v>3507</v>
      </c>
      <c r="D115">
        <f>VLOOKUP($C115, Egli_UPEC_metadata_provided!$A$2:$M$826, 3, FALSE)</f>
        <v>2018</v>
      </c>
      <c r="E115" t="str">
        <f>VLOOKUP($C115, Egli_UPEC_metadata_provided!$A$2:$M$826, 4, FALSE)</f>
        <v>B2-2</v>
      </c>
      <c r="F115" t="str">
        <f>VLOOKUP($C115, Egli_UPEC_metadata_provided!$A$2:$M$826, 5, FALSE)</f>
        <v>w</v>
      </c>
      <c r="G115">
        <f>VLOOKUP($C115, Egli_UPEC_metadata_provided!$A$2:$M$826, 6, FALSE)</f>
        <v>0</v>
      </c>
      <c r="H115">
        <f>VLOOKUP($C115, Egli_UPEC_metadata_provided!$A$2:$M$826, 7, FALSE)</f>
        <v>0</v>
      </c>
      <c r="I115">
        <f>VLOOKUP($C115, Egli_UPEC_metadata_provided!$A$2:$M$826, 8, FALSE)</f>
        <v>21.760765550239199</v>
      </c>
      <c r="J115" t="b">
        <f>VLOOKUP($C115, Egli_UPEC_metadata_provided!$A$2:$M$826, 9, FALSE)</f>
        <v>1</v>
      </c>
      <c r="K115">
        <f>VLOOKUP($C115, Egli_UPEC_metadata_provided!$A$2:$M$826, 10, FALSE)</f>
        <v>0</v>
      </c>
      <c r="L115" t="str">
        <f>VLOOKUP($C115, Egli_UPEC_metadata_provided!$A$2:$M$826, 11, FALSE)</f>
        <v>invasive</v>
      </c>
      <c r="M115">
        <f>VLOOKUP($C115, Egli_UPEC_metadata_provided!$A$2:$M$826, 12, FALSE)</f>
        <v>0</v>
      </c>
      <c r="N115">
        <f>VLOOKUP($C115, Egli_UPEC_metadata_provided!$A$2:$M$826, 13, FALSE)</f>
        <v>0</v>
      </c>
      <c r="O115">
        <f>VLOOKUP($C115, Egli_UPEC_metadata_provided!$A$2:$N$826, 14, FALSE)</f>
        <v>1</v>
      </c>
    </row>
    <row r="116" spans="1:15" x14ac:dyDescent="0.2">
      <c r="A116" t="s">
        <v>274</v>
      </c>
      <c r="B116" t="s">
        <v>3508</v>
      </c>
      <c r="C116" t="s">
        <v>3508</v>
      </c>
      <c r="D116">
        <f>VLOOKUP($C116, Egli_UPEC_metadata_provided!$A$2:$M$826, 3, FALSE)</f>
        <v>2018</v>
      </c>
      <c r="E116" t="str">
        <f>VLOOKUP($C116, Egli_UPEC_metadata_provided!$A$2:$M$826, 4, FALSE)</f>
        <v>D1</v>
      </c>
      <c r="F116" t="str">
        <f>VLOOKUP($C116, Egli_UPEC_metadata_provided!$A$2:$M$826, 5, FALSE)</f>
        <v>m</v>
      </c>
      <c r="G116">
        <f>VLOOKUP($C116, Egli_UPEC_metadata_provided!$A$2:$M$826, 6, FALSE)</f>
        <v>0</v>
      </c>
      <c r="H116">
        <f>VLOOKUP($C116, Egli_UPEC_metadata_provided!$A$2:$M$826, 7, FALSE)</f>
        <v>2</v>
      </c>
      <c r="I116">
        <f>VLOOKUP($C116, Egli_UPEC_metadata_provided!$A$2:$M$826, 8, FALSE)</f>
        <v>78.151742993848302</v>
      </c>
      <c r="J116" t="b">
        <f>VLOOKUP($C116, Egli_UPEC_metadata_provided!$A$2:$M$826, 9, FALSE)</f>
        <v>1</v>
      </c>
      <c r="K116">
        <f>VLOOKUP($C116, Egli_UPEC_metadata_provided!$A$2:$M$826, 10, FALSE)</f>
        <v>0</v>
      </c>
      <c r="L116" t="str">
        <f>VLOOKUP($C116, Egli_UPEC_metadata_provided!$A$2:$M$826, 11, FALSE)</f>
        <v>invasive</v>
      </c>
      <c r="M116">
        <f>VLOOKUP($C116, Egli_UPEC_metadata_provided!$A$2:$M$826, 12, FALSE)</f>
        <v>0</v>
      </c>
      <c r="N116">
        <f>VLOOKUP($C116, Egli_UPEC_metadata_provided!$A$2:$M$826, 13, FALSE)</f>
        <v>0</v>
      </c>
      <c r="O116">
        <f>VLOOKUP($C116, Egli_UPEC_metadata_provided!$A$2:$N$826, 14, FALSE)</f>
        <v>1</v>
      </c>
    </row>
    <row r="117" spans="1:15" x14ac:dyDescent="0.2">
      <c r="A117" t="s">
        <v>275</v>
      </c>
      <c r="B117" t="s">
        <v>3509</v>
      </c>
      <c r="C117" t="s">
        <v>3509</v>
      </c>
      <c r="D117">
        <f>VLOOKUP($C117, Egli_UPEC_metadata_provided!$A$2:$M$826, 3, FALSE)</f>
        <v>2018</v>
      </c>
      <c r="E117" t="str">
        <f>VLOOKUP($C117, Egli_UPEC_metadata_provided!$A$2:$M$826, 4, FALSE)</f>
        <v>B2-2</v>
      </c>
      <c r="F117" t="str">
        <f>VLOOKUP($C117, Egli_UPEC_metadata_provided!$A$2:$M$826, 5, FALSE)</f>
        <v>w</v>
      </c>
      <c r="G117">
        <f>VLOOKUP($C117, Egli_UPEC_metadata_provided!$A$2:$M$826, 6, FALSE)</f>
        <v>0</v>
      </c>
      <c r="H117">
        <f>VLOOKUP($C117, Egli_UPEC_metadata_provided!$A$2:$M$826, 7, FALSE)</f>
        <v>1</v>
      </c>
      <c r="I117">
        <f>VLOOKUP($C117, Egli_UPEC_metadata_provided!$A$2:$M$826, 8, FALSE)</f>
        <v>65.131920710868101</v>
      </c>
      <c r="J117" t="b">
        <f>VLOOKUP($C117, Egli_UPEC_metadata_provided!$A$2:$M$826, 9, FALSE)</f>
        <v>0</v>
      </c>
      <c r="K117">
        <f>VLOOKUP($C117, Egli_UPEC_metadata_provided!$A$2:$M$826, 10, FALSE)</f>
        <v>0</v>
      </c>
      <c r="L117" t="str">
        <f>VLOOKUP($C117, Egli_UPEC_metadata_provided!$A$2:$M$826, 11, FALSE)</f>
        <v>invasive</v>
      </c>
      <c r="M117">
        <f>VLOOKUP($C117, Egli_UPEC_metadata_provided!$A$2:$M$826, 12, FALSE)</f>
        <v>1</v>
      </c>
      <c r="N117">
        <f>VLOOKUP($C117, Egli_UPEC_metadata_provided!$A$2:$M$826, 13, FALSE)</f>
        <v>0</v>
      </c>
      <c r="O117">
        <f>VLOOKUP($C117, Egli_UPEC_metadata_provided!$A$2:$N$826, 14, FALSE)</f>
        <v>0</v>
      </c>
    </row>
    <row r="118" spans="1:15" x14ac:dyDescent="0.2">
      <c r="A118" t="s">
        <v>277</v>
      </c>
      <c r="B118" t="s">
        <v>3511</v>
      </c>
      <c r="C118" t="s">
        <v>3511</v>
      </c>
      <c r="D118">
        <f>VLOOKUP($C118, Egli_UPEC_metadata_provided!$A$2:$M$826, 3, FALSE)</f>
        <v>2018</v>
      </c>
      <c r="E118" t="str">
        <f>VLOOKUP($C118, Egli_UPEC_metadata_provided!$A$2:$M$826, 4, FALSE)</f>
        <v>F</v>
      </c>
      <c r="F118" t="str">
        <f>VLOOKUP($C118, Egli_UPEC_metadata_provided!$A$2:$M$826, 5, FALSE)</f>
        <v>w</v>
      </c>
      <c r="G118">
        <f>VLOOKUP($C118, Egli_UPEC_metadata_provided!$A$2:$M$826, 6, FALSE)</f>
        <v>0</v>
      </c>
      <c r="H118">
        <f>VLOOKUP($C118, Egli_UPEC_metadata_provided!$A$2:$M$826, 7, FALSE)</f>
        <v>2</v>
      </c>
      <c r="I118">
        <f>VLOOKUP($C118, Egli_UPEC_metadata_provided!$A$2:$M$826, 8, FALSE)</f>
        <v>58.236500341763502</v>
      </c>
      <c r="J118" t="b">
        <f>VLOOKUP($C118, Egli_UPEC_metadata_provided!$A$2:$M$826, 9, FALSE)</f>
        <v>1</v>
      </c>
      <c r="K118">
        <f>VLOOKUP($C118, Egli_UPEC_metadata_provided!$A$2:$M$826, 10, FALSE)</f>
        <v>0</v>
      </c>
      <c r="L118" t="str">
        <f>VLOOKUP($C118, Egli_UPEC_metadata_provided!$A$2:$M$826, 11, FALSE)</f>
        <v>invasive</v>
      </c>
      <c r="M118">
        <f>VLOOKUP($C118, Egli_UPEC_metadata_provided!$A$2:$M$826, 12, FALSE)</f>
        <v>0</v>
      </c>
      <c r="N118">
        <f>VLOOKUP($C118, Egli_UPEC_metadata_provided!$A$2:$M$826, 13, FALSE)</f>
        <v>0</v>
      </c>
      <c r="O118">
        <f>VLOOKUP($C118, Egli_UPEC_metadata_provided!$A$2:$N$826, 14, FALSE)</f>
        <v>0</v>
      </c>
    </row>
    <row r="119" spans="1:15" x14ac:dyDescent="0.2">
      <c r="A119" t="s">
        <v>278</v>
      </c>
      <c r="B119" t="s">
        <v>3512</v>
      </c>
      <c r="C119" t="s">
        <v>3512</v>
      </c>
      <c r="D119">
        <f>VLOOKUP($C119, Egli_UPEC_metadata_provided!$A$2:$M$826, 3, FALSE)</f>
        <v>2018</v>
      </c>
      <c r="E119" t="str">
        <f>VLOOKUP($C119, Egli_UPEC_metadata_provided!$A$2:$M$826, 4, FALSE)</f>
        <v>D1</v>
      </c>
      <c r="F119" t="str">
        <f>VLOOKUP($C119, Egli_UPEC_metadata_provided!$A$2:$M$826, 5, FALSE)</f>
        <v>w</v>
      </c>
      <c r="G119">
        <f>VLOOKUP($C119, Egli_UPEC_metadata_provided!$A$2:$M$826, 6, FALSE)</f>
        <v>0</v>
      </c>
      <c r="H119">
        <f>VLOOKUP($C119, Egli_UPEC_metadata_provided!$A$2:$M$826, 7, FALSE)</f>
        <v>2</v>
      </c>
      <c r="I119">
        <f>VLOOKUP($C119, Egli_UPEC_metadata_provided!$A$2:$M$826, 8, FALSE)</f>
        <v>70.263841421736203</v>
      </c>
      <c r="J119" t="b">
        <f>VLOOKUP($C119, Egli_UPEC_metadata_provided!$A$2:$M$826, 9, FALSE)</f>
        <v>1</v>
      </c>
      <c r="K119">
        <f>VLOOKUP($C119, Egli_UPEC_metadata_provided!$A$2:$M$826, 10, FALSE)</f>
        <v>0</v>
      </c>
      <c r="L119" t="str">
        <f>VLOOKUP($C119, Egli_UPEC_metadata_provided!$A$2:$M$826, 11, FALSE)</f>
        <v>invasive</v>
      </c>
      <c r="M119">
        <f>VLOOKUP($C119, Egli_UPEC_metadata_provided!$A$2:$M$826, 12, FALSE)</f>
        <v>0</v>
      </c>
      <c r="N119">
        <f>VLOOKUP($C119, Egli_UPEC_metadata_provided!$A$2:$M$826, 13, FALSE)</f>
        <v>0</v>
      </c>
      <c r="O119">
        <f>VLOOKUP($C119, Egli_UPEC_metadata_provided!$A$2:$N$826, 14, FALSE)</f>
        <v>0</v>
      </c>
    </row>
    <row r="120" spans="1:15" x14ac:dyDescent="0.2">
      <c r="A120" t="s">
        <v>279</v>
      </c>
      <c r="B120" t="s">
        <v>3513</v>
      </c>
      <c r="C120" t="s">
        <v>3513</v>
      </c>
      <c r="D120">
        <f>VLOOKUP($C120, Egli_UPEC_metadata_provided!$A$2:$M$826, 3, FALSE)</f>
        <v>2018</v>
      </c>
      <c r="E120" t="str">
        <f>VLOOKUP($C120, Egli_UPEC_metadata_provided!$A$2:$M$826, 4, FALSE)</f>
        <v>F</v>
      </c>
      <c r="F120" t="str">
        <f>VLOOKUP($C120, Egli_UPEC_metadata_provided!$A$2:$M$826, 5, FALSE)</f>
        <v>w</v>
      </c>
      <c r="G120">
        <f>VLOOKUP($C120, Egli_UPEC_metadata_provided!$A$2:$M$826, 6, FALSE)</f>
        <v>0</v>
      </c>
      <c r="H120">
        <f>VLOOKUP($C120, Egli_UPEC_metadata_provided!$A$2:$M$826, 7, FALSE)</f>
        <v>0</v>
      </c>
      <c r="I120">
        <f>VLOOKUP($C120, Egli_UPEC_metadata_provided!$A$2:$M$826, 8, FALSE)</f>
        <v>20.6589200273411</v>
      </c>
      <c r="J120" t="b">
        <f>VLOOKUP($C120, Egli_UPEC_metadata_provided!$A$2:$M$826, 9, FALSE)</f>
        <v>1</v>
      </c>
      <c r="K120">
        <f>VLOOKUP($C120, Egli_UPEC_metadata_provided!$A$2:$M$826, 10, FALSE)</f>
        <v>0</v>
      </c>
      <c r="L120" t="str">
        <f>VLOOKUP($C120, Egli_UPEC_metadata_provided!$A$2:$M$826, 11, FALSE)</f>
        <v>invasive</v>
      </c>
      <c r="M120">
        <f>VLOOKUP($C120, Egli_UPEC_metadata_provided!$A$2:$M$826, 12, FALSE)</f>
        <v>0</v>
      </c>
      <c r="N120">
        <f>VLOOKUP($C120, Egli_UPEC_metadata_provided!$A$2:$M$826, 13, FALSE)</f>
        <v>0</v>
      </c>
      <c r="O120">
        <f>VLOOKUP($C120, Egli_UPEC_metadata_provided!$A$2:$N$826, 14, FALSE)</f>
        <v>1</v>
      </c>
    </row>
    <row r="121" spans="1:15" x14ac:dyDescent="0.2">
      <c r="A121" t="s">
        <v>281</v>
      </c>
      <c r="B121" t="s">
        <v>3515</v>
      </c>
      <c r="C121" t="s">
        <v>3515</v>
      </c>
      <c r="D121">
        <f>VLOOKUP($C121, Egli_UPEC_metadata_provided!$A$2:$M$826, 3, FALSE)</f>
        <v>2018</v>
      </c>
      <c r="E121" t="str">
        <f>VLOOKUP($C121, Egli_UPEC_metadata_provided!$A$2:$M$826, 4, FALSE)</f>
        <v>D1</v>
      </c>
      <c r="F121" t="str">
        <f>VLOOKUP($C121, Egli_UPEC_metadata_provided!$A$2:$M$826, 5, FALSE)</f>
        <v>w</v>
      </c>
      <c r="G121">
        <f>VLOOKUP($C121, Egli_UPEC_metadata_provided!$A$2:$M$826, 6, FALSE)</f>
        <v>0</v>
      </c>
      <c r="H121">
        <f>VLOOKUP($C121, Egli_UPEC_metadata_provided!$A$2:$M$826, 7, FALSE)</f>
        <v>0</v>
      </c>
      <c r="I121">
        <f>VLOOKUP($C121, Egli_UPEC_metadata_provided!$A$2:$M$826, 8, FALSE)</f>
        <v>75.305536568694507</v>
      </c>
      <c r="J121" t="b">
        <f>VLOOKUP($C121, Egli_UPEC_metadata_provided!$A$2:$M$826, 9, FALSE)</f>
        <v>0</v>
      </c>
      <c r="K121">
        <f>VLOOKUP($C121, Egli_UPEC_metadata_provided!$A$2:$M$826, 10, FALSE)</f>
        <v>0</v>
      </c>
      <c r="L121" t="str">
        <f>VLOOKUP($C121, Egli_UPEC_metadata_provided!$A$2:$M$826, 11, FALSE)</f>
        <v>invasive</v>
      </c>
      <c r="M121">
        <f>VLOOKUP($C121, Egli_UPEC_metadata_provided!$A$2:$M$826, 12, FALSE)</f>
        <v>1</v>
      </c>
      <c r="N121">
        <f>VLOOKUP($C121, Egli_UPEC_metadata_provided!$A$2:$M$826, 13, FALSE)</f>
        <v>0</v>
      </c>
      <c r="O121">
        <f>VLOOKUP($C121, Egli_UPEC_metadata_provided!$A$2:$N$826, 14, FALSE)</f>
        <v>0</v>
      </c>
    </row>
    <row r="122" spans="1:15" x14ac:dyDescent="0.2">
      <c r="A122" t="s">
        <v>282</v>
      </c>
      <c r="B122" t="s">
        <v>3516</v>
      </c>
      <c r="C122" t="s">
        <v>3516</v>
      </c>
      <c r="D122">
        <f>VLOOKUP($C122, Egli_UPEC_metadata_provided!$A$2:$M$826, 3, FALSE)</f>
        <v>2018</v>
      </c>
      <c r="E122" t="str">
        <f>VLOOKUP($C122, Egli_UPEC_metadata_provided!$A$2:$M$826, 4, FALSE)</f>
        <v>B2-2</v>
      </c>
      <c r="F122" t="str">
        <f>VLOOKUP($C122, Egli_UPEC_metadata_provided!$A$2:$M$826, 5, FALSE)</f>
        <v>m</v>
      </c>
      <c r="G122" t="str">
        <f>VLOOKUP($C122, Egli_UPEC_metadata_provided!$A$2:$M$826, 6, FALSE)</f>
        <v>NA</v>
      </c>
      <c r="H122">
        <f>VLOOKUP($C122, Egli_UPEC_metadata_provided!$A$2:$M$826, 7, FALSE)</f>
        <v>2</v>
      </c>
      <c r="I122">
        <f>VLOOKUP($C122, Egli_UPEC_metadata_provided!$A$2:$M$826, 8, FALSE)</f>
        <v>66.859876965140103</v>
      </c>
      <c r="J122" t="b">
        <f>VLOOKUP($C122, Egli_UPEC_metadata_provided!$A$2:$M$826, 9, FALSE)</f>
        <v>1</v>
      </c>
      <c r="K122">
        <f>VLOOKUP($C122, Egli_UPEC_metadata_provided!$A$2:$M$826, 10, FALSE)</f>
        <v>0</v>
      </c>
      <c r="L122" t="str">
        <f>VLOOKUP($C122, Egli_UPEC_metadata_provided!$A$2:$M$826, 11, FALSE)</f>
        <v>invasive</v>
      </c>
      <c r="M122">
        <f>VLOOKUP($C122, Egli_UPEC_metadata_provided!$A$2:$M$826, 12, FALSE)</f>
        <v>0</v>
      </c>
      <c r="N122">
        <f>VLOOKUP($C122, Egli_UPEC_metadata_provided!$A$2:$M$826, 13, FALSE)</f>
        <v>0</v>
      </c>
      <c r="O122">
        <f>VLOOKUP($C122, Egli_UPEC_metadata_provided!$A$2:$N$826, 14, FALSE)</f>
        <v>1</v>
      </c>
    </row>
    <row r="123" spans="1:15" x14ac:dyDescent="0.2">
      <c r="A123" t="s">
        <v>286</v>
      </c>
      <c r="B123" t="s">
        <v>3520</v>
      </c>
      <c r="C123" t="s">
        <v>3520</v>
      </c>
      <c r="D123">
        <f>VLOOKUP($C123, Egli_UPEC_metadata_provided!$A$2:$M$826, 3, FALSE)</f>
        <v>2018</v>
      </c>
      <c r="E123" t="str">
        <f>VLOOKUP($C123, Egli_UPEC_metadata_provided!$A$2:$M$826, 4, FALSE)</f>
        <v>B2-2</v>
      </c>
      <c r="F123" t="str">
        <f>VLOOKUP($C123, Egli_UPEC_metadata_provided!$A$2:$M$826, 5, FALSE)</f>
        <v>m</v>
      </c>
      <c r="G123">
        <f>VLOOKUP($C123, Egli_UPEC_metadata_provided!$A$2:$M$826, 6, FALSE)</f>
        <v>0</v>
      </c>
      <c r="H123">
        <f>VLOOKUP($C123, Egli_UPEC_metadata_provided!$A$2:$M$826, 7, FALSE)</f>
        <v>3</v>
      </c>
      <c r="I123">
        <f>VLOOKUP($C123, Egli_UPEC_metadata_provided!$A$2:$M$826, 8, FALSE)</f>
        <v>66.509911141490093</v>
      </c>
      <c r="J123" t="b">
        <f>VLOOKUP($C123, Egli_UPEC_metadata_provided!$A$2:$M$826, 9, FALSE)</f>
        <v>0</v>
      </c>
      <c r="K123" t="str">
        <f>VLOOKUP($C123, Egli_UPEC_metadata_provided!$A$2:$M$826, 10, FALSE)</f>
        <v>NA</v>
      </c>
      <c r="L123" t="str">
        <f>VLOOKUP($C123, Egli_UPEC_metadata_provided!$A$2:$M$826, 11, FALSE)</f>
        <v>invasive</v>
      </c>
      <c r="M123">
        <f>VLOOKUP($C123, Egli_UPEC_metadata_provided!$A$2:$M$826, 12, FALSE)</f>
        <v>1</v>
      </c>
      <c r="N123">
        <f>VLOOKUP($C123, Egli_UPEC_metadata_provided!$A$2:$M$826, 13, FALSE)</f>
        <v>0</v>
      </c>
      <c r="O123">
        <f>VLOOKUP($C123, Egli_UPEC_metadata_provided!$A$2:$N$826, 14, FALSE)</f>
        <v>0</v>
      </c>
    </row>
    <row r="124" spans="1:15" x14ac:dyDescent="0.2">
      <c r="A124" t="s">
        <v>287</v>
      </c>
      <c r="B124" t="s">
        <v>3521</v>
      </c>
      <c r="C124" t="s">
        <v>3521</v>
      </c>
      <c r="D124">
        <f>VLOOKUP($C124, Egli_UPEC_metadata_provided!$A$2:$M$826, 3, FALSE)</f>
        <v>2018</v>
      </c>
      <c r="E124" t="str">
        <f>VLOOKUP($C124, Egli_UPEC_metadata_provided!$A$2:$M$826, 4, FALSE)</f>
        <v>B2-1</v>
      </c>
      <c r="F124" t="str">
        <f>VLOOKUP($C124, Egli_UPEC_metadata_provided!$A$2:$M$826, 5, FALSE)</f>
        <v>w</v>
      </c>
      <c r="G124">
        <f>VLOOKUP($C124, Egli_UPEC_metadata_provided!$A$2:$M$826, 6, FALSE)</f>
        <v>0</v>
      </c>
      <c r="H124">
        <f>VLOOKUP($C124, Egli_UPEC_metadata_provided!$A$2:$M$826, 7, FALSE)</f>
        <v>2</v>
      </c>
      <c r="I124">
        <f>VLOOKUP($C124, Egli_UPEC_metadata_provided!$A$2:$M$826, 8, FALSE)</f>
        <v>80.344497607655498</v>
      </c>
      <c r="J124" t="b">
        <f>VLOOKUP($C124, Egli_UPEC_metadata_provided!$A$2:$M$826, 9, FALSE)</f>
        <v>0</v>
      </c>
      <c r="K124">
        <f>VLOOKUP($C124, Egli_UPEC_metadata_provided!$A$2:$M$826, 10, FALSE)</f>
        <v>0</v>
      </c>
      <c r="L124" t="str">
        <f>VLOOKUP($C124, Egli_UPEC_metadata_provided!$A$2:$M$826, 11, FALSE)</f>
        <v>invasive</v>
      </c>
      <c r="M124">
        <f>VLOOKUP($C124, Egli_UPEC_metadata_provided!$A$2:$M$826, 12, FALSE)</f>
        <v>0</v>
      </c>
      <c r="N124">
        <f>VLOOKUP($C124, Egli_UPEC_metadata_provided!$A$2:$M$826, 13, FALSE)</f>
        <v>0</v>
      </c>
      <c r="O124">
        <f>VLOOKUP($C124, Egli_UPEC_metadata_provided!$A$2:$N$826, 14, FALSE)</f>
        <v>1</v>
      </c>
    </row>
    <row r="125" spans="1:15" x14ac:dyDescent="0.2">
      <c r="A125" t="s">
        <v>288</v>
      </c>
      <c r="B125" t="s">
        <v>3522</v>
      </c>
      <c r="C125" t="s">
        <v>3522</v>
      </c>
      <c r="D125">
        <f>VLOOKUP($C125, Egli_UPEC_metadata_provided!$A$2:$M$826, 3, FALSE)</f>
        <v>2018</v>
      </c>
      <c r="E125" t="str">
        <f>VLOOKUP($C125, Egli_UPEC_metadata_provided!$A$2:$M$826, 4, FALSE)</f>
        <v>D3</v>
      </c>
      <c r="F125" t="str">
        <f>VLOOKUP($C125, Egli_UPEC_metadata_provided!$A$2:$M$826, 5, FALSE)</f>
        <v>m</v>
      </c>
      <c r="G125">
        <f>VLOOKUP($C125, Egli_UPEC_metadata_provided!$A$2:$M$826, 6, FALSE)</f>
        <v>0</v>
      </c>
      <c r="H125">
        <f>VLOOKUP($C125, Egli_UPEC_metadata_provided!$A$2:$M$826, 7, FALSE)</f>
        <v>3</v>
      </c>
      <c r="I125">
        <f>VLOOKUP($C125, Egli_UPEC_metadata_provided!$A$2:$M$826, 8, FALSE)</f>
        <v>81.235816814764206</v>
      </c>
      <c r="J125" t="b">
        <f>VLOOKUP($C125, Egli_UPEC_metadata_provided!$A$2:$M$826, 9, FALSE)</f>
        <v>0</v>
      </c>
      <c r="K125">
        <f>VLOOKUP($C125, Egli_UPEC_metadata_provided!$A$2:$M$826, 10, FALSE)</f>
        <v>0</v>
      </c>
      <c r="L125" t="str">
        <f>VLOOKUP($C125, Egli_UPEC_metadata_provided!$A$2:$M$826, 11, FALSE)</f>
        <v>invasive</v>
      </c>
      <c r="M125">
        <f>VLOOKUP($C125, Egli_UPEC_metadata_provided!$A$2:$M$826, 12, FALSE)</f>
        <v>1</v>
      </c>
      <c r="N125">
        <f>VLOOKUP($C125, Egli_UPEC_metadata_provided!$A$2:$M$826, 13, FALSE)</f>
        <v>0</v>
      </c>
      <c r="O125">
        <f>VLOOKUP($C125, Egli_UPEC_metadata_provided!$A$2:$N$826, 14, FALSE)</f>
        <v>0</v>
      </c>
    </row>
    <row r="126" spans="1:15" x14ac:dyDescent="0.2">
      <c r="A126" t="s">
        <v>289</v>
      </c>
      <c r="B126" t="s">
        <v>3523</v>
      </c>
      <c r="C126" t="s">
        <v>3523</v>
      </c>
      <c r="D126">
        <f>VLOOKUP($C126, Egli_UPEC_metadata_provided!$A$2:$M$826, 3, FALSE)</f>
        <v>2018</v>
      </c>
      <c r="E126" t="str">
        <f>VLOOKUP($C126, Egli_UPEC_metadata_provided!$A$2:$M$826, 4, FALSE)</f>
        <v>B2-2</v>
      </c>
      <c r="F126" t="str">
        <f>VLOOKUP($C126, Egli_UPEC_metadata_provided!$A$2:$M$826, 5, FALSE)</f>
        <v>m</v>
      </c>
      <c r="G126">
        <f>VLOOKUP($C126, Egli_UPEC_metadata_provided!$A$2:$M$826, 6, FALSE)</f>
        <v>0</v>
      </c>
      <c r="H126">
        <f>VLOOKUP($C126, Egli_UPEC_metadata_provided!$A$2:$M$826, 7, FALSE)</f>
        <v>4</v>
      </c>
      <c r="I126">
        <f>VLOOKUP($C126, Egli_UPEC_metadata_provided!$A$2:$M$826, 8, FALSE)</f>
        <v>87.945317840054699</v>
      </c>
      <c r="J126" t="b">
        <f>VLOOKUP($C126, Egli_UPEC_metadata_provided!$A$2:$M$826, 9, FALSE)</f>
        <v>0</v>
      </c>
      <c r="K126" t="str">
        <f>VLOOKUP($C126, Egli_UPEC_metadata_provided!$A$2:$M$826, 10, FALSE)</f>
        <v>NA</v>
      </c>
      <c r="L126" t="str">
        <f>VLOOKUP($C126, Egli_UPEC_metadata_provided!$A$2:$M$826, 11, FALSE)</f>
        <v>invasive</v>
      </c>
      <c r="M126">
        <f>VLOOKUP($C126, Egli_UPEC_metadata_provided!$A$2:$M$826, 12, FALSE)</f>
        <v>0</v>
      </c>
      <c r="N126">
        <f>VLOOKUP($C126, Egli_UPEC_metadata_provided!$A$2:$M$826, 13, FALSE)</f>
        <v>1</v>
      </c>
      <c r="O126">
        <f>VLOOKUP($C126, Egli_UPEC_metadata_provided!$A$2:$N$826, 14, FALSE)</f>
        <v>0</v>
      </c>
    </row>
    <row r="127" spans="1:15" x14ac:dyDescent="0.2">
      <c r="A127" t="s">
        <v>290</v>
      </c>
      <c r="B127" t="s">
        <v>3524</v>
      </c>
      <c r="C127" t="s">
        <v>3524</v>
      </c>
      <c r="D127">
        <f>VLOOKUP($C127, Egli_UPEC_metadata_provided!$A$2:$M$826, 3, FALSE)</f>
        <v>2018</v>
      </c>
      <c r="E127" t="str">
        <f>VLOOKUP($C127, Egli_UPEC_metadata_provided!$A$2:$M$826, 4, FALSE)</f>
        <v>F</v>
      </c>
      <c r="F127" t="str">
        <f>VLOOKUP($C127, Egli_UPEC_metadata_provided!$A$2:$M$826, 5, FALSE)</f>
        <v>w</v>
      </c>
      <c r="G127">
        <f>VLOOKUP($C127, Egli_UPEC_metadata_provided!$A$2:$M$826, 6, FALSE)</f>
        <v>0</v>
      </c>
      <c r="H127">
        <f>VLOOKUP($C127, Egli_UPEC_metadata_provided!$A$2:$M$826, 7, FALSE)</f>
        <v>0</v>
      </c>
      <c r="I127">
        <f>VLOOKUP($C127, Egli_UPEC_metadata_provided!$A$2:$M$826, 8, FALSE)</f>
        <v>86.0423786739576</v>
      </c>
      <c r="J127" t="b">
        <f>VLOOKUP($C127, Egli_UPEC_metadata_provided!$A$2:$M$826, 9, FALSE)</f>
        <v>1</v>
      </c>
      <c r="K127">
        <f>VLOOKUP($C127, Egli_UPEC_metadata_provided!$A$2:$M$826, 10, FALSE)</f>
        <v>0</v>
      </c>
      <c r="L127" t="str">
        <f>VLOOKUP($C127, Egli_UPEC_metadata_provided!$A$2:$M$826, 11, FALSE)</f>
        <v>invasive</v>
      </c>
      <c r="M127">
        <f>VLOOKUP($C127, Egli_UPEC_metadata_provided!$A$2:$M$826, 12, FALSE)</f>
        <v>0</v>
      </c>
      <c r="N127">
        <f>VLOOKUP($C127, Egli_UPEC_metadata_provided!$A$2:$M$826, 13, FALSE)</f>
        <v>0</v>
      </c>
      <c r="O127">
        <f>VLOOKUP($C127, Egli_UPEC_metadata_provided!$A$2:$N$826, 14, FALSE)</f>
        <v>1</v>
      </c>
    </row>
    <row r="128" spans="1:15" x14ac:dyDescent="0.2">
      <c r="A128" t="s">
        <v>291</v>
      </c>
      <c r="B128" t="s">
        <v>3525</v>
      </c>
      <c r="C128" t="s">
        <v>3525</v>
      </c>
      <c r="D128">
        <f>VLOOKUP($C128, Egli_UPEC_metadata_provided!$A$2:$M$826, 3, FALSE)</f>
        <v>2018</v>
      </c>
      <c r="E128" t="str">
        <f>VLOOKUP($C128, Egli_UPEC_metadata_provided!$A$2:$M$826, 4, FALSE)</f>
        <v>B2-2</v>
      </c>
      <c r="F128" t="str">
        <f>VLOOKUP($C128, Egli_UPEC_metadata_provided!$A$2:$M$826, 5, FALSE)</f>
        <v>w</v>
      </c>
      <c r="G128">
        <f>VLOOKUP($C128, Egli_UPEC_metadata_provided!$A$2:$M$826, 6, FALSE)</f>
        <v>0</v>
      </c>
      <c r="H128">
        <f>VLOOKUP($C128, Egli_UPEC_metadata_provided!$A$2:$M$826, 7, FALSE)</f>
        <v>1</v>
      </c>
      <c r="I128">
        <f>VLOOKUP($C128, Egli_UPEC_metadata_provided!$A$2:$M$826, 8, FALSE)</f>
        <v>79.327409432672596</v>
      </c>
      <c r="J128" t="b">
        <f>VLOOKUP($C128, Egli_UPEC_metadata_provided!$A$2:$M$826, 9, FALSE)</f>
        <v>0</v>
      </c>
      <c r="K128" t="str">
        <f>VLOOKUP($C128, Egli_UPEC_metadata_provided!$A$2:$M$826, 10, FALSE)</f>
        <v>NA</v>
      </c>
      <c r="L128" t="str">
        <f>VLOOKUP($C128, Egli_UPEC_metadata_provided!$A$2:$M$826, 11, FALSE)</f>
        <v>invasive</v>
      </c>
      <c r="M128">
        <f>VLOOKUP($C128, Egli_UPEC_metadata_provided!$A$2:$M$826, 12, FALSE)</f>
        <v>1</v>
      </c>
      <c r="N128">
        <f>VLOOKUP($C128, Egli_UPEC_metadata_provided!$A$2:$M$826, 13, FALSE)</f>
        <v>0</v>
      </c>
      <c r="O128">
        <f>VLOOKUP($C128, Egli_UPEC_metadata_provided!$A$2:$N$826, 14, FALSE)</f>
        <v>0</v>
      </c>
    </row>
    <row r="129" spans="1:15" x14ac:dyDescent="0.2">
      <c r="A129" t="s">
        <v>292</v>
      </c>
      <c r="B129" t="s">
        <v>3526</v>
      </c>
      <c r="C129" t="s">
        <v>3526</v>
      </c>
      <c r="D129">
        <f>VLOOKUP($C129, Egli_UPEC_metadata_provided!$A$2:$M$826, 3, FALSE)</f>
        <v>2018</v>
      </c>
      <c r="E129" t="str">
        <f>VLOOKUP($C129, Egli_UPEC_metadata_provided!$A$2:$M$826, 4, FALSE)</f>
        <v>D1</v>
      </c>
      <c r="F129" t="str">
        <f>VLOOKUP($C129, Egli_UPEC_metadata_provided!$A$2:$M$826, 5, FALSE)</f>
        <v>w</v>
      </c>
      <c r="G129">
        <f>VLOOKUP($C129, Egli_UPEC_metadata_provided!$A$2:$M$826, 6, FALSE)</f>
        <v>0</v>
      </c>
      <c r="H129">
        <f>VLOOKUP($C129, Egli_UPEC_metadata_provided!$A$2:$M$826, 7, FALSE)</f>
        <v>1</v>
      </c>
      <c r="I129">
        <f>VLOOKUP($C129, Egli_UPEC_metadata_provided!$A$2:$M$826, 8, FALSE)</f>
        <v>80.229665071770299</v>
      </c>
      <c r="J129" t="b">
        <f>VLOOKUP($C129, Egli_UPEC_metadata_provided!$A$2:$M$826, 9, FALSE)</f>
        <v>0</v>
      </c>
      <c r="K129">
        <f>VLOOKUP($C129, Egli_UPEC_metadata_provided!$A$2:$M$826, 10, FALSE)</f>
        <v>0</v>
      </c>
      <c r="L129" t="str">
        <f>VLOOKUP($C129, Egli_UPEC_metadata_provided!$A$2:$M$826, 11, FALSE)</f>
        <v>invasive</v>
      </c>
      <c r="M129">
        <f>VLOOKUP($C129, Egli_UPEC_metadata_provided!$A$2:$M$826, 12, FALSE)</f>
        <v>0</v>
      </c>
      <c r="N129">
        <f>VLOOKUP($C129, Egli_UPEC_metadata_provided!$A$2:$M$826, 13, FALSE)</f>
        <v>0</v>
      </c>
      <c r="O129">
        <f>VLOOKUP($C129, Egli_UPEC_metadata_provided!$A$2:$N$826, 14, FALSE)</f>
        <v>1</v>
      </c>
    </row>
    <row r="130" spans="1:15" x14ac:dyDescent="0.2">
      <c r="A130" t="s">
        <v>472</v>
      </c>
      <c r="B130" t="s">
        <v>3707</v>
      </c>
      <c r="C130" t="s">
        <v>3707</v>
      </c>
      <c r="D130">
        <f>VLOOKUP($C130, Egli_UPEC_metadata_provided!$A$2:$M$826, 3, FALSE)</f>
        <v>2018</v>
      </c>
      <c r="E130" t="str">
        <f>VLOOKUP($C130, Egli_UPEC_metadata_provided!$A$2:$M$826, 4, FALSE)</f>
        <v>B1</v>
      </c>
      <c r="F130" t="str">
        <f>VLOOKUP($C130, Egli_UPEC_metadata_provided!$A$2:$M$826, 5, FALSE)</f>
        <v>m</v>
      </c>
      <c r="G130">
        <f>VLOOKUP($C130, Egli_UPEC_metadata_provided!$A$2:$M$826, 6, FALSE)</f>
        <v>0</v>
      </c>
      <c r="H130">
        <f>VLOOKUP($C130, Egli_UPEC_metadata_provided!$A$2:$M$826, 7, FALSE)</f>
        <v>0</v>
      </c>
      <c r="I130">
        <f>VLOOKUP($C130, Egli_UPEC_metadata_provided!$A$2:$M$826, 8, FALSE)</f>
        <v>79.245386192754594</v>
      </c>
      <c r="J130" t="b">
        <f>VLOOKUP($C130, Egli_UPEC_metadata_provided!$A$2:$M$826, 9, FALSE)</f>
        <v>0</v>
      </c>
      <c r="K130">
        <f>VLOOKUP($C130, Egli_UPEC_metadata_provided!$A$2:$M$826, 10, FALSE)</f>
        <v>0</v>
      </c>
      <c r="L130" t="str">
        <f>VLOOKUP($C130, Egli_UPEC_metadata_provided!$A$2:$M$826, 11, FALSE)</f>
        <v>invasive</v>
      </c>
      <c r="M130">
        <f>VLOOKUP($C130, Egli_UPEC_metadata_provided!$A$2:$M$826, 12, FALSE)</f>
        <v>0</v>
      </c>
      <c r="N130">
        <f>VLOOKUP($C130, Egli_UPEC_metadata_provided!$A$2:$M$826, 13, FALSE)</f>
        <v>0</v>
      </c>
      <c r="O130">
        <f>VLOOKUP($C130, Egli_UPEC_metadata_provided!$A$2:$N$826, 14, FALSE)</f>
        <v>1</v>
      </c>
    </row>
    <row r="131" spans="1:15" x14ac:dyDescent="0.2">
      <c r="A131" t="s">
        <v>481</v>
      </c>
      <c r="B131" t="s">
        <v>3716</v>
      </c>
      <c r="C131" t="s">
        <v>3716</v>
      </c>
      <c r="D131">
        <f>VLOOKUP($C131, Egli_UPEC_metadata_provided!$A$2:$M$826, 3, FALSE)</f>
        <v>2018</v>
      </c>
      <c r="E131" t="str">
        <f>VLOOKUP($C131, Egli_UPEC_metadata_provided!$A$2:$M$826, 4, FALSE)</f>
        <v>B2-2</v>
      </c>
      <c r="F131" t="str">
        <f>VLOOKUP($C131, Egli_UPEC_metadata_provided!$A$2:$M$826, 5, FALSE)</f>
        <v>w</v>
      </c>
      <c r="G131">
        <f>VLOOKUP($C131, Egli_UPEC_metadata_provided!$A$2:$M$826, 6, FALSE)</f>
        <v>0</v>
      </c>
      <c r="H131">
        <f>VLOOKUP($C131, Egli_UPEC_metadata_provided!$A$2:$M$826, 7, FALSE)</f>
        <v>3</v>
      </c>
      <c r="I131">
        <f>VLOOKUP($C131, Egli_UPEC_metadata_provided!$A$2:$M$826, 8, FALSE)</f>
        <v>61.654135338345903</v>
      </c>
      <c r="J131" t="b">
        <f>VLOOKUP($C131, Egli_UPEC_metadata_provided!$A$2:$M$826, 9, FALSE)</f>
        <v>1</v>
      </c>
      <c r="K131">
        <f>VLOOKUP($C131, Egli_UPEC_metadata_provided!$A$2:$M$826, 10, FALSE)</f>
        <v>0</v>
      </c>
      <c r="L131" t="str">
        <f>VLOOKUP($C131, Egli_UPEC_metadata_provided!$A$2:$M$826, 11, FALSE)</f>
        <v>non-invasive</v>
      </c>
      <c r="M131">
        <f>VLOOKUP($C131, Egli_UPEC_metadata_provided!$A$2:$M$826, 12, FALSE)</f>
        <v>1</v>
      </c>
      <c r="N131">
        <f>VLOOKUP($C131, Egli_UPEC_metadata_provided!$A$2:$M$826, 13, FALSE)</f>
        <v>0</v>
      </c>
      <c r="O131">
        <f>VLOOKUP($C131, Egli_UPEC_metadata_provided!$A$2:$N$826, 14, FALSE)</f>
        <v>0</v>
      </c>
    </row>
    <row r="132" spans="1:15" x14ac:dyDescent="0.2">
      <c r="A132" t="s">
        <v>485</v>
      </c>
      <c r="B132" t="s">
        <v>3720</v>
      </c>
      <c r="C132" t="s">
        <v>3720</v>
      </c>
      <c r="D132">
        <f>VLOOKUP($C132, Egli_UPEC_metadata_provided!$A$2:$M$826, 3, FALSE)</f>
        <v>2018</v>
      </c>
      <c r="E132" t="str">
        <f>VLOOKUP($C132, Egli_UPEC_metadata_provided!$A$2:$M$826, 4, FALSE)</f>
        <v>B2-2</v>
      </c>
      <c r="F132" t="str">
        <f>VLOOKUP($C132, Egli_UPEC_metadata_provided!$A$2:$M$826, 5, FALSE)</f>
        <v>w</v>
      </c>
      <c r="G132">
        <f>VLOOKUP($C132, Egli_UPEC_metadata_provided!$A$2:$M$826, 6, FALSE)</f>
        <v>0</v>
      </c>
      <c r="H132">
        <f>VLOOKUP($C132, Egli_UPEC_metadata_provided!$A$2:$M$826, 7, FALSE)</f>
        <v>0</v>
      </c>
      <c r="I132">
        <f>VLOOKUP($C132, Egli_UPEC_metadata_provided!$A$2:$M$826, 8, FALSE)</f>
        <v>85.298701298701303</v>
      </c>
      <c r="J132" t="b">
        <f>VLOOKUP($C132, Egli_UPEC_metadata_provided!$A$2:$M$826, 9, FALSE)</f>
        <v>1</v>
      </c>
      <c r="K132">
        <f>VLOOKUP($C132, Egli_UPEC_metadata_provided!$A$2:$M$826, 10, FALSE)</f>
        <v>0</v>
      </c>
      <c r="L132" t="str">
        <f>VLOOKUP($C132, Egli_UPEC_metadata_provided!$A$2:$M$826, 11, FALSE)</f>
        <v>invasive</v>
      </c>
      <c r="M132">
        <f>VLOOKUP($C132, Egli_UPEC_metadata_provided!$A$2:$M$826, 12, FALSE)</f>
        <v>0</v>
      </c>
      <c r="N132">
        <f>VLOOKUP($C132, Egli_UPEC_metadata_provided!$A$2:$M$826, 13, FALSE)</f>
        <v>0</v>
      </c>
      <c r="O132">
        <f>VLOOKUP($C132, Egli_UPEC_metadata_provided!$A$2:$N$826, 14, FALSE)</f>
        <v>0</v>
      </c>
    </row>
    <row r="133" spans="1:15" x14ac:dyDescent="0.2">
      <c r="A133" t="s">
        <v>653</v>
      </c>
      <c r="B133" t="s">
        <v>3888</v>
      </c>
      <c r="C133" t="s">
        <v>3888</v>
      </c>
      <c r="D133">
        <f>VLOOKUP($C133, Egli_UPEC_metadata_provided!$A$2:$M$826, 3, FALSE)</f>
        <v>2018</v>
      </c>
      <c r="E133" t="str">
        <f>VLOOKUP($C133, Egli_UPEC_metadata_provided!$A$2:$M$826, 4, FALSE)</f>
        <v>B2-1</v>
      </c>
      <c r="F133" t="str">
        <f>VLOOKUP($C133, Egli_UPEC_metadata_provided!$A$2:$M$826, 5, FALSE)</f>
        <v>m</v>
      </c>
      <c r="G133">
        <f>VLOOKUP($C133, Egli_UPEC_metadata_provided!$A$2:$M$826, 6, FALSE)</f>
        <v>0</v>
      </c>
      <c r="H133">
        <f>VLOOKUP($C133, Egli_UPEC_metadata_provided!$A$2:$M$826, 7, FALSE)</f>
        <v>6</v>
      </c>
      <c r="I133">
        <f>VLOOKUP($C133, Egli_UPEC_metadata_provided!$A$2:$M$826, 8, FALSE)</f>
        <v>84.298017771702007</v>
      </c>
      <c r="J133" t="b">
        <f>VLOOKUP($C133, Egli_UPEC_metadata_provided!$A$2:$M$826, 9, FALSE)</f>
        <v>0</v>
      </c>
      <c r="K133">
        <f>VLOOKUP($C133, Egli_UPEC_metadata_provided!$A$2:$M$826, 10, FALSE)</f>
        <v>1</v>
      </c>
      <c r="L133" t="str">
        <f>VLOOKUP($C133, Egli_UPEC_metadata_provided!$A$2:$M$826, 11, FALSE)</f>
        <v>non-invasive</v>
      </c>
      <c r="M133">
        <f>VLOOKUP($C133, Egli_UPEC_metadata_provided!$A$2:$M$826, 12, FALSE)</f>
        <v>0</v>
      </c>
      <c r="N133">
        <f>VLOOKUP($C133, Egli_UPEC_metadata_provided!$A$2:$M$826, 13, FALSE)</f>
        <v>0</v>
      </c>
      <c r="O133">
        <f>VLOOKUP($C133, Egli_UPEC_metadata_provided!$A$2:$N$826, 14, FALSE)</f>
        <v>1</v>
      </c>
    </row>
    <row r="134" spans="1:15" x14ac:dyDescent="0.2">
      <c r="A134" t="s">
        <v>657</v>
      </c>
      <c r="B134" t="s">
        <v>4289</v>
      </c>
      <c r="C134" t="s">
        <v>3892</v>
      </c>
      <c r="D134">
        <f>VLOOKUP($C134, Egli_UPEC_metadata_provided!$A$2:$M$826, 3, FALSE)</f>
        <v>2018</v>
      </c>
      <c r="E134" t="str">
        <f>VLOOKUP($C134, Egli_UPEC_metadata_provided!$A$2:$M$826, 4, FALSE)</f>
        <v>B2-1</v>
      </c>
      <c r="F134" t="str">
        <f>VLOOKUP($C134, Egli_UPEC_metadata_provided!$A$2:$M$826, 5, FALSE)</f>
        <v>w</v>
      </c>
      <c r="G134">
        <f>VLOOKUP($C134, Egli_UPEC_metadata_provided!$A$2:$M$826, 6, FALSE)</f>
        <v>0</v>
      </c>
      <c r="H134">
        <f>VLOOKUP($C134, Egli_UPEC_metadata_provided!$A$2:$M$826, 7, FALSE)</f>
        <v>0</v>
      </c>
      <c r="I134">
        <f>VLOOKUP($C134, Egli_UPEC_metadata_provided!$A$2:$M$826, 8, FALSE)</f>
        <v>31.967190704032799</v>
      </c>
      <c r="J134" t="b">
        <f>VLOOKUP($C134, Egli_UPEC_metadata_provided!$A$2:$M$826, 9, FALSE)</f>
        <v>0</v>
      </c>
      <c r="K134">
        <f>VLOOKUP($C134, Egli_UPEC_metadata_provided!$A$2:$M$826, 10, FALSE)</f>
        <v>0</v>
      </c>
      <c r="L134" t="str">
        <f>VLOOKUP($C134, Egli_UPEC_metadata_provided!$A$2:$M$826, 11, FALSE)</f>
        <v>non-invasive</v>
      </c>
      <c r="M134">
        <f>VLOOKUP($C134, Egli_UPEC_metadata_provided!$A$2:$M$826, 12, FALSE)</f>
        <v>0</v>
      </c>
      <c r="N134">
        <f>VLOOKUP($C134, Egli_UPEC_metadata_provided!$A$2:$M$826, 13, FALSE)</f>
        <v>0</v>
      </c>
      <c r="O134">
        <f>VLOOKUP($C134, Egli_UPEC_metadata_provided!$A$2:$N$826, 14, FALSE)</f>
        <v>0</v>
      </c>
    </row>
    <row r="135" spans="1:15" x14ac:dyDescent="0.2">
      <c r="A135" t="s">
        <v>2686</v>
      </c>
      <c r="B135" t="s">
        <v>4381</v>
      </c>
      <c r="C135" t="s">
        <v>3892</v>
      </c>
      <c r="D135">
        <f>VLOOKUP($C135, Egli_UPEC_metadata_provided!$A$2:$M$826, 3, FALSE)</f>
        <v>2018</v>
      </c>
      <c r="E135" t="str">
        <f>VLOOKUP($C135, Egli_UPEC_metadata_provided!$A$2:$M$826, 4, FALSE)</f>
        <v>B2-1</v>
      </c>
      <c r="F135" t="str">
        <f>VLOOKUP($C135, Egli_UPEC_metadata_provided!$A$2:$M$826, 5, FALSE)</f>
        <v>w</v>
      </c>
      <c r="G135">
        <f>VLOOKUP($C135, Egli_UPEC_metadata_provided!$A$2:$M$826, 6, FALSE)</f>
        <v>0</v>
      </c>
      <c r="H135">
        <f>VLOOKUP($C135, Egli_UPEC_metadata_provided!$A$2:$M$826, 7, FALSE)</f>
        <v>0</v>
      </c>
      <c r="I135">
        <f>VLOOKUP($C135, Egli_UPEC_metadata_provided!$A$2:$M$826, 8, FALSE)</f>
        <v>31.967190704032799</v>
      </c>
      <c r="J135" t="b">
        <f>VLOOKUP($C135, Egli_UPEC_metadata_provided!$A$2:$M$826, 9, FALSE)</f>
        <v>0</v>
      </c>
      <c r="K135">
        <f>VLOOKUP($C135, Egli_UPEC_metadata_provided!$A$2:$M$826, 10, FALSE)</f>
        <v>0</v>
      </c>
      <c r="L135" t="str">
        <f>VLOOKUP($C135, Egli_UPEC_metadata_provided!$A$2:$M$826, 11, FALSE)</f>
        <v>non-invasive</v>
      </c>
      <c r="M135">
        <f>VLOOKUP($C135, Egli_UPEC_metadata_provided!$A$2:$M$826, 12, FALSE)</f>
        <v>0</v>
      </c>
      <c r="N135">
        <f>VLOOKUP($C135, Egli_UPEC_metadata_provided!$A$2:$M$826, 13, FALSE)</f>
        <v>0</v>
      </c>
      <c r="O135">
        <f>VLOOKUP($C135, Egli_UPEC_metadata_provided!$A$2:$N$826, 14, FALSE)</f>
        <v>0</v>
      </c>
    </row>
    <row r="136" spans="1:15" x14ac:dyDescent="0.2">
      <c r="A136" t="s">
        <v>658</v>
      </c>
      <c r="B136" t="s">
        <v>3893</v>
      </c>
      <c r="C136" t="s">
        <v>3893</v>
      </c>
      <c r="D136">
        <f>VLOOKUP($C136, Egli_UPEC_metadata_provided!$A$2:$M$826, 3, FALSE)</f>
        <v>2018</v>
      </c>
      <c r="E136" t="str">
        <f>VLOOKUP($C136, Egli_UPEC_metadata_provided!$A$2:$M$826, 4, FALSE)</f>
        <v>A</v>
      </c>
      <c r="F136" t="str">
        <f>VLOOKUP($C136, Egli_UPEC_metadata_provided!$A$2:$M$826, 5, FALSE)</f>
        <v>w</v>
      </c>
      <c r="G136">
        <f>VLOOKUP($C136, Egli_UPEC_metadata_provided!$A$2:$M$826, 6, FALSE)</f>
        <v>0</v>
      </c>
      <c r="H136">
        <f>VLOOKUP($C136, Egli_UPEC_metadata_provided!$A$2:$M$826, 7, FALSE)</f>
        <v>6</v>
      </c>
      <c r="I136">
        <f>VLOOKUP($C136, Egli_UPEC_metadata_provided!$A$2:$M$826, 8, FALSE)</f>
        <v>79.502392344497594</v>
      </c>
      <c r="J136" t="b">
        <f>VLOOKUP($C136, Egli_UPEC_metadata_provided!$A$2:$M$826, 9, FALSE)</f>
        <v>0</v>
      </c>
      <c r="K136">
        <f>VLOOKUP($C136, Egli_UPEC_metadata_provided!$A$2:$M$826, 10, FALSE)</f>
        <v>1</v>
      </c>
      <c r="L136" t="str">
        <f>VLOOKUP($C136, Egli_UPEC_metadata_provided!$A$2:$M$826, 11, FALSE)</f>
        <v>non-invasive</v>
      </c>
      <c r="M136">
        <f>VLOOKUP($C136, Egli_UPEC_metadata_provided!$A$2:$M$826, 12, FALSE)</f>
        <v>0</v>
      </c>
      <c r="N136">
        <f>VLOOKUP($C136, Egli_UPEC_metadata_provided!$A$2:$M$826, 13, FALSE)</f>
        <v>0</v>
      </c>
      <c r="O136">
        <f>VLOOKUP($C136, Egli_UPEC_metadata_provided!$A$2:$N$826, 14, FALSE)</f>
        <v>0</v>
      </c>
    </row>
    <row r="137" spans="1:15" x14ac:dyDescent="0.2">
      <c r="A137" t="s">
        <v>659</v>
      </c>
      <c r="B137" t="s">
        <v>3894</v>
      </c>
      <c r="C137" t="s">
        <v>3894</v>
      </c>
      <c r="D137">
        <f>VLOOKUP($C137, Egli_UPEC_metadata_provided!$A$2:$M$826, 3, FALSE)</f>
        <v>2018</v>
      </c>
      <c r="E137" t="str">
        <f>VLOOKUP($C137, Egli_UPEC_metadata_provided!$A$2:$M$826, 4, FALSE)</f>
        <v>B2-1</v>
      </c>
      <c r="F137" t="str">
        <f>VLOOKUP($C137, Egli_UPEC_metadata_provided!$A$2:$M$826, 5, FALSE)</f>
        <v>m</v>
      </c>
      <c r="G137">
        <f>VLOOKUP($C137, Egli_UPEC_metadata_provided!$A$2:$M$826, 6, FALSE)</f>
        <v>0</v>
      </c>
      <c r="H137">
        <f>VLOOKUP($C137, Egli_UPEC_metadata_provided!$A$2:$M$826, 7, FALSE)</f>
        <v>0</v>
      </c>
      <c r="I137">
        <f>VLOOKUP($C137, Egli_UPEC_metadata_provided!$A$2:$M$826, 8, FALSE)</f>
        <v>45.807245386192797</v>
      </c>
      <c r="J137" t="b">
        <f>VLOOKUP($C137, Egli_UPEC_metadata_provided!$A$2:$M$826, 9, FALSE)</f>
        <v>0</v>
      </c>
      <c r="K137">
        <f>VLOOKUP($C137, Egli_UPEC_metadata_provided!$A$2:$M$826, 10, FALSE)</f>
        <v>0</v>
      </c>
      <c r="L137" t="str">
        <f>VLOOKUP($C137, Egli_UPEC_metadata_provided!$A$2:$M$826, 11, FALSE)</f>
        <v>non-invasive</v>
      </c>
      <c r="M137">
        <f>VLOOKUP($C137, Egli_UPEC_metadata_provided!$A$2:$M$826, 12, FALSE)</f>
        <v>0</v>
      </c>
      <c r="N137">
        <f>VLOOKUP($C137, Egli_UPEC_metadata_provided!$A$2:$M$826, 13, FALSE)</f>
        <v>0</v>
      </c>
      <c r="O137">
        <f>VLOOKUP($C137, Egli_UPEC_metadata_provided!$A$2:$N$826, 14, FALSE)</f>
        <v>0</v>
      </c>
    </row>
    <row r="138" spans="1:15" x14ac:dyDescent="0.2">
      <c r="A138" t="s">
        <v>660</v>
      </c>
      <c r="B138" t="s">
        <v>3895</v>
      </c>
      <c r="C138" t="s">
        <v>3895</v>
      </c>
      <c r="D138">
        <f>VLOOKUP($C138, Egli_UPEC_metadata_provided!$A$2:$M$826, 3, FALSE)</f>
        <v>2018</v>
      </c>
      <c r="E138" t="str">
        <f>VLOOKUP($C138, Egli_UPEC_metadata_provided!$A$2:$M$826, 4, FALSE)</f>
        <v>E1</v>
      </c>
      <c r="F138" t="str">
        <f>VLOOKUP($C138, Egli_UPEC_metadata_provided!$A$2:$M$826, 5, FALSE)</f>
        <v>w</v>
      </c>
      <c r="G138">
        <f>VLOOKUP($C138, Egli_UPEC_metadata_provided!$A$2:$M$826, 6, FALSE)</f>
        <v>0</v>
      </c>
      <c r="H138">
        <f>VLOOKUP($C138, Egli_UPEC_metadata_provided!$A$2:$M$826, 7, FALSE)</f>
        <v>1</v>
      </c>
      <c r="I138">
        <f>VLOOKUP($C138, Egli_UPEC_metadata_provided!$A$2:$M$826, 8, FALSE)</f>
        <v>78.682159945317807</v>
      </c>
      <c r="J138" t="b">
        <f>VLOOKUP($C138, Egli_UPEC_metadata_provided!$A$2:$M$826, 9, FALSE)</f>
        <v>0</v>
      </c>
      <c r="K138">
        <f>VLOOKUP($C138, Egli_UPEC_metadata_provided!$A$2:$M$826, 10, FALSE)</f>
        <v>0</v>
      </c>
      <c r="L138" t="str">
        <f>VLOOKUP($C138, Egli_UPEC_metadata_provided!$A$2:$M$826, 11, FALSE)</f>
        <v>non-invasive</v>
      </c>
      <c r="M138">
        <f>VLOOKUP($C138, Egli_UPEC_metadata_provided!$A$2:$M$826, 12, FALSE)</f>
        <v>0</v>
      </c>
      <c r="N138">
        <f>VLOOKUP($C138, Egli_UPEC_metadata_provided!$A$2:$M$826, 13, FALSE)</f>
        <v>0</v>
      </c>
      <c r="O138">
        <f>VLOOKUP($C138, Egli_UPEC_metadata_provided!$A$2:$N$826, 14, FALSE)</f>
        <v>0</v>
      </c>
    </row>
    <row r="139" spans="1:15" x14ac:dyDescent="0.2">
      <c r="A139" t="s">
        <v>661</v>
      </c>
      <c r="B139" t="s">
        <v>3896</v>
      </c>
      <c r="C139" t="s">
        <v>3896</v>
      </c>
      <c r="D139">
        <f>VLOOKUP($C139, Egli_UPEC_metadata_provided!$A$2:$M$826, 3, FALSE)</f>
        <v>2018</v>
      </c>
      <c r="E139" t="str">
        <f>VLOOKUP($C139, Egli_UPEC_metadata_provided!$A$2:$M$826, 4, FALSE)</f>
        <v>B2-2</v>
      </c>
      <c r="F139" t="str">
        <f>VLOOKUP($C139, Egli_UPEC_metadata_provided!$A$2:$M$826, 5, FALSE)</f>
        <v>m</v>
      </c>
      <c r="G139">
        <f>VLOOKUP($C139, Egli_UPEC_metadata_provided!$A$2:$M$826, 6, FALSE)</f>
        <v>0</v>
      </c>
      <c r="H139">
        <f>VLOOKUP($C139, Egli_UPEC_metadata_provided!$A$2:$M$826, 7, FALSE)</f>
        <v>3</v>
      </c>
      <c r="I139">
        <f>VLOOKUP($C139, Egli_UPEC_metadata_provided!$A$2:$M$826, 8, FALSE)</f>
        <v>69.033492822966494</v>
      </c>
      <c r="J139" t="b">
        <f>VLOOKUP($C139, Egli_UPEC_metadata_provided!$A$2:$M$826, 9, FALSE)</f>
        <v>0</v>
      </c>
      <c r="K139">
        <f>VLOOKUP($C139, Egli_UPEC_metadata_provided!$A$2:$M$826, 10, FALSE)</f>
        <v>0</v>
      </c>
      <c r="L139" t="str">
        <f>VLOOKUP($C139, Egli_UPEC_metadata_provided!$A$2:$M$826, 11, FALSE)</f>
        <v>non-invasive</v>
      </c>
      <c r="M139">
        <f>VLOOKUP($C139, Egli_UPEC_metadata_provided!$A$2:$M$826, 12, FALSE)</f>
        <v>0</v>
      </c>
      <c r="N139">
        <f>VLOOKUP($C139, Egli_UPEC_metadata_provided!$A$2:$M$826, 13, FALSE)</f>
        <v>0</v>
      </c>
      <c r="O139">
        <f>VLOOKUP($C139, Egli_UPEC_metadata_provided!$A$2:$N$826, 14, FALSE)</f>
        <v>0</v>
      </c>
    </row>
    <row r="140" spans="1:15" x14ac:dyDescent="0.2">
      <c r="A140" t="s">
        <v>662</v>
      </c>
      <c r="B140" t="s">
        <v>3897</v>
      </c>
      <c r="C140" t="s">
        <v>3897</v>
      </c>
      <c r="D140">
        <f>VLOOKUP($C140, Egli_UPEC_metadata_provided!$A$2:$M$826, 3, FALSE)</f>
        <v>2018</v>
      </c>
      <c r="E140" t="str">
        <f>VLOOKUP($C140, Egli_UPEC_metadata_provided!$A$2:$M$826, 4, FALSE)</f>
        <v>E1</v>
      </c>
      <c r="F140" t="str">
        <f>VLOOKUP($C140, Egli_UPEC_metadata_provided!$A$2:$M$826, 5, FALSE)</f>
        <v>w</v>
      </c>
      <c r="G140">
        <f>VLOOKUP($C140, Egli_UPEC_metadata_provided!$A$2:$M$826, 6, FALSE)</f>
        <v>0</v>
      </c>
      <c r="H140">
        <f>VLOOKUP($C140, Egli_UPEC_metadata_provided!$A$2:$M$826, 7, FALSE)</f>
        <v>0</v>
      </c>
      <c r="I140">
        <f>VLOOKUP($C140, Egli_UPEC_metadata_provided!$A$2:$M$826, 8, FALSE)</f>
        <v>77.142857142857096</v>
      </c>
      <c r="J140" t="b">
        <f>VLOOKUP($C140, Egli_UPEC_metadata_provided!$A$2:$M$826, 9, FALSE)</f>
        <v>0</v>
      </c>
      <c r="K140">
        <f>VLOOKUP($C140, Egli_UPEC_metadata_provided!$A$2:$M$826, 10, FALSE)</f>
        <v>1</v>
      </c>
      <c r="L140" t="str">
        <f>VLOOKUP($C140, Egli_UPEC_metadata_provided!$A$2:$M$826, 11, FALSE)</f>
        <v>non-invasive</v>
      </c>
      <c r="M140">
        <f>VLOOKUP($C140, Egli_UPEC_metadata_provided!$A$2:$M$826, 12, FALSE)</f>
        <v>0</v>
      </c>
      <c r="N140">
        <f>VLOOKUP($C140, Egli_UPEC_metadata_provided!$A$2:$M$826, 13, FALSE)</f>
        <v>0</v>
      </c>
      <c r="O140">
        <f>VLOOKUP($C140, Egli_UPEC_metadata_provided!$A$2:$N$826, 14, FALSE)</f>
        <v>0</v>
      </c>
    </row>
    <row r="141" spans="1:15" x14ac:dyDescent="0.2">
      <c r="A141" t="s">
        <v>663</v>
      </c>
      <c r="B141" t="s">
        <v>3898</v>
      </c>
      <c r="C141" t="s">
        <v>3898</v>
      </c>
      <c r="D141">
        <f>VLOOKUP($C141, Egli_UPEC_metadata_provided!$A$2:$M$826, 3, FALSE)</f>
        <v>2018</v>
      </c>
      <c r="E141" t="str">
        <f>VLOOKUP($C141, Egli_UPEC_metadata_provided!$A$2:$M$826, 4, FALSE)</f>
        <v>B2-2</v>
      </c>
      <c r="F141" t="str">
        <f>VLOOKUP($C141, Egli_UPEC_metadata_provided!$A$2:$M$826, 5, FALSE)</f>
        <v>w</v>
      </c>
      <c r="G141">
        <f>VLOOKUP($C141, Egli_UPEC_metadata_provided!$A$2:$M$826, 6, FALSE)</f>
        <v>0</v>
      </c>
      <c r="H141">
        <f>VLOOKUP($C141, Egli_UPEC_metadata_provided!$A$2:$M$826, 7, FALSE)</f>
        <v>0</v>
      </c>
      <c r="I141">
        <f>VLOOKUP($C141, Egli_UPEC_metadata_provided!$A$2:$M$826, 8, FALSE)</f>
        <v>86.2693096377307</v>
      </c>
      <c r="J141" t="b">
        <f>VLOOKUP($C141, Egli_UPEC_metadata_provided!$A$2:$M$826, 9, FALSE)</f>
        <v>0</v>
      </c>
      <c r="K141">
        <f>VLOOKUP($C141, Egli_UPEC_metadata_provided!$A$2:$M$826, 10, FALSE)</f>
        <v>0</v>
      </c>
      <c r="L141" t="str">
        <f>VLOOKUP($C141, Egli_UPEC_metadata_provided!$A$2:$M$826, 11, FALSE)</f>
        <v>non-invasive</v>
      </c>
      <c r="M141">
        <f>VLOOKUP($C141, Egli_UPEC_metadata_provided!$A$2:$M$826, 12, FALSE)</f>
        <v>0</v>
      </c>
      <c r="N141">
        <f>VLOOKUP($C141, Egli_UPEC_metadata_provided!$A$2:$M$826, 13, FALSE)</f>
        <v>0</v>
      </c>
      <c r="O141">
        <f>VLOOKUP($C141, Egli_UPEC_metadata_provided!$A$2:$N$826, 14, FALSE)</f>
        <v>0</v>
      </c>
    </row>
    <row r="142" spans="1:15" x14ac:dyDescent="0.2">
      <c r="A142" t="s">
        <v>664</v>
      </c>
      <c r="B142" t="s">
        <v>3899</v>
      </c>
      <c r="C142" t="s">
        <v>3899</v>
      </c>
      <c r="D142">
        <f>VLOOKUP($C142, Egli_UPEC_metadata_provided!$A$2:$M$826, 3, FALSE)</f>
        <v>2018</v>
      </c>
      <c r="E142" t="str">
        <f>VLOOKUP($C142, Egli_UPEC_metadata_provided!$A$2:$M$826, 4, FALSE)</f>
        <v>B2-2</v>
      </c>
      <c r="F142" t="str">
        <f>VLOOKUP($C142, Egli_UPEC_metadata_provided!$A$2:$M$826, 5, FALSE)</f>
        <v>w</v>
      </c>
      <c r="G142">
        <f>VLOOKUP($C142, Egli_UPEC_metadata_provided!$A$2:$M$826, 6, FALSE)</f>
        <v>0</v>
      </c>
      <c r="H142">
        <f>VLOOKUP($C142, Egli_UPEC_metadata_provided!$A$2:$M$826, 7, FALSE)</f>
        <v>0</v>
      </c>
      <c r="I142">
        <f>VLOOKUP($C142, Egli_UPEC_metadata_provided!$A$2:$M$826, 8, FALSE)</f>
        <v>45.952153110047803</v>
      </c>
      <c r="J142" t="b">
        <f>VLOOKUP($C142, Egli_UPEC_metadata_provided!$A$2:$M$826, 9, FALSE)</f>
        <v>0</v>
      </c>
      <c r="K142">
        <f>VLOOKUP($C142, Egli_UPEC_metadata_provided!$A$2:$M$826, 10, FALSE)</f>
        <v>0</v>
      </c>
      <c r="L142" t="str">
        <f>VLOOKUP($C142, Egli_UPEC_metadata_provided!$A$2:$M$826, 11, FALSE)</f>
        <v>non-invasive</v>
      </c>
      <c r="M142">
        <f>VLOOKUP($C142, Egli_UPEC_metadata_provided!$A$2:$M$826, 12, FALSE)</f>
        <v>0</v>
      </c>
      <c r="N142">
        <f>VLOOKUP($C142, Egli_UPEC_metadata_provided!$A$2:$M$826, 13, FALSE)</f>
        <v>0</v>
      </c>
      <c r="O142">
        <f>VLOOKUP($C142, Egli_UPEC_metadata_provided!$A$2:$N$826, 14, FALSE)</f>
        <v>0</v>
      </c>
    </row>
    <row r="143" spans="1:15" x14ac:dyDescent="0.2">
      <c r="A143" t="s">
        <v>665</v>
      </c>
      <c r="B143" t="s">
        <v>3900</v>
      </c>
      <c r="C143" t="s">
        <v>3900</v>
      </c>
      <c r="D143">
        <f>VLOOKUP($C143, Egli_UPEC_metadata_provided!$A$2:$M$826, 3, FALSE)</f>
        <v>2018</v>
      </c>
      <c r="E143" t="str">
        <f>VLOOKUP($C143, Egli_UPEC_metadata_provided!$A$2:$M$826, 4, FALSE)</f>
        <v>B2-2</v>
      </c>
      <c r="F143" t="str">
        <f>VLOOKUP($C143, Egli_UPEC_metadata_provided!$A$2:$M$826, 5, FALSE)</f>
        <v>m</v>
      </c>
      <c r="G143">
        <f>VLOOKUP($C143, Egli_UPEC_metadata_provided!$A$2:$M$826, 6, FALSE)</f>
        <v>0</v>
      </c>
      <c r="H143">
        <f>VLOOKUP($C143, Egli_UPEC_metadata_provided!$A$2:$M$826, 7, FALSE)</f>
        <v>2</v>
      </c>
      <c r="I143">
        <f>VLOOKUP($C143, Egli_UPEC_metadata_provided!$A$2:$M$826, 8, FALSE)</f>
        <v>63.595352016404597</v>
      </c>
      <c r="J143" t="b">
        <f>VLOOKUP($C143, Egli_UPEC_metadata_provided!$A$2:$M$826, 9, FALSE)</f>
        <v>0</v>
      </c>
      <c r="K143">
        <f>VLOOKUP($C143, Egli_UPEC_metadata_provided!$A$2:$M$826, 10, FALSE)</f>
        <v>0</v>
      </c>
      <c r="L143" t="str">
        <f>VLOOKUP($C143, Egli_UPEC_metadata_provided!$A$2:$M$826, 11, FALSE)</f>
        <v>non-invasive</v>
      </c>
      <c r="M143">
        <f>VLOOKUP($C143, Egli_UPEC_metadata_provided!$A$2:$M$826, 12, FALSE)</f>
        <v>0</v>
      </c>
      <c r="N143">
        <f>VLOOKUP($C143, Egli_UPEC_metadata_provided!$A$2:$M$826, 13, FALSE)</f>
        <v>0</v>
      </c>
      <c r="O143">
        <f>VLOOKUP($C143, Egli_UPEC_metadata_provided!$A$2:$N$826, 14, FALSE)</f>
        <v>0</v>
      </c>
    </row>
    <row r="144" spans="1:15" x14ac:dyDescent="0.2">
      <c r="A144" t="s">
        <v>666</v>
      </c>
      <c r="B144" t="s">
        <v>3901</v>
      </c>
      <c r="C144" t="s">
        <v>3901</v>
      </c>
      <c r="D144">
        <f>VLOOKUP($C144, Egli_UPEC_metadata_provided!$A$2:$M$826, 3, FALSE)</f>
        <v>2018</v>
      </c>
      <c r="E144" t="str">
        <f>VLOOKUP($C144, Egli_UPEC_metadata_provided!$A$2:$M$826, 4, FALSE)</f>
        <v>B1</v>
      </c>
      <c r="F144" t="str">
        <f>VLOOKUP($C144, Egli_UPEC_metadata_provided!$A$2:$M$826, 5, FALSE)</f>
        <v>w</v>
      </c>
      <c r="G144">
        <f>VLOOKUP($C144, Egli_UPEC_metadata_provided!$A$2:$M$826, 6, FALSE)</f>
        <v>0</v>
      </c>
      <c r="H144">
        <f>VLOOKUP($C144, Egli_UPEC_metadata_provided!$A$2:$M$826, 7, FALSE)</f>
        <v>6</v>
      </c>
      <c r="I144">
        <f>VLOOKUP($C144, Egli_UPEC_metadata_provided!$A$2:$M$826, 8, FALSE)</f>
        <v>86.745044429255003</v>
      </c>
      <c r="J144" t="b">
        <f>VLOOKUP($C144, Egli_UPEC_metadata_provided!$A$2:$M$826, 9, FALSE)</f>
        <v>0</v>
      </c>
      <c r="K144">
        <f>VLOOKUP($C144, Egli_UPEC_metadata_provided!$A$2:$M$826, 10, FALSE)</f>
        <v>0</v>
      </c>
      <c r="L144" t="str">
        <f>VLOOKUP($C144, Egli_UPEC_metadata_provided!$A$2:$M$826, 11, FALSE)</f>
        <v>non-invasive</v>
      </c>
      <c r="M144">
        <f>VLOOKUP($C144, Egli_UPEC_metadata_provided!$A$2:$M$826, 12, FALSE)</f>
        <v>0</v>
      </c>
      <c r="N144">
        <f>VLOOKUP($C144, Egli_UPEC_metadata_provided!$A$2:$M$826, 13, FALSE)</f>
        <v>0</v>
      </c>
      <c r="O144">
        <f>VLOOKUP($C144, Egli_UPEC_metadata_provided!$A$2:$N$826, 14, FALSE)</f>
        <v>1</v>
      </c>
    </row>
    <row r="145" spans="1:15" x14ac:dyDescent="0.2">
      <c r="A145" t="s">
        <v>667</v>
      </c>
      <c r="B145" t="s">
        <v>3902</v>
      </c>
      <c r="C145" t="s">
        <v>3902</v>
      </c>
      <c r="D145">
        <f>VLOOKUP($C145, Egli_UPEC_metadata_provided!$A$2:$M$826, 3, FALSE)</f>
        <v>2018</v>
      </c>
      <c r="E145" t="str">
        <f>VLOOKUP($C145, Egli_UPEC_metadata_provided!$A$2:$M$826, 4, FALSE)</f>
        <v>B2-2</v>
      </c>
      <c r="F145" t="str">
        <f>VLOOKUP($C145, Egli_UPEC_metadata_provided!$A$2:$M$826, 5, FALSE)</f>
        <v>w</v>
      </c>
      <c r="G145">
        <f>VLOOKUP($C145, Egli_UPEC_metadata_provided!$A$2:$M$826, 6, FALSE)</f>
        <v>0</v>
      </c>
      <c r="H145">
        <f>VLOOKUP($C145, Egli_UPEC_metadata_provided!$A$2:$M$826, 7, FALSE)</f>
        <v>2</v>
      </c>
      <c r="I145">
        <f>VLOOKUP($C145, Egli_UPEC_metadata_provided!$A$2:$M$826, 8, FALSE)</f>
        <v>63.666438824333603</v>
      </c>
      <c r="J145" t="b">
        <f>VLOOKUP($C145, Egli_UPEC_metadata_provided!$A$2:$M$826, 9, FALSE)</f>
        <v>0</v>
      </c>
      <c r="K145">
        <f>VLOOKUP($C145, Egli_UPEC_metadata_provided!$A$2:$M$826, 10, FALSE)</f>
        <v>0</v>
      </c>
      <c r="L145" t="str">
        <f>VLOOKUP($C145, Egli_UPEC_metadata_provided!$A$2:$M$826, 11, FALSE)</f>
        <v>non-invasive</v>
      </c>
      <c r="M145">
        <f>VLOOKUP($C145, Egli_UPEC_metadata_provided!$A$2:$M$826, 12, FALSE)</f>
        <v>0</v>
      </c>
      <c r="N145">
        <f>VLOOKUP($C145, Egli_UPEC_metadata_provided!$A$2:$M$826, 13, FALSE)</f>
        <v>0</v>
      </c>
      <c r="O145" t="str">
        <f>VLOOKUP($C145, Egli_UPEC_metadata_provided!$A$2:$N$826, 14, FALSE)</f>
        <v>NA</v>
      </c>
    </row>
    <row r="146" spans="1:15" x14ac:dyDescent="0.2">
      <c r="A146" t="s">
        <v>668</v>
      </c>
      <c r="B146" t="s">
        <v>3903</v>
      </c>
      <c r="C146" t="s">
        <v>3903</v>
      </c>
      <c r="D146">
        <f>VLOOKUP($C146, Egli_UPEC_metadata_provided!$A$2:$M$826, 3, FALSE)</f>
        <v>2018</v>
      </c>
      <c r="E146" t="str">
        <f>VLOOKUP($C146, Egli_UPEC_metadata_provided!$A$2:$M$826, 4, FALSE)</f>
        <v>B2-2</v>
      </c>
      <c r="F146" t="str">
        <f>VLOOKUP($C146, Egli_UPEC_metadata_provided!$A$2:$M$826, 5, FALSE)</f>
        <v>m</v>
      </c>
      <c r="G146">
        <f>VLOOKUP($C146, Egli_UPEC_metadata_provided!$A$2:$M$826, 6, FALSE)</f>
        <v>1</v>
      </c>
      <c r="H146">
        <f>VLOOKUP($C146, Egli_UPEC_metadata_provided!$A$2:$M$826, 7, FALSE)</f>
        <v>6</v>
      </c>
      <c r="I146">
        <f>VLOOKUP($C146, Egli_UPEC_metadata_provided!$A$2:$M$826, 8, FALSE)</f>
        <v>50.329460013670499</v>
      </c>
      <c r="J146" t="b">
        <f>VLOOKUP($C146, Egli_UPEC_metadata_provided!$A$2:$M$826, 9, FALSE)</f>
        <v>0</v>
      </c>
      <c r="K146">
        <f>VLOOKUP($C146, Egli_UPEC_metadata_provided!$A$2:$M$826, 10, FALSE)</f>
        <v>0</v>
      </c>
      <c r="L146" t="str">
        <f>VLOOKUP($C146, Egli_UPEC_metadata_provided!$A$2:$M$826, 11, FALSE)</f>
        <v>non-invasive</v>
      </c>
      <c r="M146">
        <f>VLOOKUP($C146, Egli_UPEC_metadata_provided!$A$2:$M$826, 12, FALSE)</f>
        <v>0</v>
      </c>
      <c r="N146">
        <f>VLOOKUP($C146, Egli_UPEC_metadata_provided!$A$2:$M$826, 13, FALSE)</f>
        <v>0</v>
      </c>
      <c r="O146">
        <f>VLOOKUP($C146, Egli_UPEC_metadata_provided!$A$2:$N$826, 14, FALSE)</f>
        <v>0</v>
      </c>
    </row>
    <row r="147" spans="1:15" x14ac:dyDescent="0.2">
      <c r="A147" t="s">
        <v>669</v>
      </c>
      <c r="B147" t="s">
        <v>3904</v>
      </c>
      <c r="C147" t="s">
        <v>3904</v>
      </c>
      <c r="D147">
        <f>VLOOKUP($C147, Egli_UPEC_metadata_provided!$A$2:$M$826, 3, FALSE)</f>
        <v>2018</v>
      </c>
      <c r="E147" t="str">
        <f>VLOOKUP($C147, Egli_UPEC_metadata_provided!$A$2:$M$826, 4, FALSE)</f>
        <v>A</v>
      </c>
      <c r="F147" t="str">
        <f>VLOOKUP($C147, Egli_UPEC_metadata_provided!$A$2:$M$826, 5, FALSE)</f>
        <v>w</v>
      </c>
      <c r="G147">
        <f>VLOOKUP($C147, Egli_UPEC_metadata_provided!$A$2:$M$826, 6, FALSE)</f>
        <v>0</v>
      </c>
      <c r="H147">
        <f>VLOOKUP($C147, Egli_UPEC_metadata_provided!$A$2:$M$826, 7, FALSE)</f>
        <v>1</v>
      </c>
      <c r="I147">
        <f>VLOOKUP($C147, Egli_UPEC_metadata_provided!$A$2:$M$826, 8, FALSE)</f>
        <v>78.550922761449101</v>
      </c>
      <c r="J147" t="b">
        <f>VLOOKUP($C147, Egli_UPEC_metadata_provided!$A$2:$M$826, 9, FALSE)</f>
        <v>0</v>
      </c>
      <c r="K147">
        <f>VLOOKUP($C147, Egli_UPEC_metadata_provided!$A$2:$M$826, 10, FALSE)</f>
        <v>0</v>
      </c>
      <c r="L147" t="str">
        <f>VLOOKUP($C147, Egli_UPEC_metadata_provided!$A$2:$M$826, 11, FALSE)</f>
        <v>non-invasive</v>
      </c>
      <c r="M147">
        <f>VLOOKUP($C147, Egli_UPEC_metadata_provided!$A$2:$M$826, 12, FALSE)</f>
        <v>0</v>
      </c>
      <c r="N147">
        <f>VLOOKUP($C147, Egli_UPEC_metadata_provided!$A$2:$M$826, 13, FALSE)</f>
        <v>0</v>
      </c>
      <c r="O147">
        <f>VLOOKUP($C147, Egli_UPEC_metadata_provided!$A$2:$N$826, 14, FALSE)</f>
        <v>0</v>
      </c>
    </row>
    <row r="148" spans="1:15" x14ac:dyDescent="0.2">
      <c r="A148" t="s">
        <v>670</v>
      </c>
      <c r="B148" t="s">
        <v>3905</v>
      </c>
      <c r="C148" t="s">
        <v>3905</v>
      </c>
      <c r="D148">
        <f>VLOOKUP($C148, Egli_UPEC_metadata_provided!$A$2:$M$826, 3, FALSE)</f>
        <v>2018</v>
      </c>
      <c r="E148" t="str">
        <f>VLOOKUP($C148, Egli_UPEC_metadata_provided!$A$2:$M$826, 4, FALSE)</f>
        <v>B2-2</v>
      </c>
      <c r="F148" t="str">
        <f>VLOOKUP($C148, Egli_UPEC_metadata_provided!$A$2:$M$826, 5, FALSE)</f>
        <v>w</v>
      </c>
      <c r="G148">
        <f>VLOOKUP($C148, Egli_UPEC_metadata_provided!$A$2:$M$826, 6, FALSE)</f>
        <v>0</v>
      </c>
      <c r="H148">
        <f>VLOOKUP($C148, Egli_UPEC_metadata_provided!$A$2:$M$826, 7, FALSE)</f>
        <v>2</v>
      </c>
      <c r="I148">
        <f>VLOOKUP($C148, Egli_UPEC_metadata_provided!$A$2:$M$826, 8, FALSE)</f>
        <v>62.4251537935749</v>
      </c>
      <c r="J148" t="b">
        <f>VLOOKUP($C148, Egli_UPEC_metadata_provided!$A$2:$M$826, 9, FALSE)</f>
        <v>0</v>
      </c>
      <c r="K148">
        <f>VLOOKUP($C148, Egli_UPEC_metadata_provided!$A$2:$M$826, 10, FALSE)</f>
        <v>0</v>
      </c>
      <c r="L148" t="str">
        <f>VLOOKUP($C148, Egli_UPEC_metadata_provided!$A$2:$M$826, 11, FALSE)</f>
        <v>non-invasive</v>
      </c>
      <c r="M148">
        <f>VLOOKUP($C148, Egli_UPEC_metadata_provided!$A$2:$M$826, 12, FALSE)</f>
        <v>0</v>
      </c>
      <c r="N148">
        <f>VLOOKUP($C148, Egli_UPEC_metadata_provided!$A$2:$M$826, 13, FALSE)</f>
        <v>0</v>
      </c>
      <c r="O148">
        <f>VLOOKUP($C148, Egli_UPEC_metadata_provided!$A$2:$N$826, 14, FALSE)</f>
        <v>1</v>
      </c>
    </row>
    <row r="149" spans="1:15" x14ac:dyDescent="0.2">
      <c r="A149" t="s">
        <v>671</v>
      </c>
      <c r="B149" t="s">
        <v>3906</v>
      </c>
      <c r="C149" t="s">
        <v>3906</v>
      </c>
      <c r="D149">
        <f>VLOOKUP($C149, Egli_UPEC_metadata_provided!$A$2:$M$826, 3, FALSE)</f>
        <v>2018</v>
      </c>
      <c r="E149" t="str">
        <f>VLOOKUP($C149, Egli_UPEC_metadata_provided!$A$2:$M$826, 4, FALSE)</f>
        <v>D1</v>
      </c>
      <c r="F149" t="str">
        <f>VLOOKUP($C149, Egli_UPEC_metadata_provided!$A$2:$M$826, 5, FALSE)</f>
        <v>w</v>
      </c>
      <c r="G149">
        <f>VLOOKUP($C149, Egli_UPEC_metadata_provided!$A$2:$M$826, 6, FALSE)</f>
        <v>0</v>
      </c>
      <c r="H149">
        <f>VLOOKUP($C149, Egli_UPEC_metadata_provided!$A$2:$M$826, 7, FALSE)</f>
        <v>0</v>
      </c>
      <c r="I149">
        <f>VLOOKUP($C149, Egli_UPEC_metadata_provided!$A$2:$M$826, 8, FALSE)</f>
        <v>28.6179084073821</v>
      </c>
      <c r="J149" t="b">
        <f>VLOOKUP($C149, Egli_UPEC_metadata_provided!$A$2:$M$826, 9, FALSE)</f>
        <v>1</v>
      </c>
      <c r="K149">
        <f>VLOOKUP($C149, Egli_UPEC_metadata_provided!$A$2:$M$826, 10, FALSE)</f>
        <v>0</v>
      </c>
      <c r="L149" t="str">
        <f>VLOOKUP($C149, Egli_UPEC_metadata_provided!$A$2:$M$826, 11, FALSE)</f>
        <v>non-invasive</v>
      </c>
      <c r="M149">
        <f>VLOOKUP($C149, Egli_UPEC_metadata_provided!$A$2:$M$826, 12, FALSE)</f>
        <v>0</v>
      </c>
      <c r="N149">
        <f>VLOOKUP($C149, Egli_UPEC_metadata_provided!$A$2:$M$826, 13, FALSE)</f>
        <v>0</v>
      </c>
      <c r="O149">
        <f>VLOOKUP($C149, Egli_UPEC_metadata_provided!$A$2:$N$826, 14, FALSE)</f>
        <v>1</v>
      </c>
    </row>
    <row r="150" spans="1:15" x14ac:dyDescent="0.2">
      <c r="A150" t="s">
        <v>672</v>
      </c>
      <c r="B150" t="s">
        <v>3907</v>
      </c>
      <c r="C150" t="s">
        <v>3907</v>
      </c>
      <c r="D150">
        <f>VLOOKUP($C150, Egli_UPEC_metadata_provided!$A$2:$M$826, 3, FALSE)</f>
        <v>2018</v>
      </c>
      <c r="E150" t="str">
        <f>VLOOKUP($C150, Egli_UPEC_metadata_provided!$A$2:$M$826, 4, FALSE)</f>
        <v>B2-2</v>
      </c>
      <c r="F150" t="str">
        <f>VLOOKUP($C150, Egli_UPEC_metadata_provided!$A$2:$M$826, 5, FALSE)</f>
        <v>w</v>
      </c>
      <c r="G150">
        <f>VLOOKUP($C150, Egli_UPEC_metadata_provided!$A$2:$M$826, 6, FALSE)</f>
        <v>0</v>
      </c>
      <c r="H150">
        <f>VLOOKUP($C150, Egli_UPEC_metadata_provided!$A$2:$M$826, 7, FALSE)</f>
        <v>0</v>
      </c>
      <c r="I150">
        <f>VLOOKUP($C150, Egli_UPEC_metadata_provided!$A$2:$M$826, 8, FALSE)</f>
        <v>67.784005468215994</v>
      </c>
      <c r="J150" t="b">
        <f>VLOOKUP($C150, Egli_UPEC_metadata_provided!$A$2:$M$826, 9, FALSE)</f>
        <v>0</v>
      </c>
      <c r="K150">
        <f>VLOOKUP($C150, Egli_UPEC_metadata_provided!$A$2:$M$826, 10, FALSE)</f>
        <v>0</v>
      </c>
      <c r="L150" t="str">
        <f>VLOOKUP($C150, Egli_UPEC_metadata_provided!$A$2:$M$826, 11, FALSE)</f>
        <v>non-invasive</v>
      </c>
      <c r="M150">
        <f>VLOOKUP($C150, Egli_UPEC_metadata_provided!$A$2:$M$826, 12, FALSE)</f>
        <v>0</v>
      </c>
      <c r="N150">
        <f>VLOOKUP($C150, Egli_UPEC_metadata_provided!$A$2:$M$826, 13, FALSE)</f>
        <v>0</v>
      </c>
      <c r="O150">
        <f>VLOOKUP($C150, Egli_UPEC_metadata_provided!$A$2:$N$826, 14, FALSE)</f>
        <v>1</v>
      </c>
    </row>
    <row r="151" spans="1:15" x14ac:dyDescent="0.2">
      <c r="A151" t="s">
        <v>673</v>
      </c>
      <c r="B151" t="s">
        <v>3908</v>
      </c>
      <c r="C151" t="s">
        <v>3908</v>
      </c>
      <c r="D151">
        <f>VLOOKUP($C151, Egli_UPEC_metadata_provided!$A$2:$M$826, 3, FALSE)</f>
        <v>2018</v>
      </c>
      <c r="E151" t="str">
        <f>VLOOKUP($C151, Egli_UPEC_metadata_provided!$A$2:$M$826, 4, FALSE)</f>
        <v>B1</v>
      </c>
      <c r="F151" t="str">
        <f>VLOOKUP($C151, Egli_UPEC_metadata_provided!$A$2:$M$826, 5, FALSE)</f>
        <v>w</v>
      </c>
      <c r="G151">
        <f>VLOOKUP($C151, Egli_UPEC_metadata_provided!$A$2:$M$826, 6, FALSE)</f>
        <v>1</v>
      </c>
      <c r="H151">
        <f>VLOOKUP($C151, Egli_UPEC_metadata_provided!$A$2:$M$826, 7, FALSE)</f>
        <v>2</v>
      </c>
      <c r="I151">
        <f>VLOOKUP($C151, Egli_UPEC_metadata_provided!$A$2:$M$826, 8, FALSE)</f>
        <v>66.236500341763502</v>
      </c>
      <c r="J151" t="b">
        <f>VLOOKUP($C151, Egli_UPEC_metadata_provided!$A$2:$M$826, 9, FALSE)</f>
        <v>0</v>
      </c>
      <c r="K151">
        <f>VLOOKUP($C151, Egli_UPEC_metadata_provided!$A$2:$M$826, 10, FALSE)</f>
        <v>0</v>
      </c>
      <c r="L151" t="str">
        <f>VLOOKUP($C151, Egli_UPEC_metadata_provided!$A$2:$M$826, 11, FALSE)</f>
        <v>non-invasive</v>
      </c>
      <c r="M151">
        <f>VLOOKUP($C151, Egli_UPEC_metadata_provided!$A$2:$M$826, 12, FALSE)</f>
        <v>0</v>
      </c>
      <c r="N151">
        <f>VLOOKUP($C151, Egli_UPEC_metadata_provided!$A$2:$M$826, 13, FALSE)</f>
        <v>0</v>
      </c>
      <c r="O151" t="str">
        <f>VLOOKUP($C151, Egli_UPEC_metadata_provided!$A$2:$N$826, 14, FALSE)</f>
        <v>NA</v>
      </c>
    </row>
    <row r="152" spans="1:15" x14ac:dyDescent="0.2">
      <c r="A152" t="s">
        <v>674</v>
      </c>
      <c r="B152" t="s">
        <v>3909</v>
      </c>
      <c r="C152" t="s">
        <v>3909</v>
      </c>
      <c r="D152">
        <f>VLOOKUP($C152, Egli_UPEC_metadata_provided!$A$2:$M$826, 3, FALSE)</f>
        <v>2018</v>
      </c>
      <c r="E152" t="str">
        <f>VLOOKUP($C152, Egli_UPEC_metadata_provided!$A$2:$M$826, 4, FALSE)</f>
        <v>B2-2</v>
      </c>
      <c r="F152" t="str">
        <f>VLOOKUP($C152, Egli_UPEC_metadata_provided!$A$2:$M$826, 5, FALSE)</f>
        <v>m</v>
      </c>
      <c r="G152">
        <f>VLOOKUP($C152, Egli_UPEC_metadata_provided!$A$2:$M$826, 6, FALSE)</f>
        <v>0</v>
      </c>
      <c r="H152">
        <f>VLOOKUP($C152, Egli_UPEC_metadata_provided!$A$2:$M$826, 7, FALSE)</f>
        <v>2</v>
      </c>
      <c r="I152">
        <f>VLOOKUP($C152, Egli_UPEC_metadata_provided!$A$2:$M$826, 8, FALSE)</f>
        <v>38.2966507177034</v>
      </c>
      <c r="J152" t="b">
        <f>VLOOKUP($C152, Egli_UPEC_metadata_provided!$A$2:$M$826, 9, FALSE)</f>
        <v>0</v>
      </c>
      <c r="K152">
        <f>VLOOKUP($C152, Egli_UPEC_metadata_provided!$A$2:$M$826, 10, FALSE)</f>
        <v>0</v>
      </c>
      <c r="L152" t="str">
        <f>VLOOKUP($C152, Egli_UPEC_metadata_provided!$A$2:$M$826, 11, FALSE)</f>
        <v>non-invasive</v>
      </c>
      <c r="M152">
        <f>VLOOKUP($C152, Egli_UPEC_metadata_provided!$A$2:$M$826, 12, FALSE)</f>
        <v>0</v>
      </c>
      <c r="N152">
        <f>VLOOKUP($C152, Egli_UPEC_metadata_provided!$A$2:$M$826, 13, FALSE)</f>
        <v>0</v>
      </c>
      <c r="O152">
        <f>VLOOKUP($C152, Egli_UPEC_metadata_provided!$A$2:$N$826, 14, FALSE)</f>
        <v>1</v>
      </c>
    </row>
    <row r="153" spans="1:15" x14ac:dyDescent="0.2">
      <c r="A153" t="s">
        <v>675</v>
      </c>
      <c r="B153" t="s">
        <v>3910</v>
      </c>
      <c r="C153" t="s">
        <v>3910</v>
      </c>
      <c r="D153">
        <f>VLOOKUP($C153, Egli_UPEC_metadata_provided!$A$2:$M$826, 3, FALSE)</f>
        <v>2018</v>
      </c>
      <c r="E153" t="str">
        <f>VLOOKUP($C153, Egli_UPEC_metadata_provided!$A$2:$M$826, 4, FALSE)</f>
        <v>D1</v>
      </c>
      <c r="F153" t="str">
        <f>VLOOKUP($C153, Egli_UPEC_metadata_provided!$A$2:$M$826, 5, FALSE)</f>
        <v>w</v>
      </c>
      <c r="G153">
        <f>VLOOKUP($C153, Egli_UPEC_metadata_provided!$A$2:$M$826, 6, FALSE)</f>
        <v>0</v>
      </c>
      <c r="H153">
        <f>VLOOKUP($C153, Egli_UPEC_metadata_provided!$A$2:$M$826, 7, FALSE)</f>
        <v>2</v>
      </c>
      <c r="I153">
        <f>VLOOKUP($C153, Egli_UPEC_metadata_provided!$A$2:$M$826, 8, FALSE)</f>
        <v>58.641148325358799</v>
      </c>
      <c r="J153" t="b">
        <f>VLOOKUP($C153, Egli_UPEC_metadata_provided!$A$2:$M$826, 9, FALSE)</f>
        <v>0</v>
      </c>
      <c r="K153">
        <f>VLOOKUP($C153, Egli_UPEC_metadata_provided!$A$2:$M$826, 10, FALSE)</f>
        <v>0</v>
      </c>
      <c r="L153" t="str">
        <f>VLOOKUP($C153, Egli_UPEC_metadata_provided!$A$2:$M$826, 11, FALSE)</f>
        <v>non-invasive</v>
      </c>
      <c r="M153">
        <f>VLOOKUP($C153, Egli_UPEC_metadata_provided!$A$2:$M$826, 12, FALSE)</f>
        <v>0</v>
      </c>
      <c r="N153">
        <f>VLOOKUP($C153, Egli_UPEC_metadata_provided!$A$2:$M$826, 13, FALSE)</f>
        <v>0</v>
      </c>
      <c r="O153">
        <f>VLOOKUP($C153, Egli_UPEC_metadata_provided!$A$2:$N$826, 14, FALSE)</f>
        <v>0</v>
      </c>
    </row>
    <row r="154" spans="1:15" x14ac:dyDescent="0.2">
      <c r="A154" t="s">
        <v>676</v>
      </c>
      <c r="B154" t="s">
        <v>3911</v>
      </c>
      <c r="C154" t="s">
        <v>3911</v>
      </c>
      <c r="D154">
        <f>VLOOKUP($C154, Egli_UPEC_metadata_provided!$A$2:$M$826, 3, FALSE)</f>
        <v>2018</v>
      </c>
      <c r="E154" t="str">
        <f>VLOOKUP($C154, Egli_UPEC_metadata_provided!$A$2:$M$826, 4, FALSE)</f>
        <v>B2-2</v>
      </c>
      <c r="F154" t="str">
        <f>VLOOKUP($C154, Egli_UPEC_metadata_provided!$A$2:$M$826, 5, FALSE)</f>
        <v>w</v>
      </c>
      <c r="G154">
        <f>VLOOKUP($C154, Egli_UPEC_metadata_provided!$A$2:$M$826, 6, FALSE)</f>
        <v>0</v>
      </c>
      <c r="H154">
        <f>VLOOKUP($C154, Egli_UPEC_metadata_provided!$A$2:$M$826, 7, FALSE)</f>
        <v>6</v>
      </c>
      <c r="I154">
        <f>VLOOKUP($C154, Egli_UPEC_metadata_provided!$A$2:$M$826, 8, FALSE)</f>
        <v>53.626794258373202</v>
      </c>
      <c r="J154" t="b">
        <f>VLOOKUP($C154, Egli_UPEC_metadata_provided!$A$2:$M$826, 9, FALSE)</f>
        <v>0</v>
      </c>
      <c r="K154">
        <f>VLOOKUP($C154, Egli_UPEC_metadata_provided!$A$2:$M$826, 10, FALSE)</f>
        <v>0</v>
      </c>
      <c r="L154" t="str">
        <f>VLOOKUP($C154, Egli_UPEC_metadata_provided!$A$2:$M$826, 11, FALSE)</f>
        <v>non-invasive</v>
      </c>
      <c r="M154">
        <f>VLOOKUP($C154, Egli_UPEC_metadata_provided!$A$2:$M$826, 12, FALSE)</f>
        <v>0</v>
      </c>
      <c r="N154">
        <f>VLOOKUP($C154, Egli_UPEC_metadata_provided!$A$2:$M$826, 13, FALSE)</f>
        <v>0</v>
      </c>
      <c r="O154">
        <f>VLOOKUP($C154, Egli_UPEC_metadata_provided!$A$2:$N$826, 14, FALSE)</f>
        <v>0</v>
      </c>
    </row>
    <row r="155" spans="1:15" x14ac:dyDescent="0.2">
      <c r="A155" t="s">
        <v>677</v>
      </c>
      <c r="B155" t="s">
        <v>3912</v>
      </c>
      <c r="C155" t="s">
        <v>3912</v>
      </c>
      <c r="D155">
        <f>VLOOKUP($C155, Egli_UPEC_metadata_provided!$A$2:$M$826, 3, FALSE)</f>
        <v>2018</v>
      </c>
      <c r="E155" t="str">
        <f>VLOOKUP($C155, Egli_UPEC_metadata_provided!$A$2:$M$826, 4, FALSE)</f>
        <v>B2-2</v>
      </c>
      <c r="F155" t="str">
        <f>VLOOKUP($C155, Egli_UPEC_metadata_provided!$A$2:$M$826, 5, FALSE)</f>
        <v>w</v>
      </c>
      <c r="G155">
        <f>VLOOKUP($C155, Egli_UPEC_metadata_provided!$A$2:$M$826, 6, FALSE)</f>
        <v>0</v>
      </c>
      <c r="H155">
        <f>VLOOKUP($C155, Egli_UPEC_metadata_provided!$A$2:$M$826, 7, FALSE)</f>
        <v>0</v>
      </c>
      <c r="I155">
        <f>VLOOKUP($C155, Egli_UPEC_metadata_provided!$A$2:$M$826, 8, FALSE)</f>
        <v>82.887218045112803</v>
      </c>
      <c r="J155" t="b">
        <f>VLOOKUP($C155, Egli_UPEC_metadata_provided!$A$2:$M$826, 9, FALSE)</f>
        <v>1</v>
      </c>
      <c r="K155">
        <f>VLOOKUP($C155, Egli_UPEC_metadata_provided!$A$2:$M$826, 10, FALSE)</f>
        <v>0</v>
      </c>
      <c r="L155" t="str">
        <f>VLOOKUP($C155, Egli_UPEC_metadata_provided!$A$2:$M$826, 11, FALSE)</f>
        <v>non-invasive</v>
      </c>
      <c r="M155">
        <f>VLOOKUP($C155, Egli_UPEC_metadata_provided!$A$2:$M$826, 12, FALSE)</f>
        <v>1</v>
      </c>
      <c r="N155">
        <f>VLOOKUP($C155, Egli_UPEC_metadata_provided!$A$2:$M$826, 13, FALSE)</f>
        <v>0</v>
      </c>
      <c r="O155">
        <f>VLOOKUP($C155, Egli_UPEC_metadata_provided!$A$2:$N$826, 14, FALSE)</f>
        <v>0</v>
      </c>
    </row>
    <row r="156" spans="1:15" x14ac:dyDescent="0.2">
      <c r="A156" t="s">
        <v>678</v>
      </c>
      <c r="B156" t="s">
        <v>3913</v>
      </c>
      <c r="C156" t="s">
        <v>3913</v>
      </c>
      <c r="D156">
        <f>VLOOKUP($C156, Egli_UPEC_metadata_provided!$A$2:$M$826, 3, FALSE)</f>
        <v>2018</v>
      </c>
      <c r="E156" t="str">
        <f>VLOOKUP($C156, Egli_UPEC_metadata_provided!$A$2:$M$826, 4, FALSE)</f>
        <v>D1</v>
      </c>
      <c r="F156" t="str">
        <f>VLOOKUP($C156, Egli_UPEC_metadata_provided!$A$2:$M$826, 5, FALSE)</f>
        <v>w</v>
      </c>
      <c r="G156">
        <f>VLOOKUP($C156, Egli_UPEC_metadata_provided!$A$2:$M$826, 6, FALSE)</f>
        <v>1</v>
      </c>
      <c r="H156">
        <f>VLOOKUP($C156, Egli_UPEC_metadata_provided!$A$2:$M$826, 7, FALSE)</f>
        <v>2</v>
      </c>
      <c r="I156">
        <f>VLOOKUP($C156, Egli_UPEC_metadata_provided!$A$2:$M$826, 8, FALSE)</f>
        <v>46.895420369104599</v>
      </c>
      <c r="J156" t="b">
        <f>VLOOKUP($C156, Egli_UPEC_metadata_provided!$A$2:$M$826, 9, FALSE)</f>
        <v>0</v>
      </c>
      <c r="K156">
        <f>VLOOKUP($C156, Egli_UPEC_metadata_provided!$A$2:$M$826, 10, FALSE)</f>
        <v>0</v>
      </c>
      <c r="L156" t="str">
        <f>VLOOKUP($C156, Egli_UPEC_metadata_provided!$A$2:$M$826, 11, FALSE)</f>
        <v>non-invasive</v>
      </c>
      <c r="M156">
        <f>VLOOKUP($C156, Egli_UPEC_metadata_provided!$A$2:$M$826, 12, FALSE)</f>
        <v>0</v>
      </c>
      <c r="N156">
        <f>VLOOKUP($C156, Egli_UPEC_metadata_provided!$A$2:$M$826, 13, FALSE)</f>
        <v>0</v>
      </c>
      <c r="O156">
        <f>VLOOKUP($C156, Egli_UPEC_metadata_provided!$A$2:$N$826, 14, FALSE)</f>
        <v>1</v>
      </c>
    </row>
    <row r="157" spans="1:15" x14ac:dyDescent="0.2">
      <c r="A157" t="s">
        <v>679</v>
      </c>
      <c r="B157" t="s">
        <v>3914</v>
      </c>
      <c r="C157" t="s">
        <v>3914</v>
      </c>
      <c r="D157">
        <f>VLOOKUP($C157, Egli_UPEC_metadata_provided!$A$2:$M$826, 3, FALSE)</f>
        <v>2018</v>
      </c>
      <c r="E157" t="str">
        <f>VLOOKUP($C157, Egli_UPEC_metadata_provided!$A$2:$M$826, 4, FALSE)</f>
        <v>B2-2</v>
      </c>
      <c r="F157" t="str">
        <f>VLOOKUP($C157, Egli_UPEC_metadata_provided!$A$2:$M$826, 5, FALSE)</f>
        <v>w</v>
      </c>
      <c r="G157" t="str">
        <f>VLOOKUP($C157, Egli_UPEC_metadata_provided!$A$2:$M$826, 6, FALSE)</f>
        <v>NA</v>
      </c>
      <c r="H157">
        <f>VLOOKUP($C157, Egli_UPEC_metadata_provided!$A$2:$M$826, 7, FALSE)</f>
        <v>0</v>
      </c>
      <c r="I157">
        <f>VLOOKUP($C157, Egli_UPEC_metadata_provided!$A$2:$M$826, 8, FALSE)</f>
        <v>75.674641148325406</v>
      </c>
      <c r="J157" t="b">
        <f>VLOOKUP($C157, Egli_UPEC_metadata_provided!$A$2:$M$826, 9, FALSE)</f>
        <v>0</v>
      </c>
      <c r="K157">
        <f>VLOOKUP($C157, Egli_UPEC_metadata_provided!$A$2:$M$826, 10, FALSE)</f>
        <v>0</v>
      </c>
      <c r="L157" t="str">
        <f>VLOOKUP($C157, Egli_UPEC_metadata_provided!$A$2:$M$826, 11, FALSE)</f>
        <v>non-invasive</v>
      </c>
      <c r="M157">
        <f>VLOOKUP($C157, Egli_UPEC_metadata_provided!$A$2:$M$826, 12, FALSE)</f>
        <v>0</v>
      </c>
      <c r="N157">
        <f>VLOOKUP($C157, Egli_UPEC_metadata_provided!$A$2:$M$826, 13, FALSE)</f>
        <v>0</v>
      </c>
      <c r="O157" t="str">
        <f>VLOOKUP($C157, Egli_UPEC_metadata_provided!$A$2:$N$826, 14, FALSE)</f>
        <v>NA</v>
      </c>
    </row>
    <row r="158" spans="1:15" x14ac:dyDescent="0.2">
      <c r="A158" t="s">
        <v>683</v>
      </c>
      <c r="B158" t="s">
        <v>3918</v>
      </c>
      <c r="C158" t="s">
        <v>3918</v>
      </c>
      <c r="D158">
        <f>VLOOKUP($C158, Egli_UPEC_metadata_provided!$A$2:$M$826, 3, FALSE)</f>
        <v>2018</v>
      </c>
      <c r="E158" t="str">
        <f>VLOOKUP($C158, Egli_UPEC_metadata_provided!$A$2:$M$826, 4, FALSE)</f>
        <v>B2-1</v>
      </c>
      <c r="F158" t="str">
        <f>VLOOKUP($C158, Egli_UPEC_metadata_provided!$A$2:$M$826, 5, FALSE)</f>
        <v>w</v>
      </c>
      <c r="G158">
        <f>VLOOKUP($C158, Egli_UPEC_metadata_provided!$A$2:$M$826, 6, FALSE)</f>
        <v>0</v>
      </c>
      <c r="H158">
        <f>VLOOKUP($C158, Egli_UPEC_metadata_provided!$A$2:$M$826, 7, FALSE)</f>
        <v>1</v>
      </c>
      <c r="I158">
        <f>VLOOKUP($C158, Egli_UPEC_metadata_provided!$A$2:$M$826, 8, FALSE)</f>
        <v>79.379357484620598</v>
      </c>
      <c r="J158" t="b">
        <f>VLOOKUP($C158, Egli_UPEC_metadata_provided!$A$2:$M$826, 9, FALSE)</f>
        <v>0</v>
      </c>
      <c r="K158">
        <f>VLOOKUP($C158, Egli_UPEC_metadata_provided!$A$2:$M$826, 10, FALSE)</f>
        <v>1</v>
      </c>
      <c r="L158" t="str">
        <f>VLOOKUP($C158, Egli_UPEC_metadata_provided!$A$2:$M$826, 11, FALSE)</f>
        <v>non-invasive</v>
      </c>
      <c r="M158">
        <f>VLOOKUP($C158, Egli_UPEC_metadata_provided!$A$2:$M$826, 12, FALSE)</f>
        <v>0</v>
      </c>
      <c r="N158">
        <f>VLOOKUP($C158, Egli_UPEC_metadata_provided!$A$2:$M$826, 13, FALSE)</f>
        <v>0</v>
      </c>
      <c r="O158">
        <f>VLOOKUP($C158, Egli_UPEC_metadata_provided!$A$2:$N$826, 14, FALSE)</f>
        <v>0</v>
      </c>
    </row>
    <row r="159" spans="1:15" x14ac:dyDescent="0.2">
      <c r="A159" t="s">
        <v>684</v>
      </c>
      <c r="B159" t="s">
        <v>3919</v>
      </c>
      <c r="C159" t="s">
        <v>3919</v>
      </c>
      <c r="D159">
        <f>VLOOKUP($C159, Egli_UPEC_metadata_provided!$A$2:$M$826, 3, FALSE)</f>
        <v>2018</v>
      </c>
      <c r="E159" t="str">
        <f>VLOOKUP($C159, Egli_UPEC_metadata_provided!$A$2:$M$826, 4, FALSE)</f>
        <v>B2-2</v>
      </c>
      <c r="F159" t="str">
        <f>VLOOKUP($C159, Egli_UPEC_metadata_provided!$A$2:$M$826, 5, FALSE)</f>
        <v>w</v>
      </c>
      <c r="G159">
        <f>VLOOKUP($C159, Egli_UPEC_metadata_provided!$A$2:$M$826, 6, FALSE)</f>
        <v>0</v>
      </c>
      <c r="H159">
        <f>VLOOKUP($C159, Egli_UPEC_metadata_provided!$A$2:$M$826, 7, FALSE)</f>
        <v>0</v>
      </c>
      <c r="I159">
        <f>VLOOKUP($C159, Egli_UPEC_metadata_provided!$A$2:$M$826, 8, FALSE)</f>
        <v>52.087491455912499</v>
      </c>
      <c r="J159" t="b">
        <f>VLOOKUP($C159, Egli_UPEC_metadata_provided!$A$2:$M$826, 9, FALSE)</f>
        <v>0</v>
      </c>
      <c r="K159">
        <f>VLOOKUP($C159, Egli_UPEC_metadata_provided!$A$2:$M$826, 10, FALSE)</f>
        <v>0</v>
      </c>
      <c r="L159" t="str">
        <f>VLOOKUP($C159, Egli_UPEC_metadata_provided!$A$2:$M$826, 11, FALSE)</f>
        <v>non-invasive</v>
      </c>
      <c r="M159">
        <f>VLOOKUP($C159, Egli_UPEC_metadata_provided!$A$2:$M$826, 12, FALSE)</f>
        <v>0</v>
      </c>
      <c r="N159">
        <f>VLOOKUP($C159, Egli_UPEC_metadata_provided!$A$2:$M$826, 13, FALSE)</f>
        <v>0</v>
      </c>
      <c r="O159">
        <f>VLOOKUP($C159, Egli_UPEC_metadata_provided!$A$2:$N$826, 14, FALSE)</f>
        <v>1</v>
      </c>
    </row>
    <row r="160" spans="1:15" x14ac:dyDescent="0.2">
      <c r="A160" t="s">
        <v>685</v>
      </c>
      <c r="B160" t="s">
        <v>3920</v>
      </c>
      <c r="C160" t="s">
        <v>3920</v>
      </c>
      <c r="D160">
        <f>VLOOKUP($C160, Egli_UPEC_metadata_provided!$A$2:$M$826, 3, FALSE)</f>
        <v>2018</v>
      </c>
      <c r="E160" t="str">
        <f>VLOOKUP($C160, Egli_UPEC_metadata_provided!$A$2:$M$826, 4, FALSE)</f>
        <v>B2-2</v>
      </c>
      <c r="F160" t="str">
        <f>VLOOKUP($C160, Egli_UPEC_metadata_provided!$A$2:$M$826, 5, FALSE)</f>
        <v>w</v>
      </c>
      <c r="G160" t="str">
        <f>VLOOKUP($C160, Egli_UPEC_metadata_provided!$A$2:$M$826, 6, FALSE)</f>
        <v>NA</v>
      </c>
      <c r="H160">
        <f>VLOOKUP($C160, Egli_UPEC_metadata_provided!$A$2:$M$826, 7, FALSE)</f>
        <v>0</v>
      </c>
      <c r="I160">
        <f>VLOOKUP($C160, Egli_UPEC_metadata_provided!$A$2:$M$826, 8, FALSE)</f>
        <v>91.909774436090203</v>
      </c>
      <c r="J160" t="b">
        <f>VLOOKUP($C160, Egli_UPEC_metadata_provided!$A$2:$M$826, 9, FALSE)</f>
        <v>0</v>
      </c>
      <c r="K160">
        <f>VLOOKUP($C160, Egli_UPEC_metadata_provided!$A$2:$M$826, 10, FALSE)</f>
        <v>0</v>
      </c>
      <c r="L160" t="str">
        <f>VLOOKUP($C160, Egli_UPEC_metadata_provided!$A$2:$M$826, 11, FALSE)</f>
        <v>non-invasive</v>
      </c>
      <c r="M160">
        <f>VLOOKUP($C160, Egli_UPEC_metadata_provided!$A$2:$M$826, 12, FALSE)</f>
        <v>0</v>
      </c>
      <c r="N160">
        <f>VLOOKUP($C160, Egli_UPEC_metadata_provided!$A$2:$M$826, 13, FALSE)</f>
        <v>0</v>
      </c>
      <c r="O160" t="str">
        <f>VLOOKUP($C160, Egli_UPEC_metadata_provided!$A$2:$N$826, 14, FALSE)</f>
        <v>NA</v>
      </c>
    </row>
    <row r="161" spans="1:15" x14ac:dyDescent="0.2">
      <c r="A161" t="s">
        <v>688</v>
      </c>
      <c r="B161" t="s">
        <v>3923</v>
      </c>
      <c r="C161" t="s">
        <v>3923</v>
      </c>
      <c r="D161">
        <f>VLOOKUP($C161, Egli_UPEC_metadata_provided!$A$2:$M$826, 3, FALSE)</f>
        <v>2018</v>
      </c>
      <c r="E161" t="str">
        <f>VLOOKUP($C161, Egli_UPEC_metadata_provided!$A$2:$M$826, 4, FALSE)</f>
        <v>B2-1</v>
      </c>
      <c r="F161" t="str">
        <f>VLOOKUP($C161, Egli_UPEC_metadata_provided!$A$2:$M$826, 5, FALSE)</f>
        <v>w</v>
      </c>
      <c r="G161">
        <f>VLOOKUP($C161, Egli_UPEC_metadata_provided!$A$2:$M$826, 6, FALSE)</f>
        <v>0</v>
      </c>
      <c r="H161">
        <f>VLOOKUP($C161, Egli_UPEC_metadata_provided!$A$2:$M$826, 7, FALSE)</f>
        <v>4</v>
      </c>
      <c r="I161">
        <f>VLOOKUP($C161, Egli_UPEC_metadata_provided!$A$2:$M$826, 8, FALSE)</f>
        <v>98.102529049897498</v>
      </c>
      <c r="J161" t="b">
        <f>VLOOKUP($C161, Egli_UPEC_metadata_provided!$A$2:$M$826, 9, FALSE)</f>
        <v>0</v>
      </c>
      <c r="K161">
        <f>VLOOKUP($C161, Egli_UPEC_metadata_provided!$A$2:$M$826, 10, FALSE)</f>
        <v>0</v>
      </c>
      <c r="L161" t="str">
        <f>VLOOKUP($C161, Egli_UPEC_metadata_provided!$A$2:$M$826, 11, FALSE)</f>
        <v>non-invasive</v>
      </c>
      <c r="M161">
        <f>VLOOKUP($C161, Egli_UPEC_metadata_provided!$A$2:$M$826, 12, FALSE)</f>
        <v>0</v>
      </c>
      <c r="N161">
        <f>VLOOKUP($C161, Egli_UPEC_metadata_provided!$A$2:$M$826, 13, FALSE)</f>
        <v>0</v>
      </c>
      <c r="O161">
        <f>VLOOKUP($C161, Egli_UPEC_metadata_provided!$A$2:$N$826, 14, FALSE)</f>
        <v>1</v>
      </c>
    </row>
    <row r="162" spans="1:15" x14ac:dyDescent="0.2">
      <c r="A162" t="s">
        <v>689</v>
      </c>
      <c r="B162" t="s">
        <v>3924</v>
      </c>
      <c r="C162" t="s">
        <v>3924</v>
      </c>
      <c r="D162">
        <f>VLOOKUP($C162, Egli_UPEC_metadata_provided!$A$2:$M$826, 3, FALSE)</f>
        <v>2018</v>
      </c>
      <c r="E162" t="str">
        <f>VLOOKUP($C162, Egli_UPEC_metadata_provided!$A$2:$M$826, 4, FALSE)</f>
        <v>B1</v>
      </c>
      <c r="F162" t="str">
        <f>VLOOKUP($C162, Egli_UPEC_metadata_provided!$A$2:$M$826, 5, FALSE)</f>
        <v>w</v>
      </c>
      <c r="G162">
        <f>VLOOKUP($C162, Egli_UPEC_metadata_provided!$A$2:$M$826, 6, FALSE)</f>
        <v>0</v>
      </c>
      <c r="H162">
        <f>VLOOKUP($C162, Egli_UPEC_metadata_provided!$A$2:$M$826, 7, FALSE)</f>
        <v>0</v>
      </c>
      <c r="I162">
        <f>VLOOKUP($C162, Egli_UPEC_metadata_provided!$A$2:$M$826, 8, FALSE)</f>
        <v>45.514695830485302</v>
      </c>
      <c r="J162" t="b">
        <f>VLOOKUP($C162, Egli_UPEC_metadata_provided!$A$2:$M$826, 9, FALSE)</f>
        <v>0</v>
      </c>
      <c r="K162">
        <f>VLOOKUP($C162, Egli_UPEC_metadata_provided!$A$2:$M$826, 10, FALSE)</f>
        <v>0</v>
      </c>
      <c r="L162" t="str">
        <f>VLOOKUP($C162, Egli_UPEC_metadata_provided!$A$2:$M$826, 11, FALSE)</f>
        <v>non-invasive</v>
      </c>
      <c r="M162">
        <f>VLOOKUP($C162, Egli_UPEC_metadata_provided!$A$2:$M$826, 12, FALSE)</f>
        <v>0</v>
      </c>
      <c r="N162">
        <f>VLOOKUP($C162, Egli_UPEC_metadata_provided!$A$2:$M$826, 13, FALSE)</f>
        <v>0</v>
      </c>
      <c r="O162" t="str">
        <f>VLOOKUP($C162, Egli_UPEC_metadata_provided!$A$2:$N$826, 14, FALSE)</f>
        <v>NA</v>
      </c>
    </row>
    <row r="163" spans="1:15" x14ac:dyDescent="0.2">
      <c r="A163" t="s">
        <v>691</v>
      </c>
      <c r="B163" t="s">
        <v>3926</v>
      </c>
      <c r="C163" t="s">
        <v>3926</v>
      </c>
      <c r="D163">
        <f>VLOOKUP($C163, Egli_UPEC_metadata_provided!$A$2:$M$826, 3, FALSE)</f>
        <v>2018</v>
      </c>
      <c r="E163" t="str">
        <f>VLOOKUP($C163, Egli_UPEC_metadata_provided!$A$2:$M$826, 4, FALSE)</f>
        <v>B2-2</v>
      </c>
      <c r="F163" t="str">
        <f>VLOOKUP($C163, Egli_UPEC_metadata_provided!$A$2:$M$826, 5, FALSE)</f>
        <v>w</v>
      </c>
      <c r="G163">
        <f>VLOOKUP($C163, Egli_UPEC_metadata_provided!$A$2:$M$826, 6, FALSE)</f>
        <v>0</v>
      </c>
      <c r="H163">
        <f>VLOOKUP($C163, Egli_UPEC_metadata_provided!$A$2:$M$826, 7, FALSE)</f>
        <v>0</v>
      </c>
      <c r="I163">
        <f>VLOOKUP($C163, Egli_UPEC_metadata_provided!$A$2:$M$826, 8, FALSE)</f>
        <v>19.491455912508499</v>
      </c>
      <c r="J163" t="b">
        <f>VLOOKUP($C163, Egli_UPEC_metadata_provided!$A$2:$M$826, 9, FALSE)</f>
        <v>0</v>
      </c>
      <c r="K163">
        <f>VLOOKUP($C163, Egli_UPEC_metadata_provided!$A$2:$M$826, 10, FALSE)</f>
        <v>0</v>
      </c>
      <c r="L163" t="str">
        <f>VLOOKUP($C163, Egli_UPEC_metadata_provided!$A$2:$M$826, 11, FALSE)</f>
        <v>non-invasive</v>
      </c>
      <c r="M163">
        <f>VLOOKUP($C163, Egli_UPEC_metadata_provided!$A$2:$M$826, 12, FALSE)</f>
        <v>0</v>
      </c>
      <c r="N163">
        <f>VLOOKUP($C163, Egli_UPEC_metadata_provided!$A$2:$M$826, 13, FALSE)</f>
        <v>0</v>
      </c>
      <c r="O163">
        <f>VLOOKUP($C163, Egli_UPEC_metadata_provided!$A$2:$N$826, 14, FALSE)</f>
        <v>0</v>
      </c>
    </row>
    <row r="164" spans="1:15" x14ac:dyDescent="0.2">
      <c r="A164" t="s">
        <v>693</v>
      </c>
      <c r="B164" t="s">
        <v>3928</v>
      </c>
      <c r="C164" t="s">
        <v>3928</v>
      </c>
      <c r="D164">
        <f>VLOOKUP($C164, Egli_UPEC_metadata_provided!$A$2:$M$826, 3, FALSE)</f>
        <v>2018</v>
      </c>
      <c r="E164" t="str">
        <f>VLOOKUP($C164, Egli_UPEC_metadata_provided!$A$2:$M$826, 4, FALSE)</f>
        <v>B2-2</v>
      </c>
      <c r="F164" t="str">
        <f>VLOOKUP($C164, Egli_UPEC_metadata_provided!$A$2:$M$826, 5, FALSE)</f>
        <v>w</v>
      </c>
      <c r="G164">
        <f>VLOOKUP($C164, Egli_UPEC_metadata_provided!$A$2:$M$826, 6, FALSE)</f>
        <v>0</v>
      </c>
      <c r="H164">
        <f>VLOOKUP($C164, Egli_UPEC_metadata_provided!$A$2:$M$826, 7, FALSE)</f>
        <v>4</v>
      </c>
      <c r="I164">
        <f>VLOOKUP($C164, Egli_UPEC_metadata_provided!$A$2:$M$826, 8, FALSE)</f>
        <v>90.537252221462793</v>
      </c>
      <c r="J164" t="b">
        <f>VLOOKUP($C164, Egli_UPEC_metadata_provided!$A$2:$M$826, 9, FALSE)</f>
        <v>1</v>
      </c>
      <c r="K164">
        <f>VLOOKUP($C164, Egli_UPEC_metadata_provided!$A$2:$M$826, 10, FALSE)</f>
        <v>0</v>
      </c>
      <c r="L164" t="str">
        <f>VLOOKUP($C164, Egli_UPEC_metadata_provided!$A$2:$M$826, 11, FALSE)</f>
        <v>non-invasive</v>
      </c>
      <c r="M164">
        <f>VLOOKUP($C164, Egli_UPEC_metadata_provided!$A$2:$M$826, 12, FALSE)</f>
        <v>0</v>
      </c>
      <c r="N164">
        <f>VLOOKUP($C164, Egli_UPEC_metadata_provided!$A$2:$M$826, 13, FALSE)</f>
        <v>0</v>
      </c>
      <c r="O164">
        <f>VLOOKUP($C164, Egli_UPEC_metadata_provided!$A$2:$N$826, 14, FALSE)</f>
        <v>0</v>
      </c>
    </row>
    <row r="165" spans="1:15" x14ac:dyDescent="0.2">
      <c r="A165" t="s">
        <v>694</v>
      </c>
      <c r="B165" t="s">
        <v>3929</v>
      </c>
      <c r="C165" t="s">
        <v>3929</v>
      </c>
      <c r="D165">
        <f>VLOOKUP($C165, Egli_UPEC_metadata_provided!$A$2:$M$826, 3, FALSE)</f>
        <v>2018</v>
      </c>
      <c r="E165" t="str">
        <f>VLOOKUP($C165, Egli_UPEC_metadata_provided!$A$2:$M$826, 4, FALSE)</f>
        <v>B2-2</v>
      </c>
      <c r="F165" t="str">
        <f>VLOOKUP($C165, Egli_UPEC_metadata_provided!$A$2:$M$826, 5, FALSE)</f>
        <v>w</v>
      </c>
      <c r="G165">
        <f>VLOOKUP($C165, Egli_UPEC_metadata_provided!$A$2:$M$826, 6, FALSE)</f>
        <v>0</v>
      </c>
      <c r="H165">
        <f>VLOOKUP($C165, Egli_UPEC_metadata_provided!$A$2:$M$826, 7, FALSE)</f>
        <v>1</v>
      </c>
      <c r="I165">
        <f>VLOOKUP($C165, Egli_UPEC_metadata_provided!$A$2:$M$826, 8, FALSE)</f>
        <v>90.329460013670499</v>
      </c>
      <c r="J165" t="b">
        <f>VLOOKUP($C165, Egli_UPEC_metadata_provided!$A$2:$M$826, 9, FALSE)</f>
        <v>0</v>
      </c>
      <c r="K165" t="str">
        <f>VLOOKUP($C165, Egli_UPEC_metadata_provided!$A$2:$M$826, 10, FALSE)</f>
        <v>NA</v>
      </c>
      <c r="L165" t="str">
        <f>VLOOKUP($C165, Egli_UPEC_metadata_provided!$A$2:$M$826, 11, FALSE)</f>
        <v>non-invasive</v>
      </c>
      <c r="M165">
        <f>VLOOKUP($C165, Egli_UPEC_metadata_provided!$A$2:$M$826, 12, FALSE)</f>
        <v>0</v>
      </c>
      <c r="N165">
        <f>VLOOKUP($C165, Egli_UPEC_metadata_provided!$A$2:$M$826, 13, FALSE)</f>
        <v>0</v>
      </c>
      <c r="O165">
        <f>VLOOKUP($C165, Egli_UPEC_metadata_provided!$A$2:$N$826, 14, FALSE)</f>
        <v>0</v>
      </c>
    </row>
    <row r="166" spans="1:15" x14ac:dyDescent="0.2">
      <c r="A166" t="s">
        <v>695</v>
      </c>
      <c r="B166" t="s">
        <v>3930</v>
      </c>
      <c r="C166" t="s">
        <v>3930</v>
      </c>
      <c r="D166">
        <f>VLOOKUP($C166, Egli_UPEC_metadata_provided!$A$2:$M$826, 3, FALSE)</f>
        <v>2018</v>
      </c>
      <c r="E166" t="str">
        <f>VLOOKUP($C166, Egli_UPEC_metadata_provided!$A$2:$M$826, 4, FALSE)</f>
        <v>B2-2</v>
      </c>
      <c r="F166" t="str">
        <f>VLOOKUP($C166, Egli_UPEC_metadata_provided!$A$2:$M$826, 5, FALSE)</f>
        <v>w</v>
      </c>
      <c r="G166" t="str">
        <f>VLOOKUP($C166, Egli_UPEC_metadata_provided!$A$2:$M$826, 6, FALSE)</f>
        <v>NA</v>
      </c>
      <c r="H166" t="str">
        <f>VLOOKUP($C166, Egli_UPEC_metadata_provided!$A$2:$M$826, 7, FALSE)</f>
        <v>NA</v>
      </c>
      <c r="I166">
        <f>VLOOKUP($C166, Egli_UPEC_metadata_provided!$A$2:$M$826, 8, FALSE)</f>
        <v>75.275461380724494</v>
      </c>
      <c r="J166" t="b">
        <f>VLOOKUP($C166, Egli_UPEC_metadata_provided!$A$2:$M$826, 9, FALSE)</f>
        <v>0</v>
      </c>
      <c r="K166">
        <f>VLOOKUP($C166, Egli_UPEC_metadata_provided!$A$2:$M$826, 10, FALSE)</f>
        <v>0</v>
      </c>
      <c r="L166" t="str">
        <f>VLOOKUP($C166, Egli_UPEC_metadata_provided!$A$2:$M$826, 11, FALSE)</f>
        <v>non-invasive</v>
      </c>
      <c r="M166" t="str">
        <f>VLOOKUP($C166, Egli_UPEC_metadata_provided!$A$2:$M$826, 12, FALSE)</f>
        <v>NA</v>
      </c>
      <c r="N166" t="str">
        <f>VLOOKUP($C166, Egli_UPEC_metadata_provided!$A$2:$M$826, 13, FALSE)</f>
        <v>NA</v>
      </c>
      <c r="O166" t="str">
        <f>VLOOKUP($C166, Egli_UPEC_metadata_provided!$A$2:$N$826, 14, FALSE)</f>
        <v>NA</v>
      </c>
    </row>
    <row r="167" spans="1:15" x14ac:dyDescent="0.2">
      <c r="A167" t="s">
        <v>697</v>
      </c>
      <c r="B167" t="s">
        <v>4290</v>
      </c>
      <c r="C167" t="s">
        <v>3932</v>
      </c>
      <c r="D167">
        <f>VLOOKUP($C167, Egli_UPEC_metadata_provided!$A$2:$M$826, 3, FALSE)</f>
        <v>2018</v>
      </c>
      <c r="E167" t="str">
        <f>VLOOKUP($C167, Egli_UPEC_metadata_provided!$A$2:$M$826, 4, FALSE)</f>
        <v>B2-1</v>
      </c>
      <c r="F167" t="str">
        <f>VLOOKUP($C167, Egli_UPEC_metadata_provided!$A$2:$M$826, 5, FALSE)</f>
        <v>w</v>
      </c>
      <c r="G167">
        <f>VLOOKUP($C167, Egli_UPEC_metadata_provided!$A$2:$M$826, 6, FALSE)</f>
        <v>0</v>
      </c>
      <c r="H167">
        <f>VLOOKUP($C167, Egli_UPEC_metadata_provided!$A$2:$M$826, 7, FALSE)</f>
        <v>1</v>
      </c>
      <c r="I167">
        <f>VLOOKUP($C167, Egli_UPEC_metadata_provided!$A$2:$M$826, 8, FALSE)</f>
        <v>76.503075871496904</v>
      </c>
      <c r="J167" t="b">
        <f>VLOOKUP($C167, Egli_UPEC_metadata_provided!$A$2:$M$826, 9, FALSE)</f>
        <v>0</v>
      </c>
      <c r="K167">
        <f>VLOOKUP($C167, Egli_UPEC_metadata_provided!$A$2:$M$826, 10, FALSE)</f>
        <v>0</v>
      </c>
      <c r="L167" t="str">
        <f>VLOOKUP($C167, Egli_UPEC_metadata_provided!$A$2:$M$826, 11, FALSE)</f>
        <v>invasive</v>
      </c>
      <c r="M167">
        <f>VLOOKUP($C167, Egli_UPEC_metadata_provided!$A$2:$M$826, 12, FALSE)</f>
        <v>1</v>
      </c>
      <c r="N167">
        <f>VLOOKUP($C167, Egli_UPEC_metadata_provided!$A$2:$M$826, 13, FALSE)</f>
        <v>0</v>
      </c>
      <c r="O167">
        <f>VLOOKUP($C167, Egli_UPEC_metadata_provided!$A$2:$N$826, 14, FALSE)</f>
        <v>0</v>
      </c>
    </row>
    <row r="168" spans="1:15" x14ac:dyDescent="0.2">
      <c r="A168" t="s">
        <v>2772</v>
      </c>
      <c r="B168" t="s">
        <v>4382</v>
      </c>
      <c r="C168" t="s">
        <v>3932</v>
      </c>
      <c r="D168">
        <f>VLOOKUP($C168, Egli_UPEC_metadata_provided!$A$2:$M$826, 3, FALSE)</f>
        <v>2018</v>
      </c>
      <c r="E168" t="str">
        <f>VLOOKUP($C168, Egli_UPEC_metadata_provided!$A$2:$M$826, 4, FALSE)</f>
        <v>B2-1</v>
      </c>
      <c r="F168" t="str">
        <f>VLOOKUP($C168, Egli_UPEC_metadata_provided!$A$2:$M$826, 5, FALSE)</f>
        <v>w</v>
      </c>
      <c r="G168">
        <f>VLOOKUP($C168, Egli_UPEC_metadata_provided!$A$2:$M$826, 6, FALSE)</f>
        <v>0</v>
      </c>
      <c r="H168">
        <f>VLOOKUP($C168, Egli_UPEC_metadata_provided!$A$2:$M$826, 7, FALSE)</f>
        <v>1</v>
      </c>
      <c r="I168">
        <f>VLOOKUP($C168, Egli_UPEC_metadata_provided!$A$2:$M$826, 8, FALSE)</f>
        <v>76.503075871496904</v>
      </c>
      <c r="J168" t="b">
        <f>VLOOKUP($C168, Egli_UPEC_metadata_provided!$A$2:$M$826, 9, FALSE)</f>
        <v>0</v>
      </c>
      <c r="K168">
        <f>VLOOKUP($C168, Egli_UPEC_metadata_provided!$A$2:$M$826, 10, FALSE)</f>
        <v>0</v>
      </c>
      <c r="L168" t="str">
        <f>VLOOKUP($C168, Egli_UPEC_metadata_provided!$A$2:$M$826, 11, FALSE)</f>
        <v>invasive</v>
      </c>
      <c r="M168">
        <f>VLOOKUP($C168, Egli_UPEC_metadata_provided!$A$2:$M$826, 12, FALSE)</f>
        <v>1</v>
      </c>
      <c r="N168">
        <f>VLOOKUP($C168, Egli_UPEC_metadata_provided!$A$2:$M$826, 13, FALSE)</f>
        <v>0</v>
      </c>
      <c r="O168">
        <f>VLOOKUP($C168, Egli_UPEC_metadata_provided!$A$2:$N$826, 14, FALSE)</f>
        <v>0</v>
      </c>
    </row>
    <row r="169" spans="1:15" x14ac:dyDescent="0.2">
      <c r="A169" t="s">
        <v>699</v>
      </c>
      <c r="B169" t="s">
        <v>3934</v>
      </c>
      <c r="C169" t="s">
        <v>3934</v>
      </c>
      <c r="D169">
        <f>VLOOKUP($C169, Egli_UPEC_metadata_provided!$A$2:$M$826, 3, FALSE)</f>
        <v>2018</v>
      </c>
      <c r="E169" t="str">
        <f>VLOOKUP($C169, Egli_UPEC_metadata_provided!$A$2:$M$826, 4, FALSE)</f>
        <v>B2-1</v>
      </c>
      <c r="F169" t="str">
        <f>VLOOKUP($C169, Egli_UPEC_metadata_provided!$A$2:$M$826, 5, FALSE)</f>
        <v>w</v>
      </c>
      <c r="G169" t="str">
        <f>VLOOKUP($C169, Egli_UPEC_metadata_provided!$A$2:$M$826, 6, FALSE)</f>
        <v>NA</v>
      </c>
      <c r="H169">
        <f>VLOOKUP($C169, Egli_UPEC_metadata_provided!$A$2:$M$826, 7, FALSE)</f>
        <v>2</v>
      </c>
      <c r="I169">
        <f>VLOOKUP($C169, Egli_UPEC_metadata_provided!$A$2:$M$826, 8, FALSE)</f>
        <v>58.285714285714299</v>
      </c>
      <c r="J169" t="b">
        <f>VLOOKUP($C169, Egli_UPEC_metadata_provided!$A$2:$M$826, 9, FALSE)</f>
        <v>0</v>
      </c>
      <c r="K169">
        <f>VLOOKUP($C169, Egli_UPEC_metadata_provided!$A$2:$M$826, 10, FALSE)</f>
        <v>0</v>
      </c>
      <c r="L169" t="str">
        <f>VLOOKUP($C169, Egli_UPEC_metadata_provided!$A$2:$M$826, 11, FALSE)</f>
        <v>non-invasive</v>
      </c>
      <c r="M169">
        <f>VLOOKUP($C169, Egli_UPEC_metadata_provided!$A$2:$M$826, 12, FALSE)</f>
        <v>0</v>
      </c>
      <c r="N169">
        <f>VLOOKUP($C169, Egli_UPEC_metadata_provided!$A$2:$M$826, 13, FALSE)</f>
        <v>0</v>
      </c>
      <c r="O169">
        <f>VLOOKUP($C169, Egli_UPEC_metadata_provided!$A$2:$N$826, 14, FALSE)</f>
        <v>1</v>
      </c>
    </row>
    <row r="170" spans="1:15" x14ac:dyDescent="0.2">
      <c r="A170" t="s">
        <v>2787</v>
      </c>
      <c r="B170" t="s">
        <v>3935</v>
      </c>
      <c r="C170" t="s">
        <v>3935</v>
      </c>
      <c r="D170">
        <f>VLOOKUP($C170, Egli_UPEC_metadata_provided!$A$2:$M$826, 3, FALSE)</f>
        <v>2018</v>
      </c>
      <c r="E170" t="str">
        <f>VLOOKUP($C170, Egli_UPEC_metadata_provided!$A$2:$M$826, 4, FALSE)</f>
        <v>B2-1</v>
      </c>
      <c r="F170" t="str">
        <f>VLOOKUP($C170, Egli_UPEC_metadata_provided!$A$2:$M$826, 5, FALSE)</f>
        <v>m</v>
      </c>
      <c r="G170">
        <f>VLOOKUP($C170, Egli_UPEC_metadata_provided!$A$2:$M$826, 6, FALSE)</f>
        <v>0</v>
      </c>
      <c r="H170">
        <f>VLOOKUP($C170, Egli_UPEC_metadata_provided!$A$2:$M$826, 7, FALSE)</f>
        <v>4</v>
      </c>
      <c r="I170">
        <f>VLOOKUP($C170, Egli_UPEC_metadata_provided!$A$2:$M$826, 8, FALSE)</f>
        <v>72.041011619958994</v>
      </c>
      <c r="J170" t="b">
        <f>VLOOKUP($C170, Egli_UPEC_metadata_provided!$A$2:$M$826, 9, FALSE)</f>
        <v>0</v>
      </c>
      <c r="K170">
        <f>VLOOKUP($C170, Egli_UPEC_metadata_provided!$A$2:$M$826, 10, FALSE)</f>
        <v>0</v>
      </c>
      <c r="L170" t="str">
        <f>VLOOKUP($C170, Egli_UPEC_metadata_provided!$A$2:$M$826, 11, FALSE)</f>
        <v>non-invasive</v>
      </c>
      <c r="M170">
        <f>VLOOKUP($C170, Egli_UPEC_metadata_provided!$A$2:$M$826, 12, FALSE)</f>
        <v>0</v>
      </c>
      <c r="N170">
        <f>VLOOKUP($C170, Egli_UPEC_metadata_provided!$A$2:$M$826, 13, FALSE)</f>
        <v>0</v>
      </c>
      <c r="O170" t="str">
        <f>VLOOKUP($C170, Egli_UPEC_metadata_provided!$A$2:$N$826, 14, FALSE)</f>
        <v>NA</v>
      </c>
    </row>
    <row r="171" spans="1:15" x14ac:dyDescent="0.2">
      <c r="A171" t="s">
        <v>701</v>
      </c>
      <c r="B171" t="s">
        <v>3937</v>
      </c>
      <c r="C171" t="s">
        <v>3937</v>
      </c>
      <c r="D171">
        <f>VLOOKUP($C171, Egli_UPEC_metadata_provided!$A$2:$M$826, 3, FALSE)</f>
        <v>2018</v>
      </c>
      <c r="E171" t="str">
        <f>VLOOKUP($C171, Egli_UPEC_metadata_provided!$A$2:$M$826, 4, FALSE)</f>
        <v>B2-2</v>
      </c>
      <c r="F171" t="str">
        <f>VLOOKUP($C171, Egli_UPEC_metadata_provided!$A$2:$M$826, 5, FALSE)</f>
        <v>w</v>
      </c>
      <c r="G171">
        <f>VLOOKUP($C171, Egli_UPEC_metadata_provided!$A$2:$M$826, 6, FALSE)</f>
        <v>0</v>
      </c>
      <c r="H171">
        <f>VLOOKUP($C171, Egli_UPEC_metadata_provided!$A$2:$M$826, 7, FALSE)</f>
        <v>2</v>
      </c>
      <c r="I171">
        <f>VLOOKUP($C171, Egli_UPEC_metadata_provided!$A$2:$M$826, 8, FALSE)</f>
        <v>77.159261790840702</v>
      </c>
      <c r="J171" t="b">
        <f>VLOOKUP($C171, Egli_UPEC_metadata_provided!$A$2:$M$826, 9, FALSE)</f>
        <v>0</v>
      </c>
      <c r="K171">
        <f>VLOOKUP($C171, Egli_UPEC_metadata_provided!$A$2:$M$826, 10, FALSE)</f>
        <v>0</v>
      </c>
      <c r="L171" t="str">
        <f>VLOOKUP($C171, Egli_UPEC_metadata_provided!$A$2:$M$826, 11, FALSE)</f>
        <v>non-invasive</v>
      </c>
      <c r="M171">
        <f>VLOOKUP($C171, Egli_UPEC_metadata_provided!$A$2:$M$826, 12, FALSE)</f>
        <v>0</v>
      </c>
      <c r="N171">
        <f>VLOOKUP($C171, Egli_UPEC_metadata_provided!$A$2:$M$826, 13, FALSE)</f>
        <v>0</v>
      </c>
      <c r="O171">
        <f>VLOOKUP($C171, Egli_UPEC_metadata_provided!$A$2:$N$826, 14, FALSE)</f>
        <v>0</v>
      </c>
    </row>
    <row r="172" spans="1:15" x14ac:dyDescent="0.2">
      <c r="A172" t="s">
        <v>702</v>
      </c>
      <c r="B172" t="s">
        <v>3938</v>
      </c>
      <c r="C172" t="s">
        <v>3938</v>
      </c>
      <c r="D172">
        <f>VLOOKUP($C172, Egli_UPEC_metadata_provided!$A$2:$M$826, 3, FALSE)</f>
        <v>2018</v>
      </c>
      <c r="E172" t="str">
        <f>VLOOKUP($C172, Egli_UPEC_metadata_provided!$A$2:$M$826, 4, FALSE)</f>
        <v>B2-2</v>
      </c>
      <c r="F172" t="str">
        <f>VLOOKUP($C172, Egli_UPEC_metadata_provided!$A$2:$M$826, 5, FALSE)</f>
        <v>w</v>
      </c>
      <c r="G172">
        <f>VLOOKUP($C172, Egli_UPEC_metadata_provided!$A$2:$M$826, 6, FALSE)</f>
        <v>0</v>
      </c>
      <c r="H172">
        <f>VLOOKUP($C172, Egli_UPEC_metadata_provided!$A$2:$M$826, 7, FALSE)</f>
        <v>0</v>
      </c>
      <c r="I172">
        <f>VLOOKUP($C172, Egli_UPEC_metadata_provided!$A$2:$M$826, 8, FALSE)</f>
        <v>28.1066302118934</v>
      </c>
      <c r="J172" t="b">
        <f>VLOOKUP($C172, Egli_UPEC_metadata_provided!$A$2:$M$826, 9, FALSE)</f>
        <v>1</v>
      </c>
      <c r="K172">
        <f>VLOOKUP($C172, Egli_UPEC_metadata_provided!$A$2:$M$826, 10, FALSE)</f>
        <v>0</v>
      </c>
      <c r="L172" t="str">
        <f>VLOOKUP($C172, Egli_UPEC_metadata_provided!$A$2:$M$826, 11, FALSE)</f>
        <v>non-invasive</v>
      </c>
      <c r="M172">
        <f>VLOOKUP($C172, Egli_UPEC_metadata_provided!$A$2:$M$826, 12, FALSE)</f>
        <v>0</v>
      </c>
      <c r="N172">
        <f>VLOOKUP($C172, Egli_UPEC_metadata_provided!$A$2:$M$826, 13, FALSE)</f>
        <v>0</v>
      </c>
      <c r="O172">
        <f>VLOOKUP($C172, Egli_UPEC_metadata_provided!$A$2:$N$826, 14, FALSE)</f>
        <v>1</v>
      </c>
    </row>
    <row r="173" spans="1:15" x14ac:dyDescent="0.2">
      <c r="A173" t="s">
        <v>703</v>
      </c>
      <c r="B173" t="s">
        <v>3939</v>
      </c>
      <c r="C173" t="s">
        <v>3939</v>
      </c>
      <c r="D173">
        <f>VLOOKUP($C173, Egli_UPEC_metadata_provided!$A$2:$M$826, 3, FALSE)</f>
        <v>2018</v>
      </c>
      <c r="E173" t="str">
        <f>VLOOKUP($C173, Egli_UPEC_metadata_provided!$A$2:$M$826, 4, FALSE)</f>
        <v>D3</v>
      </c>
      <c r="F173" t="str">
        <f>VLOOKUP($C173, Egli_UPEC_metadata_provided!$A$2:$M$826, 5, FALSE)</f>
        <v>m</v>
      </c>
      <c r="G173">
        <f>VLOOKUP($C173, Egli_UPEC_metadata_provided!$A$2:$M$826, 6, FALSE)</f>
        <v>0</v>
      </c>
      <c r="H173">
        <f>VLOOKUP($C173, Egli_UPEC_metadata_provided!$A$2:$M$826, 7, FALSE)</f>
        <v>0</v>
      </c>
      <c r="I173">
        <f>VLOOKUP($C173, Egli_UPEC_metadata_provided!$A$2:$M$826, 8, FALSE)</f>
        <v>71.868762816131195</v>
      </c>
      <c r="J173" t="b">
        <f>VLOOKUP($C173, Egli_UPEC_metadata_provided!$A$2:$M$826, 9, FALSE)</f>
        <v>0</v>
      </c>
      <c r="K173">
        <f>VLOOKUP($C173, Egli_UPEC_metadata_provided!$A$2:$M$826, 10, FALSE)</f>
        <v>0</v>
      </c>
      <c r="L173" t="str">
        <f>VLOOKUP($C173, Egli_UPEC_metadata_provided!$A$2:$M$826, 11, FALSE)</f>
        <v>non-invasive</v>
      </c>
      <c r="M173">
        <f>VLOOKUP($C173, Egli_UPEC_metadata_provided!$A$2:$M$826, 12, FALSE)</f>
        <v>0</v>
      </c>
      <c r="N173">
        <f>VLOOKUP($C173, Egli_UPEC_metadata_provided!$A$2:$M$826, 13, FALSE)</f>
        <v>0</v>
      </c>
      <c r="O173">
        <f>VLOOKUP($C173, Egli_UPEC_metadata_provided!$A$2:$N$826, 14, FALSE)</f>
        <v>0</v>
      </c>
    </row>
    <row r="174" spans="1:15" x14ac:dyDescent="0.2">
      <c r="A174" t="s">
        <v>704</v>
      </c>
      <c r="B174" t="s">
        <v>3940</v>
      </c>
      <c r="C174" t="s">
        <v>3940</v>
      </c>
      <c r="D174">
        <f>VLOOKUP($C174, Egli_UPEC_metadata_provided!$A$2:$M$826, 3, FALSE)</f>
        <v>2018</v>
      </c>
      <c r="E174" t="str">
        <f>VLOOKUP($C174, Egli_UPEC_metadata_provided!$A$2:$M$826, 4, FALSE)</f>
        <v>B2-2</v>
      </c>
      <c r="F174" t="str">
        <f>VLOOKUP($C174, Egli_UPEC_metadata_provided!$A$2:$M$826, 5, FALSE)</f>
        <v>w</v>
      </c>
      <c r="G174">
        <f>VLOOKUP($C174, Egli_UPEC_metadata_provided!$A$2:$M$826, 6, FALSE)</f>
        <v>0</v>
      </c>
      <c r="H174">
        <f>VLOOKUP($C174, Egli_UPEC_metadata_provided!$A$2:$M$826, 7, FALSE)</f>
        <v>0</v>
      </c>
      <c r="I174">
        <f>VLOOKUP($C174, Egli_UPEC_metadata_provided!$A$2:$M$826, 8, FALSE)</f>
        <v>83.393028024607005</v>
      </c>
      <c r="J174" t="b">
        <f>VLOOKUP($C174, Egli_UPEC_metadata_provided!$A$2:$M$826, 9, FALSE)</f>
        <v>1</v>
      </c>
      <c r="K174">
        <f>VLOOKUP($C174, Egli_UPEC_metadata_provided!$A$2:$M$826, 10, FALSE)</f>
        <v>0</v>
      </c>
      <c r="L174" t="str">
        <f>VLOOKUP($C174, Egli_UPEC_metadata_provided!$A$2:$M$826, 11, FALSE)</f>
        <v>non-invasive</v>
      </c>
      <c r="M174">
        <f>VLOOKUP($C174, Egli_UPEC_metadata_provided!$A$2:$M$826, 12, FALSE)</f>
        <v>0</v>
      </c>
      <c r="N174">
        <f>VLOOKUP($C174, Egli_UPEC_metadata_provided!$A$2:$M$826, 13, FALSE)</f>
        <v>0</v>
      </c>
      <c r="O174">
        <f>VLOOKUP($C174, Egli_UPEC_metadata_provided!$A$2:$N$826, 14, FALSE)</f>
        <v>0</v>
      </c>
    </row>
    <row r="175" spans="1:15" x14ac:dyDescent="0.2">
      <c r="A175" t="s">
        <v>705</v>
      </c>
      <c r="B175" t="s">
        <v>3941</v>
      </c>
      <c r="C175" t="s">
        <v>3941</v>
      </c>
      <c r="D175">
        <f>VLOOKUP($C175, Egli_UPEC_metadata_provided!$A$2:$M$826, 3, FALSE)</f>
        <v>2018</v>
      </c>
      <c r="E175" t="str">
        <f>VLOOKUP($C175, Egli_UPEC_metadata_provided!$A$2:$M$826, 4, FALSE)</f>
        <v>A</v>
      </c>
      <c r="F175" t="str">
        <f>VLOOKUP($C175, Egli_UPEC_metadata_provided!$A$2:$M$826, 5, FALSE)</f>
        <v>w</v>
      </c>
      <c r="G175">
        <f>VLOOKUP($C175, Egli_UPEC_metadata_provided!$A$2:$M$826, 6, FALSE)</f>
        <v>0</v>
      </c>
      <c r="H175">
        <f>VLOOKUP($C175, Egli_UPEC_metadata_provided!$A$2:$M$826, 7, FALSE)</f>
        <v>1</v>
      </c>
      <c r="I175">
        <f>VLOOKUP($C175, Egli_UPEC_metadata_provided!$A$2:$M$826, 8, FALSE)</f>
        <v>77.328776486671202</v>
      </c>
      <c r="J175" t="b">
        <f>VLOOKUP($C175, Egli_UPEC_metadata_provided!$A$2:$M$826, 9, FALSE)</f>
        <v>0</v>
      </c>
      <c r="K175">
        <f>VLOOKUP($C175, Egli_UPEC_metadata_provided!$A$2:$M$826, 10, FALSE)</f>
        <v>0</v>
      </c>
      <c r="L175" t="str">
        <f>VLOOKUP($C175, Egli_UPEC_metadata_provided!$A$2:$M$826, 11, FALSE)</f>
        <v>non-invasive</v>
      </c>
      <c r="M175">
        <f>VLOOKUP($C175, Egli_UPEC_metadata_provided!$A$2:$M$826, 12, FALSE)</f>
        <v>0</v>
      </c>
      <c r="N175">
        <f>VLOOKUP($C175, Egli_UPEC_metadata_provided!$A$2:$M$826, 13, FALSE)</f>
        <v>0</v>
      </c>
      <c r="O175">
        <f>VLOOKUP($C175, Egli_UPEC_metadata_provided!$A$2:$N$826, 14, FALSE)</f>
        <v>0</v>
      </c>
    </row>
    <row r="176" spans="1:15" x14ac:dyDescent="0.2">
      <c r="A176" t="s">
        <v>706</v>
      </c>
      <c r="B176" t="s">
        <v>3942</v>
      </c>
      <c r="C176" t="s">
        <v>3942</v>
      </c>
      <c r="D176">
        <f>VLOOKUP($C176, Egli_UPEC_metadata_provided!$A$2:$M$826, 3, FALSE)</f>
        <v>2018</v>
      </c>
      <c r="E176" t="str">
        <f>VLOOKUP($C176, Egli_UPEC_metadata_provided!$A$2:$M$826, 4, FALSE)</f>
        <v>B2-2</v>
      </c>
      <c r="F176" t="str">
        <f>VLOOKUP($C176, Egli_UPEC_metadata_provided!$A$2:$M$826, 5, FALSE)</f>
        <v>w</v>
      </c>
      <c r="G176">
        <f>VLOOKUP($C176, Egli_UPEC_metadata_provided!$A$2:$M$826, 6, FALSE)</f>
        <v>0</v>
      </c>
      <c r="H176">
        <f>VLOOKUP($C176, Egli_UPEC_metadata_provided!$A$2:$M$826, 7, FALSE)</f>
        <v>0</v>
      </c>
      <c r="I176">
        <f>VLOOKUP($C176, Egli_UPEC_metadata_provided!$A$2:$M$826, 8, FALSE)</f>
        <v>56.787423103212603</v>
      </c>
      <c r="J176" t="b">
        <f>VLOOKUP($C176, Egli_UPEC_metadata_provided!$A$2:$M$826, 9, FALSE)</f>
        <v>0</v>
      </c>
      <c r="K176" t="str">
        <f>VLOOKUP($C176, Egli_UPEC_metadata_provided!$A$2:$M$826, 10, FALSE)</f>
        <v>NA</v>
      </c>
      <c r="L176" t="str">
        <f>VLOOKUP($C176, Egli_UPEC_metadata_provided!$A$2:$M$826, 11, FALSE)</f>
        <v>non-invasive</v>
      </c>
      <c r="M176">
        <f>VLOOKUP($C176, Egli_UPEC_metadata_provided!$A$2:$M$826, 12, FALSE)</f>
        <v>0</v>
      </c>
      <c r="N176">
        <f>VLOOKUP($C176, Egli_UPEC_metadata_provided!$A$2:$M$826, 13, FALSE)</f>
        <v>0</v>
      </c>
      <c r="O176">
        <f>VLOOKUP($C176, Egli_UPEC_metadata_provided!$A$2:$N$826, 14, FALSE)</f>
        <v>0</v>
      </c>
    </row>
    <row r="177" spans="1:15" x14ac:dyDescent="0.2">
      <c r="A177" t="s">
        <v>707</v>
      </c>
      <c r="B177" t="s">
        <v>3943</v>
      </c>
      <c r="C177" t="s">
        <v>3943</v>
      </c>
      <c r="D177">
        <f>VLOOKUP($C177, Egli_UPEC_metadata_provided!$A$2:$M$826, 3, FALSE)</f>
        <v>2018</v>
      </c>
      <c r="E177" t="str">
        <f>VLOOKUP($C177, Egli_UPEC_metadata_provided!$A$2:$M$826, 4, FALSE)</f>
        <v>D1</v>
      </c>
      <c r="F177" t="str">
        <f>VLOOKUP($C177, Egli_UPEC_metadata_provided!$A$2:$M$826, 5, FALSE)</f>
        <v>w</v>
      </c>
      <c r="G177">
        <f>VLOOKUP($C177, Egli_UPEC_metadata_provided!$A$2:$M$826, 6, FALSE)</f>
        <v>0</v>
      </c>
      <c r="H177">
        <f>VLOOKUP($C177, Egli_UPEC_metadata_provided!$A$2:$M$826, 7, FALSE)</f>
        <v>0</v>
      </c>
      <c r="I177">
        <f>VLOOKUP($C177, Egli_UPEC_metadata_provided!$A$2:$M$826, 8, FALSE)</f>
        <v>32.746411483253603</v>
      </c>
      <c r="J177" t="b">
        <f>VLOOKUP($C177, Egli_UPEC_metadata_provided!$A$2:$M$826, 9, FALSE)</f>
        <v>1</v>
      </c>
      <c r="K177">
        <f>VLOOKUP($C177, Egli_UPEC_metadata_provided!$A$2:$M$826, 10, FALSE)</f>
        <v>0</v>
      </c>
      <c r="L177" t="str">
        <f>VLOOKUP($C177, Egli_UPEC_metadata_provided!$A$2:$M$826, 11, FALSE)</f>
        <v>non-invasive</v>
      </c>
      <c r="M177">
        <f>VLOOKUP($C177, Egli_UPEC_metadata_provided!$A$2:$M$826, 12, FALSE)</f>
        <v>0</v>
      </c>
      <c r="N177">
        <f>VLOOKUP($C177, Egli_UPEC_metadata_provided!$A$2:$M$826, 13, FALSE)</f>
        <v>0</v>
      </c>
      <c r="O177">
        <f>VLOOKUP($C177, Egli_UPEC_metadata_provided!$A$2:$N$826, 14, FALSE)</f>
        <v>1</v>
      </c>
    </row>
    <row r="178" spans="1:15" x14ac:dyDescent="0.2">
      <c r="A178" t="s">
        <v>708</v>
      </c>
      <c r="B178" t="s">
        <v>3944</v>
      </c>
      <c r="C178" t="s">
        <v>3944</v>
      </c>
      <c r="D178">
        <f>VLOOKUP($C178, Egli_UPEC_metadata_provided!$A$2:$M$826, 3, FALSE)</f>
        <v>2018</v>
      </c>
      <c r="E178" t="str">
        <f>VLOOKUP($C178, Egli_UPEC_metadata_provided!$A$2:$M$826, 4, FALSE)</f>
        <v>B2-2</v>
      </c>
      <c r="F178" t="str">
        <f>VLOOKUP($C178, Egli_UPEC_metadata_provided!$A$2:$M$826, 5, FALSE)</f>
        <v>w</v>
      </c>
      <c r="G178">
        <f>VLOOKUP($C178, Egli_UPEC_metadata_provided!$A$2:$M$826, 6, FALSE)</f>
        <v>0</v>
      </c>
      <c r="H178">
        <f>VLOOKUP($C178, Egli_UPEC_metadata_provided!$A$2:$M$826, 7, FALSE)</f>
        <v>2</v>
      </c>
      <c r="I178">
        <f>VLOOKUP($C178, Egli_UPEC_metadata_provided!$A$2:$M$826, 8, FALSE)</f>
        <v>81.525632262474403</v>
      </c>
      <c r="J178" t="b">
        <f>VLOOKUP($C178, Egli_UPEC_metadata_provided!$A$2:$M$826, 9, FALSE)</f>
        <v>0</v>
      </c>
      <c r="K178">
        <f>VLOOKUP($C178, Egli_UPEC_metadata_provided!$A$2:$M$826, 10, FALSE)</f>
        <v>0</v>
      </c>
      <c r="L178" t="str">
        <f>VLOOKUP($C178, Egli_UPEC_metadata_provided!$A$2:$M$826, 11, FALSE)</f>
        <v>non-invasive</v>
      </c>
      <c r="M178">
        <f>VLOOKUP($C178, Egli_UPEC_metadata_provided!$A$2:$M$826, 12, FALSE)</f>
        <v>0</v>
      </c>
      <c r="N178">
        <f>VLOOKUP($C178, Egli_UPEC_metadata_provided!$A$2:$M$826, 13, FALSE)</f>
        <v>0</v>
      </c>
      <c r="O178" t="str">
        <f>VLOOKUP($C178, Egli_UPEC_metadata_provided!$A$2:$N$826, 14, FALSE)</f>
        <v>NA</v>
      </c>
    </row>
    <row r="179" spans="1:15" x14ac:dyDescent="0.2">
      <c r="A179" t="s">
        <v>709</v>
      </c>
      <c r="B179" t="s">
        <v>3945</v>
      </c>
      <c r="C179" t="s">
        <v>3945</v>
      </c>
      <c r="D179">
        <f>VLOOKUP($C179, Egli_UPEC_metadata_provided!$A$2:$M$826, 3, FALSE)</f>
        <v>2018</v>
      </c>
      <c r="E179" t="str">
        <f>VLOOKUP($C179, Egli_UPEC_metadata_provided!$A$2:$M$826, 4, FALSE)</f>
        <v>D1</v>
      </c>
      <c r="F179" t="str">
        <f>VLOOKUP($C179, Egli_UPEC_metadata_provided!$A$2:$M$826, 5, FALSE)</f>
        <v>w</v>
      </c>
      <c r="G179">
        <f>VLOOKUP($C179, Egli_UPEC_metadata_provided!$A$2:$M$826, 6, FALSE)</f>
        <v>0</v>
      </c>
      <c r="H179">
        <f>VLOOKUP($C179, Egli_UPEC_metadata_provided!$A$2:$M$826, 7, FALSE)</f>
        <v>0</v>
      </c>
      <c r="I179">
        <f>VLOOKUP($C179, Egli_UPEC_metadata_provided!$A$2:$M$826, 8, FALSE)</f>
        <v>33.8291182501709</v>
      </c>
      <c r="J179" t="b">
        <f>VLOOKUP($C179, Egli_UPEC_metadata_provided!$A$2:$M$826, 9, FALSE)</f>
        <v>0</v>
      </c>
      <c r="K179">
        <f>VLOOKUP($C179, Egli_UPEC_metadata_provided!$A$2:$M$826, 10, FALSE)</f>
        <v>0</v>
      </c>
      <c r="L179" t="str">
        <f>VLOOKUP($C179, Egli_UPEC_metadata_provided!$A$2:$M$826, 11, FALSE)</f>
        <v>non-invasive</v>
      </c>
      <c r="M179">
        <f>VLOOKUP($C179, Egli_UPEC_metadata_provided!$A$2:$M$826, 12, FALSE)</f>
        <v>0</v>
      </c>
      <c r="N179">
        <f>VLOOKUP($C179, Egli_UPEC_metadata_provided!$A$2:$M$826, 13, FALSE)</f>
        <v>0</v>
      </c>
      <c r="O179" t="str">
        <f>VLOOKUP($C179, Egli_UPEC_metadata_provided!$A$2:$N$826, 14, FALSE)</f>
        <v>NA</v>
      </c>
    </row>
    <row r="180" spans="1:15" x14ac:dyDescent="0.2">
      <c r="A180" t="s">
        <v>710</v>
      </c>
      <c r="B180" t="s">
        <v>3946</v>
      </c>
      <c r="C180" t="s">
        <v>3946</v>
      </c>
      <c r="D180">
        <f>VLOOKUP($C180, Egli_UPEC_metadata_provided!$A$2:$M$826, 3, FALSE)</f>
        <v>2018</v>
      </c>
      <c r="E180" t="str">
        <f>VLOOKUP($C180, Egli_UPEC_metadata_provided!$A$2:$M$826, 4, FALSE)</f>
        <v>A</v>
      </c>
      <c r="F180" t="str">
        <f>VLOOKUP($C180, Egli_UPEC_metadata_provided!$A$2:$M$826, 5, FALSE)</f>
        <v>w</v>
      </c>
      <c r="G180">
        <f>VLOOKUP($C180, Egli_UPEC_metadata_provided!$A$2:$M$826, 6, FALSE)</f>
        <v>0</v>
      </c>
      <c r="H180">
        <f>VLOOKUP($C180, Egli_UPEC_metadata_provided!$A$2:$M$826, 7, FALSE)</f>
        <v>2</v>
      </c>
      <c r="I180">
        <f>VLOOKUP($C180, Egli_UPEC_metadata_provided!$A$2:$M$826, 8, FALSE)</f>
        <v>68.697197539302806</v>
      </c>
      <c r="J180" t="b">
        <f>VLOOKUP($C180, Egli_UPEC_metadata_provided!$A$2:$M$826, 9, FALSE)</f>
        <v>0</v>
      </c>
      <c r="K180" t="str">
        <f>VLOOKUP($C180, Egli_UPEC_metadata_provided!$A$2:$M$826, 10, FALSE)</f>
        <v>NA</v>
      </c>
      <c r="L180" t="str">
        <f>VLOOKUP($C180, Egli_UPEC_metadata_provided!$A$2:$M$826, 11, FALSE)</f>
        <v>non-invasive</v>
      </c>
      <c r="M180">
        <f>VLOOKUP($C180, Egli_UPEC_metadata_provided!$A$2:$M$826, 12, FALSE)</f>
        <v>0</v>
      </c>
      <c r="N180">
        <f>VLOOKUP($C180, Egli_UPEC_metadata_provided!$A$2:$M$826, 13, FALSE)</f>
        <v>0</v>
      </c>
      <c r="O180">
        <f>VLOOKUP($C180, Egli_UPEC_metadata_provided!$A$2:$N$826, 14, FALSE)</f>
        <v>0</v>
      </c>
    </row>
    <row r="181" spans="1:15" x14ac:dyDescent="0.2">
      <c r="A181" t="s">
        <v>711</v>
      </c>
      <c r="B181" t="s">
        <v>3947</v>
      </c>
      <c r="C181" t="s">
        <v>3947</v>
      </c>
      <c r="D181">
        <f>VLOOKUP($C181, Egli_UPEC_metadata_provided!$A$2:$M$826, 3, FALSE)</f>
        <v>2018</v>
      </c>
      <c r="E181" t="str">
        <f>VLOOKUP($C181, Egli_UPEC_metadata_provided!$A$2:$M$826, 4, FALSE)</f>
        <v>B2-2</v>
      </c>
      <c r="F181" t="str">
        <f>VLOOKUP($C181, Egli_UPEC_metadata_provided!$A$2:$M$826, 5, FALSE)</f>
        <v>w</v>
      </c>
      <c r="G181">
        <f>VLOOKUP($C181, Egli_UPEC_metadata_provided!$A$2:$M$826, 6, FALSE)</f>
        <v>0</v>
      </c>
      <c r="H181">
        <f>VLOOKUP($C181, Egli_UPEC_metadata_provided!$A$2:$M$826, 7, FALSE)</f>
        <v>0</v>
      </c>
      <c r="I181">
        <f>VLOOKUP($C181, Egli_UPEC_metadata_provided!$A$2:$M$826, 8, FALSE)</f>
        <v>42.974709501025302</v>
      </c>
      <c r="J181" t="b">
        <f>VLOOKUP($C181, Egli_UPEC_metadata_provided!$A$2:$M$826, 9, FALSE)</f>
        <v>0</v>
      </c>
      <c r="K181">
        <f>VLOOKUP($C181, Egli_UPEC_metadata_provided!$A$2:$M$826, 10, FALSE)</f>
        <v>0</v>
      </c>
      <c r="L181" t="str">
        <f>VLOOKUP($C181, Egli_UPEC_metadata_provided!$A$2:$M$826, 11, FALSE)</f>
        <v>non-invasive</v>
      </c>
      <c r="M181">
        <f>VLOOKUP($C181, Egli_UPEC_metadata_provided!$A$2:$M$826, 12, FALSE)</f>
        <v>0</v>
      </c>
      <c r="N181">
        <f>VLOOKUP($C181, Egli_UPEC_metadata_provided!$A$2:$M$826, 13, FALSE)</f>
        <v>0</v>
      </c>
      <c r="O181" t="str">
        <f>VLOOKUP($C181, Egli_UPEC_metadata_provided!$A$2:$N$826, 14, FALSE)</f>
        <v>NA</v>
      </c>
    </row>
    <row r="182" spans="1:15" x14ac:dyDescent="0.2">
      <c r="A182" t="s">
        <v>712</v>
      </c>
      <c r="B182" t="s">
        <v>3948</v>
      </c>
      <c r="C182" t="s">
        <v>3948</v>
      </c>
      <c r="D182">
        <f>VLOOKUP($C182, Egli_UPEC_metadata_provided!$A$2:$M$826, 3, FALSE)</f>
        <v>2018</v>
      </c>
      <c r="E182" t="str">
        <f>VLOOKUP($C182, Egli_UPEC_metadata_provided!$A$2:$M$826, 4, FALSE)</f>
        <v>B2-2</v>
      </c>
      <c r="F182" t="str">
        <f>VLOOKUP($C182, Egli_UPEC_metadata_provided!$A$2:$M$826, 5, FALSE)</f>
        <v>w</v>
      </c>
      <c r="G182">
        <f>VLOOKUP($C182, Egli_UPEC_metadata_provided!$A$2:$M$826, 6, FALSE)</f>
        <v>0</v>
      </c>
      <c r="H182">
        <f>VLOOKUP($C182, Egli_UPEC_metadata_provided!$A$2:$M$826, 7, FALSE)</f>
        <v>0</v>
      </c>
      <c r="I182">
        <f>VLOOKUP($C182, Egli_UPEC_metadata_provided!$A$2:$M$826, 8, FALSE)</f>
        <v>34.665755297334201</v>
      </c>
      <c r="J182" t="b">
        <f>VLOOKUP($C182, Egli_UPEC_metadata_provided!$A$2:$M$826, 9, FALSE)</f>
        <v>1</v>
      </c>
      <c r="K182" t="str">
        <f>VLOOKUP($C182, Egli_UPEC_metadata_provided!$A$2:$M$826, 10, FALSE)</f>
        <v>NA</v>
      </c>
      <c r="L182" t="str">
        <f>VLOOKUP($C182, Egli_UPEC_metadata_provided!$A$2:$M$826, 11, FALSE)</f>
        <v>non-invasive</v>
      </c>
      <c r="M182">
        <f>VLOOKUP($C182, Egli_UPEC_metadata_provided!$A$2:$M$826, 12, FALSE)</f>
        <v>0</v>
      </c>
      <c r="N182">
        <f>VLOOKUP($C182, Egli_UPEC_metadata_provided!$A$2:$M$826, 13, FALSE)</f>
        <v>0</v>
      </c>
      <c r="O182" t="str">
        <f>VLOOKUP($C182, Egli_UPEC_metadata_provided!$A$2:$N$826, 14, FALSE)</f>
        <v>NA</v>
      </c>
    </row>
    <row r="183" spans="1:15" x14ac:dyDescent="0.2">
      <c r="A183" t="s">
        <v>713</v>
      </c>
      <c r="B183" t="s">
        <v>3949</v>
      </c>
      <c r="C183" t="s">
        <v>3949</v>
      </c>
      <c r="D183">
        <f>VLOOKUP($C183, Egli_UPEC_metadata_provided!$A$2:$M$826, 3, FALSE)</f>
        <v>2018</v>
      </c>
      <c r="E183" t="str">
        <f>VLOOKUP($C183, Egli_UPEC_metadata_provided!$A$2:$M$826, 4, FALSE)</f>
        <v>B2-2</v>
      </c>
      <c r="F183" t="str">
        <f>VLOOKUP($C183, Egli_UPEC_metadata_provided!$A$2:$M$826, 5, FALSE)</f>
        <v>w</v>
      </c>
      <c r="G183">
        <f>VLOOKUP($C183, Egli_UPEC_metadata_provided!$A$2:$M$826, 6, FALSE)</f>
        <v>0</v>
      </c>
      <c r="H183">
        <f>VLOOKUP($C183, Egli_UPEC_metadata_provided!$A$2:$M$826, 7, FALSE)</f>
        <v>1</v>
      </c>
      <c r="I183">
        <f>VLOOKUP($C183, Egli_UPEC_metadata_provided!$A$2:$M$826, 8, FALSE)</f>
        <v>89.566643882433397</v>
      </c>
      <c r="J183" t="b">
        <f>VLOOKUP($C183, Egli_UPEC_metadata_provided!$A$2:$M$826, 9, FALSE)</f>
        <v>0</v>
      </c>
      <c r="K183">
        <f>VLOOKUP($C183, Egli_UPEC_metadata_provided!$A$2:$M$826, 10, FALSE)</f>
        <v>0</v>
      </c>
      <c r="L183" t="str">
        <f>VLOOKUP($C183, Egli_UPEC_metadata_provided!$A$2:$M$826, 11, FALSE)</f>
        <v>non-invasive</v>
      </c>
      <c r="M183">
        <f>VLOOKUP($C183, Egli_UPEC_metadata_provided!$A$2:$M$826, 12, FALSE)</f>
        <v>0</v>
      </c>
      <c r="N183">
        <f>VLOOKUP($C183, Egli_UPEC_metadata_provided!$A$2:$M$826, 13, FALSE)</f>
        <v>0</v>
      </c>
      <c r="O183">
        <f>VLOOKUP($C183, Egli_UPEC_metadata_provided!$A$2:$N$826, 14, FALSE)</f>
        <v>0</v>
      </c>
    </row>
    <row r="184" spans="1:15" x14ac:dyDescent="0.2">
      <c r="A184" t="s">
        <v>714</v>
      </c>
      <c r="B184" t="s">
        <v>3950</v>
      </c>
      <c r="C184" t="s">
        <v>3950</v>
      </c>
      <c r="D184">
        <f>VLOOKUP($C184, Egli_UPEC_metadata_provided!$A$2:$M$826, 3, FALSE)</f>
        <v>2018</v>
      </c>
      <c r="E184" t="str">
        <f>VLOOKUP($C184, Egli_UPEC_metadata_provided!$A$2:$M$826, 4, FALSE)</f>
        <v>B2-2</v>
      </c>
      <c r="F184" t="str">
        <f>VLOOKUP($C184, Egli_UPEC_metadata_provided!$A$2:$M$826, 5, FALSE)</f>
        <v>w</v>
      </c>
      <c r="G184">
        <f>VLOOKUP($C184, Egli_UPEC_metadata_provided!$A$2:$M$826, 6, FALSE)</f>
        <v>0</v>
      </c>
      <c r="H184">
        <f>VLOOKUP($C184, Egli_UPEC_metadata_provided!$A$2:$M$826, 7, FALSE)</f>
        <v>0</v>
      </c>
      <c r="I184">
        <f>VLOOKUP($C184, Egli_UPEC_metadata_provided!$A$2:$M$826, 8, FALSE)</f>
        <v>81.476418318523599</v>
      </c>
      <c r="J184" t="b">
        <f>VLOOKUP($C184, Egli_UPEC_metadata_provided!$A$2:$M$826, 9, FALSE)</f>
        <v>0</v>
      </c>
      <c r="K184">
        <f>VLOOKUP($C184, Egli_UPEC_metadata_provided!$A$2:$M$826, 10, FALSE)</f>
        <v>0</v>
      </c>
      <c r="L184" t="str">
        <f>VLOOKUP($C184, Egli_UPEC_metadata_provided!$A$2:$M$826, 11, FALSE)</f>
        <v>non-invasive</v>
      </c>
      <c r="M184">
        <f>VLOOKUP($C184, Egli_UPEC_metadata_provided!$A$2:$M$826, 12, FALSE)</f>
        <v>0</v>
      </c>
      <c r="N184">
        <f>VLOOKUP($C184, Egli_UPEC_metadata_provided!$A$2:$M$826, 13, FALSE)</f>
        <v>0</v>
      </c>
      <c r="O184">
        <f>VLOOKUP($C184, Egli_UPEC_metadata_provided!$A$2:$N$826, 14, FALSE)</f>
        <v>0</v>
      </c>
    </row>
    <row r="185" spans="1:15" x14ac:dyDescent="0.2">
      <c r="A185" t="s">
        <v>718</v>
      </c>
      <c r="B185" t="s">
        <v>3954</v>
      </c>
      <c r="C185" t="s">
        <v>3954</v>
      </c>
      <c r="D185">
        <f>VLOOKUP($C185, Egli_UPEC_metadata_provided!$A$2:$M$826, 3, FALSE)</f>
        <v>2018</v>
      </c>
      <c r="E185" t="str">
        <f>VLOOKUP($C185, Egli_UPEC_metadata_provided!$A$2:$M$826, 4, FALSE)</f>
        <v>B2-2</v>
      </c>
      <c r="F185" t="str">
        <f>VLOOKUP($C185, Egli_UPEC_metadata_provided!$A$2:$M$826, 5, FALSE)</f>
        <v>w</v>
      </c>
      <c r="G185">
        <f>VLOOKUP($C185, Egli_UPEC_metadata_provided!$A$2:$M$826, 6, FALSE)</f>
        <v>1</v>
      </c>
      <c r="H185">
        <f>VLOOKUP($C185, Egli_UPEC_metadata_provided!$A$2:$M$826, 7, FALSE)</f>
        <v>7</v>
      </c>
      <c r="I185">
        <f>VLOOKUP($C185, Egli_UPEC_metadata_provided!$A$2:$M$826, 8, FALSE)</f>
        <v>76.951469583048507</v>
      </c>
      <c r="J185" t="b">
        <f>VLOOKUP($C185, Egli_UPEC_metadata_provided!$A$2:$M$826, 9, FALSE)</f>
        <v>0</v>
      </c>
      <c r="K185">
        <f>VLOOKUP($C185, Egli_UPEC_metadata_provided!$A$2:$M$826, 10, FALSE)</f>
        <v>0</v>
      </c>
      <c r="L185" t="str">
        <f>VLOOKUP($C185, Egli_UPEC_metadata_provided!$A$2:$M$826, 11, FALSE)</f>
        <v>non-invasive</v>
      </c>
      <c r="M185">
        <f>VLOOKUP($C185, Egli_UPEC_metadata_provided!$A$2:$M$826, 12, FALSE)</f>
        <v>0</v>
      </c>
      <c r="N185">
        <f>VLOOKUP($C185, Egli_UPEC_metadata_provided!$A$2:$M$826, 13, FALSE)</f>
        <v>0</v>
      </c>
      <c r="O185">
        <f>VLOOKUP($C185, Egli_UPEC_metadata_provided!$A$2:$N$826, 14, FALSE)</f>
        <v>0</v>
      </c>
    </row>
    <row r="186" spans="1:15" x14ac:dyDescent="0.2">
      <c r="A186" t="s">
        <v>719</v>
      </c>
      <c r="B186" t="s">
        <v>3955</v>
      </c>
      <c r="C186" t="s">
        <v>3955</v>
      </c>
      <c r="D186">
        <f>VLOOKUP($C186, Egli_UPEC_metadata_provided!$A$2:$M$826, 3, FALSE)</f>
        <v>2018</v>
      </c>
      <c r="E186" t="str">
        <f>VLOOKUP($C186, Egli_UPEC_metadata_provided!$A$2:$M$826, 4, FALSE)</f>
        <v>D1</v>
      </c>
      <c r="F186" t="str">
        <f>VLOOKUP($C186, Egli_UPEC_metadata_provided!$A$2:$M$826, 5, FALSE)</f>
        <v>w</v>
      </c>
      <c r="G186">
        <f>VLOOKUP($C186, Egli_UPEC_metadata_provided!$A$2:$M$826, 6, FALSE)</f>
        <v>0</v>
      </c>
      <c r="H186">
        <f>VLOOKUP($C186, Egli_UPEC_metadata_provided!$A$2:$M$826, 7, FALSE)</f>
        <v>3</v>
      </c>
      <c r="I186">
        <f>VLOOKUP($C186, Egli_UPEC_metadata_provided!$A$2:$M$826, 8, FALSE)</f>
        <v>82.695830485304199</v>
      </c>
      <c r="J186" t="b">
        <f>VLOOKUP($C186, Egli_UPEC_metadata_provided!$A$2:$M$826, 9, FALSE)</f>
        <v>0</v>
      </c>
      <c r="K186">
        <f>VLOOKUP($C186, Egli_UPEC_metadata_provided!$A$2:$M$826, 10, FALSE)</f>
        <v>0</v>
      </c>
      <c r="L186" t="str">
        <f>VLOOKUP($C186, Egli_UPEC_metadata_provided!$A$2:$M$826, 11, FALSE)</f>
        <v>non-invasive</v>
      </c>
      <c r="M186">
        <f>VLOOKUP($C186, Egli_UPEC_metadata_provided!$A$2:$M$826, 12, FALSE)</f>
        <v>1</v>
      </c>
      <c r="N186">
        <f>VLOOKUP($C186, Egli_UPEC_metadata_provided!$A$2:$M$826, 13, FALSE)</f>
        <v>0</v>
      </c>
      <c r="O186">
        <f>VLOOKUP($C186, Egli_UPEC_metadata_provided!$A$2:$N$826, 14, FALSE)</f>
        <v>0</v>
      </c>
    </row>
    <row r="187" spans="1:15" x14ac:dyDescent="0.2">
      <c r="A187" t="s">
        <v>722</v>
      </c>
      <c r="B187" t="s">
        <v>3958</v>
      </c>
      <c r="C187" t="s">
        <v>3958</v>
      </c>
      <c r="D187">
        <f>VLOOKUP($C187, Egli_UPEC_metadata_provided!$A$2:$M$826, 3, FALSE)</f>
        <v>2018</v>
      </c>
      <c r="E187" t="str">
        <f>VLOOKUP($C187, Egli_UPEC_metadata_provided!$A$2:$M$826, 4, FALSE)</f>
        <v>B2-2</v>
      </c>
      <c r="F187" t="str">
        <f>VLOOKUP($C187, Egli_UPEC_metadata_provided!$A$2:$M$826, 5, FALSE)</f>
        <v>w</v>
      </c>
      <c r="G187">
        <f>VLOOKUP($C187, Egli_UPEC_metadata_provided!$A$2:$M$826, 6, FALSE)</f>
        <v>0</v>
      </c>
      <c r="H187">
        <f>VLOOKUP($C187, Egli_UPEC_metadata_provided!$A$2:$M$826, 7, FALSE)</f>
        <v>2</v>
      </c>
      <c r="I187">
        <f>VLOOKUP($C187, Egli_UPEC_metadata_provided!$A$2:$M$826, 8, FALSE)</f>
        <v>58.162679425837297</v>
      </c>
      <c r="J187" t="b">
        <f>VLOOKUP($C187, Egli_UPEC_metadata_provided!$A$2:$M$826, 9, FALSE)</f>
        <v>1</v>
      </c>
      <c r="K187">
        <f>VLOOKUP($C187, Egli_UPEC_metadata_provided!$A$2:$M$826, 10, FALSE)</f>
        <v>0</v>
      </c>
      <c r="L187" t="str">
        <f>VLOOKUP($C187, Egli_UPEC_metadata_provided!$A$2:$M$826, 11, FALSE)</f>
        <v>non-invasive</v>
      </c>
      <c r="M187">
        <f>VLOOKUP($C187, Egli_UPEC_metadata_provided!$A$2:$M$826, 12, FALSE)</f>
        <v>0</v>
      </c>
      <c r="N187">
        <f>VLOOKUP($C187, Egli_UPEC_metadata_provided!$A$2:$M$826, 13, FALSE)</f>
        <v>0</v>
      </c>
      <c r="O187">
        <f>VLOOKUP($C187, Egli_UPEC_metadata_provided!$A$2:$N$826, 14, FALSE)</f>
        <v>0</v>
      </c>
    </row>
    <row r="188" spans="1:15" x14ac:dyDescent="0.2">
      <c r="A188" t="s">
        <v>724</v>
      </c>
      <c r="B188" t="s">
        <v>3960</v>
      </c>
      <c r="C188" t="s">
        <v>3960</v>
      </c>
      <c r="D188">
        <f>VLOOKUP($C188, Egli_UPEC_metadata_provided!$A$2:$M$826, 3, FALSE)</f>
        <v>2018</v>
      </c>
      <c r="E188" t="str">
        <f>VLOOKUP($C188, Egli_UPEC_metadata_provided!$A$2:$M$826, 4, FALSE)</f>
        <v>B2-1</v>
      </c>
      <c r="F188" t="str">
        <f>VLOOKUP($C188, Egli_UPEC_metadata_provided!$A$2:$M$826, 5, FALSE)</f>
        <v>m</v>
      </c>
      <c r="G188">
        <f>VLOOKUP($C188, Egli_UPEC_metadata_provided!$A$2:$M$826, 6, FALSE)</f>
        <v>0</v>
      </c>
      <c r="H188">
        <f>VLOOKUP($C188, Egli_UPEC_metadata_provided!$A$2:$M$826, 7, FALSE)</f>
        <v>7</v>
      </c>
      <c r="I188">
        <f>VLOOKUP($C188, Egli_UPEC_metadata_provided!$A$2:$M$826, 8, FALSE)</f>
        <v>71.890635680109398</v>
      </c>
      <c r="J188" t="b">
        <f>VLOOKUP($C188, Egli_UPEC_metadata_provided!$A$2:$M$826, 9, FALSE)</f>
        <v>0</v>
      </c>
      <c r="K188">
        <f>VLOOKUP($C188, Egli_UPEC_metadata_provided!$A$2:$M$826, 10, FALSE)</f>
        <v>1</v>
      </c>
      <c r="L188" t="str">
        <f>VLOOKUP($C188, Egli_UPEC_metadata_provided!$A$2:$M$826, 11, FALSE)</f>
        <v>non-invasive</v>
      </c>
      <c r="M188">
        <f>VLOOKUP($C188, Egli_UPEC_metadata_provided!$A$2:$M$826, 12, FALSE)</f>
        <v>0</v>
      </c>
      <c r="N188">
        <f>VLOOKUP($C188, Egli_UPEC_metadata_provided!$A$2:$M$826, 13, FALSE)</f>
        <v>0</v>
      </c>
      <c r="O188">
        <f>VLOOKUP($C188, Egli_UPEC_metadata_provided!$A$2:$N$826, 14, FALSE)</f>
        <v>0</v>
      </c>
    </row>
    <row r="189" spans="1:15" x14ac:dyDescent="0.2">
      <c r="A189" t="s">
        <v>725</v>
      </c>
      <c r="B189" t="s">
        <v>3961</v>
      </c>
      <c r="C189" t="s">
        <v>3961</v>
      </c>
      <c r="D189">
        <f>VLOOKUP($C189, Egli_UPEC_metadata_provided!$A$2:$M$826, 3, FALSE)</f>
        <v>2018</v>
      </c>
      <c r="E189" t="str">
        <f>VLOOKUP($C189, Egli_UPEC_metadata_provided!$A$2:$M$826, 4, FALSE)</f>
        <v>B2-1</v>
      </c>
      <c r="F189" t="str">
        <f>VLOOKUP($C189, Egli_UPEC_metadata_provided!$A$2:$M$826, 5, FALSE)</f>
        <v>w</v>
      </c>
      <c r="G189">
        <f>VLOOKUP($C189, Egli_UPEC_metadata_provided!$A$2:$M$826, 6, FALSE)</f>
        <v>0</v>
      </c>
      <c r="H189">
        <f>VLOOKUP($C189, Egli_UPEC_metadata_provided!$A$2:$M$826, 7, FALSE)</f>
        <v>0</v>
      </c>
      <c r="I189">
        <f>VLOOKUP($C189, Egli_UPEC_metadata_provided!$A$2:$M$826, 8, FALSE)</f>
        <v>90.570061517429906</v>
      </c>
      <c r="J189" t="b">
        <f>VLOOKUP($C189, Egli_UPEC_metadata_provided!$A$2:$M$826, 9, FALSE)</f>
        <v>0</v>
      </c>
      <c r="K189">
        <f>VLOOKUP($C189, Egli_UPEC_metadata_provided!$A$2:$M$826, 10, FALSE)</f>
        <v>0</v>
      </c>
      <c r="L189" t="str">
        <f>VLOOKUP($C189, Egli_UPEC_metadata_provided!$A$2:$M$826, 11, FALSE)</f>
        <v>non-invasive</v>
      </c>
      <c r="M189">
        <f>VLOOKUP($C189, Egli_UPEC_metadata_provided!$A$2:$M$826, 12, FALSE)</f>
        <v>0</v>
      </c>
      <c r="N189">
        <f>VLOOKUP($C189, Egli_UPEC_metadata_provided!$A$2:$M$826, 13, FALSE)</f>
        <v>0</v>
      </c>
      <c r="O189">
        <f>VLOOKUP($C189, Egli_UPEC_metadata_provided!$A$2:$N$826, 14, FALSE)</f>
        <v>1</v>
      </c>
    </row>
    <row r="190" spans="1:15" x14ac:dyDescent="0.2">
      <c r="A190" t="s">
        <v>727</v>
      </c>
      <c r="B190" t="s">
        <v>3963</v>
      </c>
      <c r="C190" t="s">
        <v>3963</v>
      </c>
      <c r="D190">
        <f>VLOOKUP($C190, Egli_UPEC_metadata_provided!$A$2:$M$826, 3, FALSE)</f>
        <v>2018</v>
      </c>
      <c r="E190" t="str">
        <f>VLOOKUP($C190, Egli_UPEC_metadata_provided!$A$2:$M$826, 4, FALSE)</f>
        <v>B2-2</v>
      </c>
      <c r="F190" t="str">
        <f>VLOOKUP($C190, Egli_UPEC_metadata_provided!$A$2:$M$826, 5, FALSE)</f>
        <v>m</v>
      </c>
      <c r="G190">
        <f>VLOOKUP($C190, Egli_UPEC_metadata_provided!$A$2:$M$826, 6, FALSE)</f>
        <v>0</v>
      </c>
      <c r="H190">
        <f>VLOOKUP($C190, Egli_UPEC_metadata_provided!$A$2:$M$826, 7, FALSE)</f>
        <v>1</v>
      </c>
      <c r="I190">
        <f>VLOOKUP($C190, Egli_UPEC_metadata_provided!$A$2:$M$826, 8, FALSE)</f>
        <v>53.766233766233803</v>
      </c>
      <c r="J190" t="b">
        <f>VLOOKUP($C190, Egli_UPEC_metadata_provided!$A$2:$M$826, 9, FALSE)</f>
        <v>0</v>
      </c>
      <c r="K190">
        <f>VLOOKUP($C190, Egli_UPEC_metadata_provided!$A$2:$M$826, 10, FALSE)</f>
        <v>0</v>
      </c>
      <c r="L190" t="str">
        <f>VLOOKUP($C190, Egli_UPEC_metadata_provided!$A$2:$M$826, 11, FALSE)</f>
        <v>non-invasive</v>
      </c>
      <c r="M190">
        <f>VLOOKUP($C190, Egli_UPEC_metadata_provided!$A$2:$M$826, 12, FALSE)</f>
        <v>0</v>
      </c>
      <c r="N190">
        <f>VLOOKUP($C190, Egli_UPEC_metadata_provided!$A$2:$M$826, 13, FALSE)</f>
        <v>0</v>
      </c>
      <c r="O190">
        <f>VLOOKUP($C190, Egli_UPEC_metadata_provided!$A$2:$N$826, 14, FALSE)</f>
        <v>1</v>
      </c>
    </row>
    <row r="191" spans="1:15" x14ac:dyDescent="0.2">
      <c r="A191" t="s">
        <v>729</v>
      </c>
      <c r="B191" t="s">
        <v>3965</v>
      </c>
      <c r="C191" t="s">
        <v>3965</v>
      </c>
      <c r="D191">
        <f>VLOOKUP($C191, Egli_UPEC_metadata_provided!$A$2:$M$826, 3, FALSE)</f>
        <v>2018</v>
      </c>
      <c r="E191" t="str">
        <f>VLOOKUP($C191, Egli_UPEC_metadata_provided!$A$2:$M$826, 4, FALSE)</f>
        <v>B2-1</v>
      </c>
      <c r="F191" t="str">
        <f>VLOOKUP($C191, Egli_UPEC_metadata_provided!$A$2:$M$826, 5, FALSE)</f>
        <v>w</v>
      </c>
      <c r="G191">
        <f>VLOOKUP($C191, Egli_UPEC_metadata_provided!$A$2:$M$826, 6, FALSE)</f>
        <v>0</v>
      </c>
      <c r="H191">
        <f>VLOOKUP($C191, Egli_UPEC_metadata_provided!$A$2:$M$826, 7, FALSE)</f>
        <v>0</v>
      </c>
      <c r="I191">
        <f>VLOOKUP($C191, Egli_UPEC_metadata_provided!$A$2:$M$826, 8, FALSE)</f>
        <v>46.406015037594003</v>
      </c>
      <c r="J191" t="b">
        <f>VLOOKUP($C191, Egli_UPEC_metadata_provided!$A$2:$M$826, 9, FALSE)</f>
        <v>0</v>
      </c>
      <c r="K191">
        <f>VLOOKUP($C191, Egli_UPEC_metadata_provided!$A$2:$M$826, 10, FALSE)</f>
        <v>1</v>
      </c>
      <c r="L191" t="str">
        <f>VLOOKUP($C191, Egli_UPEC_metadata_provided!$A$2:$M$826, 11, FALSE)</f>
        <v>non-invasive</v>
      </c>
      <c r="M191">
        <f>VLOOKUP($C191, Egli_UPEC_metadata_provided!$A$2:$M$826, 12, FALSE)</f>
        <v>0</v>
      </c>
      <c r="N191">
        <f>VLOOKUP($C191, Egli_UPEC_metadata_provided!$A$2:$M$826, 13, FALSE)</f>
        <v>0</v>
      </c>
      <c r="O191">
        <f>VLOOKUP($C191, Egli_UPEC_metadata_provided!$A$2:$N$826, 14, FALSE)</f>
        <v>1</v>
      </c>
    </row>
    <row r="192" spans="1:15" x14ac:dyDescent="0.2">
      <c r="A192" t="s">
        <v>730</v>
      </c>
      <c r="B192" t="s">
        <v>3966</v>
      </c>
      <c r="C192" t="s">
        <v>3966</v>
      </c>
      <c r="D192">
        <f>VLOOKUP($C192, Egli_UPEC_metadata_provided!$A$2:$M$826, 3, FALSE)</f>
        <v>2018</v>
      </c>
      <c r="E192" t="str">
        <f>VLOOKUP($C192, Egli_UPEC_metadata_provided!$A$2:$M$826, 4, FALSE)</f>
        <v>C</v>
      </c>
      <c r="F192" t="str">
        <f>VLOOKUP($C192, Egli_UPEC_metadata_provided!$A$2:$M$826, 5, FALSE)</f>
        <v>w</v>
      </c>
      <c r="G192">
        <f>VLOOKUP($C192, Egli_UPEC_metadata_provided!$A$2:$M$826, 6, FALSE)</f>
        <v>0</v>
      </c>
      <c r="H192">
        <f>VLOOKUP($C192, Egli_UPEC_metadata_provided!$A$2:$M$826, 7, FALSE)</f>
        <v>3</v>
      </c>
      <c r="I192">
        <f>VLOOKUP($C192, Egli_UPEC_metadata_provided!$A$2:$M$826, 8, FALSE)</f>
        <v>64.306220095693803</v>
      </c>
      <c r="J192" t="b">
        <f>VLOOKUP($C192, Egli_UPEC_metadata_provided!$A$2:$M$826, 9, FALSE)</f>
        <v>0</v>
      </c>
      <c r="K192">
        <f>VLOOKUP($C192, Egli_UPEC_metadata_provided!$A$2:$M$826, 10, FALSE)</f>
        <v>0</v>
      </c>
      <c r="L192" t="str">
        <f>VLOOKUP($C192, Egli_UPEC_metadata_provided!$A$2:$M$826, 11, FALSE)</f>
        <v>non-invasive</v>
      </c>
      <c r="M192">
        <f>VLOOKUP($C192, Egli_UPEC_metadata_provided!$A$2:$M$826, 12, FALSE)</f>
        <v>0</v>
      </c>
      <c r="N192">
        <f>VLOOKUP($C192, Egli_UPEC_metadata_provided!$A$2:$M$826, 13, FALSE)</f>
        <v>0</v>
      </c>
      <c r="O192" t="str">
        <f>VLOOKUP($C192, Egli_UPEC_metadata_provided!$A$2:$N$826, 14, FALSE)</f>
        <v>NA</v>
      </c>
    </row>
    <row r="193" spans="1:15" x14ac:dyDescent="0.2">
      <c r="A193" t="s">
        <v>731</v>
      </c>
      <c r="B193" t="s">
        <v>3967</v>
      </c>
      <c r="C193" t="s">
        <v>3967</v>
      </c>
      <c r="D193">
        <f>VLOOKUP($C193, Egli_UPEC_metadata_provided!$A$2:$M$826, 3, FALSE)</f>
        <v>2018</v>
      </c>
      <c r="E193" t="str">
        <f>VLOOKUP($C193, Egli_UPEC_metadata_provided!$A$2:$M$826, 4, FALSE)</f>
        <v>B2-1</v>
      </c>
      <c r="F193" t="str">
        <f>VLOOKUP($C193, Egli_UPEC_metadata_provided!$A$2:$M$826, 5, FALSE)</f>
        <v>m</v>
      </c>
      <c r="G193">
        <f>VLOOKUP($C193, Egli_UPEC_metadata_provided!$A$2:$M$826, 6, FALSE)</f>
        <v>0</v>
      </c>
      <c r="H193">
        <f>VLOOKUP($C193, Egli_UPEC_metadata_provided!$A$2:$M$826, 7, FALSE)</f>
        <v>2</v>
      </c>
      <c r="I193">
        <f>VLOOKUP($C193, Egli_UPEC_metadata_provided!$A$2:$M$826, 8, FALSE)</f>
        <v>55.868762816131202</v>
      </c>
      <c r="J193" t="b">
        <f>VLOOKUP($C193, Egli_UPEC_metadata_provided!$A$2:$M$826, 9, FALSE)</f>
        <v>0</v>
      </c>
      <c r="K193">
        <f>VLOOKUP($C193, Egli_UPEC_metadata_provided!$A$2:$M$826, 10, FALSE)</f>
        <v>0</v>
      </c>
      <c r="L193" t="str">
        <f>VLOOKUP($C193, Egli_UPEC_metadata_provided!$A$2:$M$826, 11, FALSE)</f>
        <v>non-invasive</v>
      </c>
      <c r="M193">
        <f>VLOOKUP($C193, Egli_UPEC_metadata_provided!$A$2:$M$826, 12, FALSE)</f>
        <v>1</v>
      </c>
      <c r="N193">
        <f>VLOOKUP($C193, Egli_UPEC_metadata_provided!$A$2:$M$826, 13, FALSE)</f>
        <v>0</v>
      </c>
      <c r="O193">
        <f>VLOOKUP($C193, Egli_UPEC_metadata_provided!$A$2:$N$826, 14, FALSE)</f>
        <v>0</v>
      </c>
    </row>
    <row r="194" spans="1:15" x14ac:dyDescent="0.2">
      <c r="A194" t="s">
        <v>734</v>
      </c>
      <c r="B194" t="s">
        <v>3970</v>
      </c>
      <c r="C194" t="s">
        <v>3970</v>
      </c>
      <c r="D194">
        <f>VLOOKUP($C194, Egli_UPEC_metadata_provided!$A$2:$M$826, 3, FALSE)</f>
        <v>2018</v>
      </c>
      <c r="E194" t="str">
        <f>VLOOKUP($C194, Egli_UPEC_metadata_provided!$A$2:$M$826, 4, FALSE)</f>
        <v>B2-2</v>
      </c>
      <c r="F194" t="str">
        <f>VLOOKUP($C194, Egli_UPEC_metadata_provided!$A$2:$M$826, 5, FALSE)</f>
        <v>m</v>
      </c>
      <c r="G194">
        <f>VLOOKUP($C194, Egli_UPEC_metadata_provided!$A$2:$M$826, 6, FALSE)</f>
        <v>0</v>
      </c>
      <c r="H194">
        <f>VLOOKUP($C194, Egli_UPEC_metadata_provided!$A$2:$M$826, 7, FALSE)</f>
        <v>0</v>
      </c>
      <c r="I194">
        <f>VLOOKUP($C194, Egli_UPEC_metadata_provided!$A$2:$M$826, 8, FALSE)</f>
        <v>78.425153793574793</v>
      </c>
      <c r="J194" t="b">
        <f>VLOOKUP($C194, Egli_UPEC_metadata_provided!$A$2:$M$826, 9, FALSE)</f>
        <v>0</v>
      </c>
      <c r="K194">
        <f>VLOOKUP($C194, Egli_UPEC_metadata_provided!$A$2:$M$826, 10, FALSE)</f>
        <v>0</v>
      </c>
      <c r="L194" t="str">
        <f>VLOOKUP($C194, Egli_UPEC_metadata_provided!$A$2:$M$826, 11, FALSE)</f>
        <v>non-invasive</v>
      </c>
      <c r="M194">
        <f>VLOOKUP($C194, Egli_UPEC_metadata_provided!$A$2:$M$826, 12, FALSE)</f>
        <v>0</v>
      </c>
      <c r="N194">
        <f>VLOOKUP($C194, Egli_UPEC_metadata_provided!$A$2:$M$826, 13, FALSE)</f>
        <v>0</v>
      </c>
      <c r="O194" t="str">
        <f>VLOOKUP($C194, Egli_UPEC_metadata_provided!$A$2:$N$826, 14, FALSE)</f>
        <v>NA</v>
      </c>
    </row>
    <row r="195" spans="1:15" x14ac:dyDescent="0.2">
      <c r="A195" t="s">
        <v>735</v>
      </c>
      <c r="B195" t="s">
        <v>3971</v>
      </c>
      <c r="C195" t="s">
        <v>3971</v>
      </c>
      <c r="D195">
        <f>VLOOKUP($C195, Egli_UPEC_metadata_provided!$A$2:$M$826, 3, FALSE)</f>
        <v>2018</v>
      </c>
      <c r="E195" t="str">
        <f>VLOOKUP($C195, Egli_UPEC_metadata_provided!$A$2:$M$826, 4, FALSE)</f>
        <v>B2-1</v>
      </c>
      <c r="F195" t="str">
        <f>VLOOKUP($C195, Egli_UPEC_metadata_provided!$A$2:$M$826, 5, FALSE)</f>
        <v>w</v>
      </c>
      <c r="G195">
        <f>VLOOKUP($C195, Egli_UPEC_metadata_provided!$A$2:$M$826, 6, FALSE)</f>
        <v>0</v>
      </c>
      <c r="H195">
        <f>VLOOKUP($C195, Egli_UPEC_metadata_provided!$A$2:$M$826, 7, FALSE)</f>
        <v>0</v>
      </c>
      <c r="I195">
        <f>VLOOKUP($C195, Egli_UPEC_metadata_provided!$A$2:$M$826, 8, FALSE)</f>
        <v>79.075871496924094</v>
      </c>
      <c r="J195" t="b">
        <f>VLOOKUP($C195, Egli_UPEC_metadata_provided!$A$2:$M$826, 9, FALSE)</f>
        <v>0</v>
      </c>
      <c r="K195">
        <f>VLOOKUP($C195, Egli_UPEC_metadata_provided!$A$2:$M$826, 10, FALSE)</f>
        <v>1</v>
      </c>
      <c r="L195" t="str">
        <f>VLOOKUP($C195, Egli_UPEC_metadata_provided!$A$2:$M$826, 11, FALSE)</f>
        <v>non-invasive</v>
      </c>
      <c r="M195">
        <f>VLOOKUP($C195, Egli_UPEC_metadata_provided!$A$2:$M$826, 12, FALSE)</f>
        <v>0</v>
      </c>
      <c r="N195">
        <f>VLOOKUP($C195, Egli_UPEC_metadata_provided!$A$2:$M$826, 13, FALSE)</f>
        <v>0</v>
      </c>
      <c r="O195" t="str">
        <f>VLOOKUP($C195, Egli_UPEC_metadata_provided!$A$2:$N$826, 14, FALSE)</f>
        <v>NA</v>
      </c>
    </row>
    <row r="196" spans="1:15" x14ac:dyDescent="0.2">
      <c r="A196" t="s">
        <v>738</v>
      </c>
      <c r="B196" t="s">
        <v>3974</v>
      </c>
      <c r="C196" t="s">
        <v>3974</v>
      </c>
      <c r="D196">
        <f>VLOOKUP($C196, Egli_UPEC_metadata_provided!$A$2:$M$826, 3, FALSE)</f>
        <v>2018</v>
      </c>
      <c r="E196" t="str">
        <f>VLOOKUP($C196, Egli_UPEC_metadata_provided!$A$2:$M$826, 4, FALSE)</f>
        <v>B2-2</v>
      </c>
      <c r="F196" t="str">
        <f>VLOOKUP($C196, Egli_UPEC_metadata_provided!$A$2:$M$826, 5, FALSE)</f>
        <v>w</v>
      </c>
      <c r="G196">
        <f>VLOOKUP($C196, Egli_UPEC_metadata_provided!$A$2:$M$826, 6, FALSE)</f>
        <v>0</v>
      </c>
      <c r="H196">
        <f>VLOOKUP($C196, Egli_UPEC_metadata_provided!$A$2:$M$826, 7, FALSE)</f>
        <v>0</v>
      </c>
      <c r="I196">
        <f>VLOOKUP($C196, Egli_UPEC_metadata_provided!$A$2:$M$826, 8, FALSE)</f>
        <v>32.196855775803101</v>
      </c>
      <c r="J196" t="b">
        <f>VLOOKUP($C196, Egli_UPEC_metadata_provided!$A$2:$M$826, 9, FALSE)</f>
        <v>0</v>
      </c>
      <c r="K196">
        <f>VLOOKUP($C196, Egli_UPEC_metadata_provided!$A$2:$M$826, 10, FALSE)</f>
        <v>0</v>
      </c>
      <c r="L196" t="str">
        <f>VLOOKUP($C196, Egli_UPEC_metadata_provided!$A$2:$M$826, 11, FALSE)</f>
        <v>non-invasive</v>
      </c>
      <c r="M196">
        <f>VLOOKUP($C196, Egli_UPEC_metadata_provided!$A$2:$M$826, 12, FALSE)</f>
        <v>0</v>
      </c>
      <c r="N196">
        <f>VLOOKUP($C196, Egli_UPEC_metadata_provided!$A$2:$M$826, 13, FALSE)</f>
        <v>0</v>
      </c>
      <c r="O196">
        <f>VLOOKUP($C196, Egli_UPEC_metadata_provided!$A$2:$N$826, 14, FALSE)</f>
        <v>1</v>
      </c>
    </row>
    <row r="197" spans="1:15" x14ac:dyDescent="0.2">
      <c r="A197" t="s">
        <v>739</v>
      </c>
      <c r="B197" t="s">
        <v>3975</v>
      </c>
      <c r="C197" t="s">
        <v>3975</v>
      </c>
      <c r="D197">
        <f>VLOOKUP($C197, Egli_UPEC_metadata_provided!$A$2:$M$826, 3, FALSE)</f>
        <v>2018</v>
      </c>
      <c r="E197" t="str">
        <f>VLOOKUP($C197, Egli_UPEC_metadata_provided!$A$2:$M$826, 4, FALSE)</f>
        <v>B2-2</v>
      </c>
      <c r="F197" t="str">
        <f>VLOOKUP($C197, Egli_UPEC_metadata_provided!$A$2:$M$826, 5, FALSE)</f>
        <v>m</v>
      </c>
      <c r="G197">
        <f>VLOOKUP($C197, Egli_UPEC_metadata_provided!$A$2:$M$826, 6, FALSE)</f>
        <v>0</v>
      </c>
      <c r="H197">
        <f>VLOOKUP($C197, Egli_UPEC_metadata_provided!$A$2:$M$826, 7, FALSE)</f>
        <v>0</v>
      </c>
      <c r="I197">
        <f>VLOOKUP($C197, Egli_UPEC_metadata_provided!$A$2:$M$826, 8, FALSE)</f>
        <v>71.784005468215994</v>
      </c>
      <c r="J197" t="b">
        <f>VLOOKUP($C197, Egli_UPEC_metadata_provided!$A$2:$M$826, 9, FALSE)</f>
        <v>0</v>
      </c>
      <c r="K197">
        <f>VLOOKUP($C197, Egli_UPEC_metadata_provided!$A$2:$M$826, 10, FALSE)</f>
        <v>0</v>
      </c>
      <c r="L197" t="str">
        <f>VLOOKUP($C197, Egli_UPEC_metadata_provided!$A$2:$M$826, 11, FALSE)</f>
        <v>non-invasive</v>
      </c>
      <c r="M197">
        <f>VLOOKUP($C197, Egli_UPEC_metadata_provided!$A$2:$M$826, 12, FALSE)</f>
        <v>1</v>
      </c>
      <c r="N197">
        <f>VLOOKUP($C197, Egli_UPEC_metadata_provided!$A$2:$M$826, 13, FALSE)</f>
        <v>0</v>
      </c>
      <c r="O197">
        <f>VLOOKUP($C197, Egli_UPEC_metadata_provided!$A$2:$N$826, 14, FALSE)</f>
        <v>0</v>
      </c>
    </row>
    <row r="198" spans="1:15" x14ac:dyDescent="0.2">
      <c r="A198" t="s">
        <v>740</v>
      </c>
      <c r="B198" t="s">
        <v>3976</v>
      </c>
      <c r="C198" t="s">
        <v>3976</v>
      </c>
      <c r="D198">
        <f>VLOOKUP($C198, Egli_UPEC_metadata_provided!$A$2:$M$826, 3, FALSE)</f>
        <v>2018</v>
      </c>
      <c r="E198" t="str">
        <f>VLOOKUP($C198, Egli_UPEC_metadata_provided!$A$2:$M$826, 4, FALSE)</f>
        <v>B2-2</v>
      </c>
      <c r="F198" t="str">
        <f>VLOOKUP($C198, Egli_UPEC_metadata_provided!$A$2:$M$826, 5, FALSE)</f>
        <v>w</v>
      </c>
      <c r="G198" t="str">
        <f>VLOOKUP($C198, Egli_UPEC_metadata_provided!$A$2:$M$826, 6, FALSE)</f>
        <v>NA</v>
      </c>
      <c r="H198">
        <f>VLOOKUP($C198, Egli_UPEC_metadata_provided!$A$2:$M$826, 7, FALSE)</f>
        <v>0</v>
      </c>
      <c r="I198">
        <f>VLOOKUP($C198, Egli_UPEC_metadata_provided!$A$2:$M$826, 8, FALSE)</f>
        <v>28.948735475051301</v>
      </c>
      <c r="J198" t="b">
        <f>VLOOKUP($C198, Egli_UPEC_metadata_provided!$A$2:$M$826, 9, FALSE)</f>
        <v>1</v>
      </c>
      <c r="K198">
        <f>VLOOKUP($C198, Egli_UPEC_metadata_provided!$A$2:$M$826, 10, FALSE)</f>
        <v>0</v>
      </c>
      <c r="L198" t="str">
        <f>VLOOKUP($C198, Egli_UPEC_metadata_provided!$A$2:$M$826, 11, FALSE)</f>
        <v>non-invasive</v>
      </c>
      <c r="M198">
        <f>VLOOKUP($C198, Egli_UPEC_metadata_provided!$A$2:$M$826, 12, FALSE)</f>
        <v>0</v>
      </c>
      <c r="N198">
        <f>VLOOKUP($C198, Egli_UPEC_metadata_provided!$A$2:$M$826, 13, FALSE)</f>
        <v>0</v>
      </c>
      <c r="O198" t="str">
        <f>VLOOKUP($C198, Egli_UPEC_metadata_provided!$A$2:$N$826, 14, FALSE)</f>
        <v>NA</v>
      </c>
    </row>
    <row r="199" spans="1:15" x14ac:dyDescent="0.2">
      <c r="A199" t="s">
        <v>741</v>
      </c>
      <c r="B199" t="s">
        <v>3977</v>
      </c>
      <c r="C199" t="s">
        <v>3977</v>
      </c>
      <c r="D199">
        <f>VLOOKUP($C199, Egli_UPEC_metadata_provided!$A$2:$M$826, 3, FALSE)</f>
        <v>2018</v>
      </c>
      <c r="E199" t="str">
        <f>VLOOKUP($C199, Egli_UPEC_metadata_provided!$A$2:$M$826, 4, FALSE)</f>
        <v>B2-2</v>
      </c>
      <c r="F199" t="str">
        <f>VLOOKUP($C199, Egli_UPEC_metadata_provided!$A$2:$M$826, 5, FALSE)</f>
        <v>w</v>
      </c>
      <c r="G199">
        <f>VLOOKUP($C199, Egli_UPEC_metadata_provided!$A$2:$M$826, 6, FALSE)</f>
        <v>0</v>
      </c>
      <c r="H199">
        <f>VLOOKUP($C199, Egli_UPEC_metadata_provided!$A$2:$M$826, 7, FALSE)</f>
        <v>6</v>
      </c>
      <c r="I199">
        <f>VLOOKUP($C199, Egli_UPEC_metadata_provided!$A$2:$M$826, 8, FALSE)</f>
        <v>77.380724538619305</v>
      </c>
      <c r="J199" t="b">
        <f>VLOOKUP($C199, Egli_UPEC_metadata_provided!$A$2:$M$826, 9, FALSE)</f>
        <v>0</v>
      </c>
      <c r="K199">
        <f>VLOOKUP($C199, Egli_UPEC_metadata_provided!$A$2:$M$826, 10, FALSE)</f>
        <v>0</v>
      </c>
      <c r="L199" t="str">
        <f>VLOOKUP($C199, Egli_UPEC_metadata_provided!$A$2:$M$826, 11, FALSE)</f>
        <v>non-invasive</v>
      </c>
      <c r="M199">
        <f>VLOOKUP($C199, Egli_UPEC_metadata_provided!$A$2:$M$826, 12, FALSE)</f>
        <v>0</v>
      </c>
      <c r="N199">
        <f>VLOOKUP($C199, Egli_UPEC_metadata_provided!$A$2:$M$826, 13, FALSE)</f>
        <v>0</v>
      </c>
      <c r="O199">
        <f>VLOOKUP($C199, Egli_UPEC_metadata_provided!$A$2:$N$826, 14, FALSE)</f>
        <v>1</v>
      </c>
    </row>
    <row r="200" spans="1:15" x14ac:dyDescent="0.2">
      <c r="A200" t="s">
        <v>742</v>
      </c>
      <c r="B200" t="s">
        <v>3978</v>
      </c>
      <c r="C200" t="s">
        <v>3978</v>
      </c>
      <c r="D200">
        <f>VLOOKUP($C200, Egli_UPEC_metadata_provided!$A$2:$M$826, 3, FALSE)</f>
        <v>2018</v>
      </c>
      <c r="E200" t="str">
        <f>VLOOKUP($C200, Egli_UPEC_metadata_provided!$A$2:$M$826, 4, FALSE)</f>
        <v>B2-2</v>
      </c>
      <c r="F200" t="str">
        <f>VLOOKUP($C200, Egli_UPEC_metadata_provided!$A$2:$M$826, 5, FALSE)</f>
        <v>m</v>
      </c>
      <c r="G200">
        <f>VLOOKUP($C200, Egli_UPEC_metadata_provided!$A$2:$M$826, 6, FALSE)</f>
        <v>0</v>
      </c>
      <c r="H200">
        <f>VLOOKUP($C200, Egli_UPEC_metadata_provided!$A$2:$M$826, 7, FALSE)</f>
        <v>1</v>
      </c>
      <c r="I200">
        <f>VLOOKUP($C200, Egli_UPEC_metadata_provided!$A$2:$M$826, 8, FALSE)</f>
        <v>71.373889268626101</v>
      </c>
      <c r="J200" t="b">
        <f>VLOOKUP($C200, Egli_UPEC_metadata_provided!$A$2:$M$826, 9, FALSE)</f>
        <v>0</v>
      </c>
      <c r="K200">
        <f>VLOOKUP($C200, Egli_UPEC_metadata_provided!$A$2:$M$826, 10, FALSE)</f>
        <v>0</v>
      </c>
      <c r="L200" t="str">
        <f>VLOOKUP($C200, Egli_UPEC_metadata_provided!$A$2:$M$826, 11, FALSE)</f>
        <v>non-invasive</v>
      </c>
      <c r="M200">
        <f>VLOOKUP($C200, Egli_UPEC_metadata_provided!$A$2:$M$826, 12, FALSE)</f>
        <v>0</v>
      </c>
      <c r="N200">
        <f>VLOOKUP($C200, Egli_UPEC_metadata_provided!$A$2:$M$826, 13, FALSE)</f>
        <v>0</v>
      </c>
      <c r="O200">
        <f>VLOOKUP($C200, Egli_UPEC_metadata_provided!$A$2:$N$826, 14, FALSE)</f>
        <v>0</v>
      </c>
    </row>
    <row r="201" spans="1:15" x14ac:dyDescent="0.2">
      <c r="A201" t="s">
        <v>743</v>
      </c>
      <c r="B201" t="s">
        <v>3979</v>
      </c>
      <c r="C201" t="s">
        <v>3979</v>
      </c>
      <c r="D201">
        <f>VLOOKUP($C201, Egli_UPEC_metadata_provided!$A$2:$M$826, 3, FALSE)</f>
        <v>2018</v>
      </c>
      <c r="E201" t="str">
        <f>VLOOKUP($C201, Egli_UPEC_metadata_provided!$A$2:$M$826, 4, FALSE)</f>
        <v>B2-2</v>
      </c>
      <c r="F201" t="str">
        <f>VLOOKUP($C201, Egli_UPEC_metadata_provided!$A$2:$M$826, 5, FALSE)</f>
        <v>w</v>
      </c>
      <c r="G201">
        <f>VLOOKUP($C201, Egli_UPEC_metadata_provided!$A$2:$M$826, 6, FALSE)</f>
        <v>0</v>
      </c>
      <c r="H201">
        <f>VLOOKUP($C201, Egli_UPEC_metadata_provided!$A$2:$M$826, 7, FALSE)</f>
        <v>2</v>
      </c>
      <c r="I201">
        <f>VLOOKUP($C201, Egli_UPEC_metadata_provided!$A$2:$M$826, 8, FALSE)</f>
        <v>75.740259740259702</v>
      </c>
      <c r="J201" t="b">
        <f>VLOOKUP($C201, Egli_UPEC_metadata_provided!$A$2:$M$826, 9, FALSE)</f>
        <v>0</v>
      </c>
      <c r="K201">
        <f>VLOOKUP($C201, Egli_UPEC_metadata_provided!$A$2:$M$826, 10, FALSE)</f>
        <v>1</v>
      </c>
      <c r="L201" t="str">
        <f>VLOOKUP($C201, Egli_UPEC_metadata_provided!$A$2:$M$826, 11, FALSE)</f>
        <v>non-invasive</v>
      </c>
      <c r="M201">
        <f>VLOOKUP($C201, Egli_UPEC_metadata_provided!$A$2:$M$826, 12, FALSE)</f>
        <v>0</v>
      </c>
      <c r="N201">
        <f>VLOOKUP($C201, Egli_UPEC_metadata_provided!$A$2:$M$826, 13, FALSE)</f>
        <v>0</v>
      </c>
      <c r="O201" t="str">
        <f>VLOOKUP($C201, Egli_UPEC_metadata_provided!$A$2:$N$826, 14, FALSE)</f>
        <v>NA</v>
      </c>
    </row>
    <row r="202" spans="1:15" x14ac:dyDescent="0.2">
      <c r="A202" t="s">
        <v>744</v>
      </c>
      <c r="B202" t="s">
        <v>3980</v>
      </c>
      <c r="C202" t="s">
        <v>3980</v>
      </c>
      <c r="D202">
        <f>VLOOKUP($C202, Egli_UPEC_metadata_provided!$A$2:$M$826, 3, FALSE)</f>
        <v>2018</v>
      </c>
      <c r="E202" t="str">
        <f>VLOOKUP($C202, Egli_UPEC_metadata_provided!$A$2:$M$826, 4, FALSE)</f>
        <v>B2-2</v>
      </c>
      <c r="F202" t="str">
        <f>VLOOKUP($C202, Egli_UPEC_metadata_provided!$A$2:$M$826, 5, FALSE)</f>
        <v>w</v>
      </c>
      <c r="G202">
        <f>VLOOKUP($C202, Egli_UPEC_metadata_provided!$A$2:$M$826, 6, FALSE)</f>
        <v>0</v>
      </c>
      <c r="H202">
        <f>VLOOKUP($C202, Egli_UPEC_metadata_provided!$A$2:$M$826, 7, FALSE)</f>
        <v>1</v>
      </c>
      <c r="I202">
        <f>VLOOKUP($C202, Egli_UPEC_metadata_provided!$A$2:$M$826, 8, FALSE)</f>
        <v>84.647983595352002</v>
      </c>
      <c r="J202" t="b">
        <f>VLOOKUP($C202, Egli_UPEC_metadata_provided!$A$2:$M$826, 9, FALSE)</f>
        <v>0</v>
      </c>
      <c r="K202">
        <f>VLOOKUP($C202, Egli_UPEC_metadata_provided!$A$2:$M$826, 10, FALSE)</f>
        <v>0</v>
      </c>
      <c r="L202" t="str">
        <f>VLOOKUP($C202, Egli_UPEC_metadata_provided!$A$2:$M$826, 11, FALSE)</f>
        <v>non-invasive</v>
      </c>
      <c r="M202">
        <f>VLOOKUP($C202, Egli_UPEC_metadata_provided!$A$2:$M$826, 12, FALSE)</f>
        <v>1</v>
      </c>
      <c r="N202">
        <f>VLOOKUP($C202, Egli_UPEC_metadata_provided!$A$2:$M$826, 13, FALSE)</f>
        <v>0</v>
      </c>
      <c r="O202">
        <f>VLOOKUP($C202, Egli_UPEC_metadata_provided!$A$2:$N$826, 14, FALSE)</f>
        <v>0</v>
      </c>
    </row>
    <row r="203" spans="1:15" x14ac:dyDescent="0.2">
      <c r="A203" t="s">
        <v>745</v>
      </c>
      <c r="B203" t="s">
        <v>3981</v>
      </c>
      <c r="C203" t="s">
        <v>3981</v>
      </c>
      <c r="D203">
        <f>VLOOKUP($C203, Egli_UPEC_metadata_provided!$A$2:$M$826, 3, FALSE)</f>
        <v>2018</v>
      </c>
      <c r="E203" t="str">
        <f>VLOOKUP($C203, Egli_UPEC_metadata_provided!$A$2:$M$826, 4, FALSE)</f>
        <v>B2-1</v>
      </c>
      <c r="F203" t="str">
        <f>VLOOKUP($C203, Egli_UPEC_metadata_provided!$A$2:$M$826, 5, FALSE)</f>
        <v>w</v>
      </c>
      <c r="G203">
        <f>VLOOKUP($C203, Egli_UPEC_metadata_provided!$A$2:$M$826, 6, FALSE)</f>
        <v>0</v>
      </c>
      <c r="H203">
        <f>VLOOKUP($C203, Egli_UPEC_metadata_provided!$A$2:$M$826, 7, FALSE)</f>
        <v>1</v>
      </c>
      <c r="I203">
        <f>VLOOKUP($C203, Egli_UPEC_metadata_provided!$A$2:$M$826, 8, FALSE)</f>
        <v>57.230348598769702</v>
      </c>
      <c r="J203" t="b">
        <f>VLOOKUP($C203, Egli_UPEC_metadata_provided!$A$2:$M$826, 9, FALSE)</f>
        <v>1</v>
      </c>
      <c r="K203">
        <f>VLOOKUP($C203, Egli_UPEC_metadata_provided!$A$2:$M$826, 10, FALSE)</f>
        <v>1</v>
      </c>
      <c r="L203" t="str">
        <f>VLOOKUP($C203, Egli_UPEC_metadata_provided!$A$2:$M$826, 11, FALSE)</f>
        <v>non-invasive</v>
      </c>
      <c r="M203">
        <f>VLOOKUP($C203, Egli_UPEC_metadata_provided!$A$2:$M$826, 12, FALSE)</f>
        <v>0</v>
      </c>
      <c r="N203">
        <f>VLOOKUP($C203, Egli_UPEC_metadata_provided!$A$2:$M$826, 13, FALSE)</f>
        <v>0</v>
      </c>
      <c r="O203">
        <f>VLOOKUP($C203, Egli_UPEC_metadata_provided!$A$2:$N$826, 14, FALSE)</f>
        <v>0</v>
      </c>
    </row>
    <row r="204" spans="1:15" x14ac:dyDescent="0.2">
      <c r="A204" t="s">
        <v>746</v>
      </c>
      <c r="B204" t="s">
        <v>3982</v>
      </c>
      <c r="C204" t="s">
        <v>3982</v>
      </c>
      <c r="D204">
        <f>VLOOKUP($C204, Egli_UPEC_metadata_provided!$A$2:$M$826, 3, FALSE)</f>
        <v>2018</v>
      </c>
      <c r="E204" t="str">
        <f>VLOOKUP($C204, Egli_UPEC_metadata_provided!$A$2:$M$826, 4, FALSE)</f>
        <v>B2-2</v>
      </c>
      <c r="F204" t="str">
        <f>VLOOKUP($C204, Egli_UPEC_metadata_provided!$A$2:$M$826, 5, FALSE)</f>
        <v>m</v>
      </c>
      <c r="G204">
        <f>VLOOKUP($C204, Egli_UPEC_metadata_provided!$A$2:$M$826, 6, FALSE)</f>
        <v>0</v>
      </c>
      <c r="H204">
        <f>VLOOKUP($C204, Egli_UPEC_metadata_provided!$A$2:$M$826, 7, FALSE)</f>
        <v>0</v>
      </c>
      <c r="I204">
        <f>VLOOKUP($C204, Egli_UPEC_metadata_provided!$A$2:$M$826, 8, FALSE)</f>
        <v>76.095693779904295</v>
      </c>
      <c r="J204" t="b">
        <f>VLOOKUP($C204, Egli_UPEC_metadata_provided!$A$2:$M$826, 9, FALSE)</f>
        <v>0</v>
      </c>
      <c r="K204">
        <f>VLOOKUP($C204, Egli_UPEC_metadata_provided!$A$2:$M$826, 10, FALSE)</f>
        <v>0</v>
      </c>
      <c r="L204" t="str">
        <f>VLOOKUP($C204, Egli_UPEC_metadata_provided!$A$2:$M$826, 11, FALSE)</f>
        <v>non-invasive</v>
      </c>
      <c r="M204">
        <f>VLOOKUP($C204, Egli_UPEC_metadata_provided!$A$2:$M$826, 12, FALSE)</f>
        <v>0</v>
      </c>
      <c r="N204">
        <f>VLOOKUP($C204, Egli_UPEC_metadata_provided!$A$2:$M$826, 13, FALSE)</f>
        <v>0</v>
      </c>
      <c r="O204" t="str">
        <f>VLOOKUP($C204, Egli_UPEC_metadata_provided!$A$2:$N$826, 14, FALSE)</f>
        <v>NA</v>
      </c>
    </row>
    <row r="205" spans="1:15" x14ac:dyDescent="0.2">
      <c r="A205" t="s">
        <v>747</v>
      </c>
      <c r="B205" t="s">
        <v>3983</v>
      </c>
      <c r="C205" t="s">
        <v>3983</v>
      </c>
      <c r="D205">
        <f>VLOOKUP($C205, Egli_UPEC_metadata_provided!$A$2:$M$826, 3, FALSE)</f>
        <v>2018</v>
      </c>
      <c r="E205" t="str">
        <f>VLOOKUP($C205, Egli_UPEC_metadata_provided!$A$2:$M$826, 4, FALSE)</f>
        <v>A</v>
      </c>
      <c r="F205" t="str">
        <f>VLOOKUP($C205, Egli_UPEC_metadata_provided!$A$2:$M$826, 5, FALSE)</f>
        <v>m</v>
      </c>
      <c r="G205">
        <f>VLOOKUP($C205, Egli_UPEC_metadata_provided!$A$2:$M$826, 6, FALSE)</f>
        <v>0</v>
      </c>
      <c r="H205">
        <f>VLOOKUP($C205, Egli_UPEC_metadata_provided!$A$2:$M$826, 7, FALSE)</f>
        <v>2</v>
      </c>
      <c r="I205">
        <f>VLOOKUP($C205, Egli_UPEC_metadata_provided!$A$2:$M$826, 8, FALSE)</f>
        <v>73.998632946001393</v>
      </c>
      <c r="J205" t="b">
        <f>VLOOKUP($C205, Egli_UPEC_metadata_provided!$A$2:$M$826, 9, FALSE)</f>
        <v>0</v>
      </c>
      <c r="K205" t="str">
        <f>VLOOKUP($C205, Egli_UPEC_metadata_provided!$A$2:$M$826, 10, FALSE)</f>
        <v>NA</v>
      </c>
      <c r="L205" t="str">
        <f>VLOOKUP($C205, Egli_UPEC_metadata_provided!$A$2:$M$826, 11, FALSE)</f>
        <v>non-invasive</v>
      </c>
      <c r="M205">
        <f>VLOOKUP($C205, Egli_UPEC_metadata_provided!$A$2:$M$826, 12, FALSE)</f>
        <v>1</v>
      </c>
      <c r="N205">
        <f>VLOOKUP($C205, Egli_UPEC_metadata_provided!$A$2:$M$826, 13, FALSE)</f>
        <v>0</v>
      </c>
      <c r="O205">
        <f>VLOOKUP($C205, Egli_UPEC_metadata_provided!$A$2:$N$826, 14, FALSE)</f>
        <v>0</v>
      </c>
    </row>
    <row r="206" spans="1:15" x14ac:dyDescent="0.2">
      <c r="A206" t="s">
        <v>748</v>
      </c>
      <c r="B206" t="s">
        <v>3984</v>
      </c>
      <c r="C206" t="s">
        <v>3984</v>
      </c>
      <c r="D206">
        <f>VLOOKUP($C206, Egli_UPEC_metadata_provided!$A$2:$M$826, 3, FALSE)</f>
        <v>2018</v>
      </c>
      <c r="E206" t="str">
        <f>VLOOKUP($C206, Egli_UPEC_metadata_provided!$A$2:$M$826, 4, FALSE)</f>
        <v>B2-1</v>
      </c>
      <c r="F206" t="str">
        <f>VLOOKUP($C206, Egli_UPEC_metadata_provided!$A$2:$M$826, 5, FALSE)</f>
        <v>m</v>
      </c>
      <c r="G206">
        <f>VLOOKUP($C206, Egli_UPEC_metadata_provided!$A$2:$M$826, 6, FALSE)</f>
        <v>0</v>
      </c>
      <c r="H206">
        <f>VLOOKUP($C206, Egli_UPEC_metadata_provided!$A$2:$M$826, 7, FALSE)</f>
        <v>0</v>
      </c>
      <c r="I206">
        <f>VLOOKUP($C206, Egli_UPEC_metadata_provided!$A$2:$M$826, 8, FALSE)</f>
        <v>73.3889268626111</v>
      </c>
      <c r="J206" t="b">
        <f>VLOOKUP($C206, Egli_UPEC_metadata_provided!$A$2:$M$826, 9, FALSE)</f>
        <v>0</v>
      </c>
      <c r="K206">
        <f>VLOOKUP($C206, Egli_UPEC_metadata_provided!$A$2:$M$826, 10, FALSE)</f>
        <v>1</v>
      </c>
      <c r="L206" t="str">
        <f>VLOOKUP($C206, Egli_UPEC_metadata_provided!$A$2:$M$826, 11, FALSE)</f>
        <v>non-invasive</v>
      </c>
      <c r="M206">
        <f>VLOOKUP($C206, Egli_UPEC_metadata_provided!$A$2:$M$826, 12, FALSE)</f>
        <v>0</v>
      </c>
      <c r="N206">
        <f>VLOOKUP($C206, Egli_UPEC_metadata_provided!$A$2:$M$826, 13, FALSE)</f>
        <v>0</v>
      </c>
      <c r="O206" t="str">
        <f>VLOOKUP($C206, Egli_UPEC_metadata_provided!$A$2:$N$826, 14, FALSE)</f>
        <v>NA</v>
      </c>
    </row>
    <row r="207" spans="1:15" x14ac:dyDescent="0.2">
      <c r="A207" t="s">
        <v>749</v>
      </c>
      <c r="B207" t="s">
        <v>3985</v>
      </c>
      <c r="C207" t="s">
        <v>3985</v>
      </c>
      <c r="D207">
        <f>VLOOKUP($C207, Egli_UPEC_metadata_provided!$A$2:$M$826, 3, FALSE)</f>
        <v>2018</v>
      </c>
      <c r="E207" t="str">
        <f>VLOOKUP($C207, Egli_UPEC_metadata_provided!$A$2:$M$826, 4, FALSE)</f>
        <v>B2-2</v>
      </c>
      <c r="F207" t="str">
        <f>VLOOKUP($C207, Egli_UPEC_metadata_provided!$A$2:$M$826, 5, FALSE)</f>
        <v>w</v>
      </c>
      <c r="G207">
        <f>VLOOKUP($C207, Egli_UPEC_metadata_provided!$A$2:$M$826, 6, FALSE)</f>
        <v>0</v>
      </c>
      <c r="H207">
        <f>VLOOKUP($C207, Egli_UPEC_metadata_provided!$A$2:$M$826, 7, FALSE)</f>
        <v>0</v>
      </c>
      <c r="I207">
        <f>VLOOKUP($C207, Egli_UPEC_metadata_provided!$A$2:$M$826, 8, FALSE)</f>
        <v>83.138755980861205</v>
      </c>
      <c r="J207" t="b">
        <f>VLOOKUP($C207, Egli_UPEC_metadata_provided!$A$2:$M$826, 9, FALSE)</f>
        <v>0</v>
      </c>
      <c r="K207">
        <f>VLOOKUP($C207, Egli_UPEC_metadata_provided!$A$2:$M$826, 10, FALSE)</f>
        <v>0</v>
      </c>
      <c r="L207" t="str">
        <f>VLOOKUP($C207, Egli_UPEC_metadata_provided!$A$2:$M$826, 11, FALSE)</f>
        <v>non-invasive</v>
      </c>
      <c r="M207">
        <f>VLOOKUP($C207, Egli_UPEC_metadata_provided!$A$2:$M$826, 12, FALSE)</f>
        <v>0</v>
      </c>
      <c r="N207">
        <f>VLOOKUP($C207, Egli_UPEC_metadata_provided!$A$2:$M$826, 13, FALSE)</f>
        <v>0</v>
      </c>
      <c r="O207" t="str">
        <f>VLOOKUP($C207, Egli_UPEC_metadata_provided!$A$2:$N$826, 14, FALSE)</f>
        <v>NA</v>
      </c>
    </row>
    <row r="208" spans="1:15" x14ac:dyDescent="0.2">
      <c r="A208" t="s">
        <v>750</v>
      </c>
      <c r="B208" t="s">
        <v>3986</v>
      </c>
      <c r="C208" t="s">
        <v>3986</v>
      </c>
      <c r="D208">
        <f>VLOOKUP($C208, Egli_UPEC_metadata_provided!$A$2:$M$826, 3, FALSE)</f>
        <v>2018</v>
      </c>
      <c r="E208" t="str">
        <f>VLOOKUP($C208, Egli_UPEC_metadata_provided!$A$2:$M$826, 4, FALSE)</f>
        <v>D1</v>
      </c>
      <c r="F208" t="str">
        <f>VLOOKUP($C208, Egli_UPEC_metadata_provided!$A$2:$M$826, 5, FALSE)</f>
        <v>w</v>
      </c>
      <c r="G208">
        <f>VLOOKUP($C208, Egli_UPEC_metadata_provided!$A$2:$M$826, 6, FALSE)</f>
        <v>0</v>
      </c>
      <c r="H208">
        <f>VLOOKUP($C208, Egli_UPEC_metadata_provided!$A$2:$M$826, 7, FALSE)</f>
        <v>0</v>
      </c>
      <c r="I208">
        <f>VLOOKUP($C208, Egli_UPEC_metadata_provided!$A$2:$M$826, 8, FALSE)</f>
        <v>47.991797676008197</v>
      </c>
      <c r="J208" t="b">
        <f>VLOOKUP($C208, Egli_UPEC_metadata_provided!$A$2:$M$826, 9, FALSE)</f>
        <v>1</v>
      </c>
      <c r="K208">
        <f>VLOOKUP($C208, Egli_UPEC_metadata_provided!$A$2:$M$826, 10, FALSE)</f>
        <v>0</v>
      </c>
      <c r="L208" t="str">
        <f>VLOOKUP($C208, Egli_UPEC_metadata_provided!$A$2:$M$826, 11, FALSE)</f>
        <v>non-invasive</v>
      </c>
      <c r="M208">
        <f>VLOOKUP($C208, Egli_UPEC_metadata_provided!$A$2:$M$826, 12, FALSE)</f>
        <v>0</v>
      </c>
      <c r="N208">
        <f>VLOOKUP($C208, Egli_UPEC_metadata_provided!$A$2:$M$826, 13, FALSE)</f>
        <v>0</v>
      </c>
      <c r="O208">
        <f>VLOOKUP($C208, Egli_UPEC_metadata_provided!$A$2:$N$826, 14, FALSE)</f>
        <v>0</v>
      </c>
    </row>
    <row r="209" spans="1:15" x14ac:dyDescent="0.2">
      <c r="A209" t="s">
        <v>751</v>
      </c>
      <c r="B209" t="s">
        <v>3987</v>
      </c>
      <c r="C209" t="s">
        <v>3987</v>
      </c>
      <c r="D209">
        <f>VLOOKUP($C209, Egli_UPEC_metadata_provided!$A$2:$M$826, 3, FALSE)</f>
        <v>2018</v>
      </c>
      <c r="E209" t="str">
        <f>VLOOKUP($C209, Egli_UPEC_metadata_provided!$A$2:$M$826, 4, FALSE)</f>
        <v>A</v>
      </c>
      <c r="F209" t="str">
        <f>VLOOKUP($C209, Egli_UPEC_metadata_provided!$A$2:$M$826, 5, FALSE)</f>
        <v>w</v>
      </c>
      <c r="G209">
        <f>VLOOKUP($C209, Egli_UPEC_metadata_provided!$A$2:$M$826, 6, FALSE)</f>
        <v>0</v>
      </c>
      <c r="H209">
        <f>VLOOKUP($C209, Egli_UPEC_metadata_provided!$A$2:$M$826, 7, FALSE)</f>
        <v>0</v>
      </c>
      <c r="I209">
        <f>VLOOKUP($C209, Egli_UPEC_metadata_provided!$A$2:$M$826, 8, FALSE)</f>
        <v>71.097744360902297</v>
      </c>
      <c r="J209" t="b">
        <f>VLOOKUP($C209, Egli_UPEC_metadata_provided!$A$2:$M$826, 9, FALSE)</f>
        <v>0</v>
      </c>
      <c r="K209">
        <f>VLOOKUP($C209, Egli_UPEC_metadata_provided!$A$2:$M$826, 10, FALSE)</f>
        <v>0</v>
      </c>
      <c r="L209" t="str">
        <f>VLOOKUP($C209, Egli_UPEC_metadata_provided!$A$2:$M$826, 11, FALSE)</f>
        <v>non-invasive</v>
      </c>
      <c r="M209">
        <f>VLOOKUP($C209, Egli_UPEC_metadata_provided!$A$2:$M$826, 12, FALSE)</f>
        <v>0</v>
      </c>
      <c r="N209">
        <f>VLOOKUP($C209, Egli_UPEC_metadata_provided!$A$2:$M$826, 13, FALSE)</f>
        <v>0</v>
      </c>
      <c r="O209">
        <f>VLOOKUP($C209, Egli_UPEC_metadata_provided!$A$2:$N$826, 14, FALSE)</f>
        <v>1</v>
      </c>
    </row>
    <row r="210" spans="1:15" x14ac:dyDescent="0.2">
      <c r="A210" t="s">
        <v>752</v>
      </c>
      <c r="B210" t="s">
        <v>3988</v>
      </c>
      <c r="C210" t="s">
        <v>3988</v>
      </c>
      <c r="D210">
        <f>VLOOKUP($C210, Egli_UPEC_metadata_provided!$A$2:$M$826, 3, FALSE)</f>
        <v>2018</v>
      </c>
      <c r="E210" t="str">
        <f>VLOOKUP($C210, Egli_UPEC_metadata_provided!$A$2:$M$826, 4, FALSE)</f>
        <v>B2-1</v>
      </c>
      <c r="F210" t="str">
        <f>VLOOKUP($C210, Egli_UPEC_metadata_provided!$A$2:$M$826, 5, FALSE)</f>
        <v>m</v>
      </c>
      <c r="G210">
        <f>VLOOKUP($C210, Egli_UPEC_metadata_provided!$A$2:$M$826, 6, FALSE)</f>
        <v>0</v>
      </c>
      <c r="H210">
        <f>VLOOKUP($C210, Egli_UPEC_metadata_provided!$A$2:$M$826, 7, FALSE)</f>
        <v>8</v>
      </c>
      <c r="I210">
        <f>VLOOKUP($C210, Egli_UPEC_metadata_provided!$A$2:$M$826, 8, FALSE)</f>
        <v>82.149008885851003</v>
      </c>
      <c r="J210" t="b">
        <f>VLOOKUP($C210, Egli_UPEC_metadata_provided!$A$2:$M$826, 9, FALSE)</f>
        <v>1</v>
      </c>
      <c r="K210" t="str">
        <f>VLOOKUP($C210, Egli_UPEC_metadata_provided!$A$2:$M$826, 10, FALSE)</f>
        <v>NA</v>
      </c>
      <c r="L210" t="str">
        <f>VLOOKUP($C210, Egli_UPEC_metadata_provided!$A$2:$M$826, 11, FALSE)</f>
        <v>non-invasive</v>
      </c>
      <c r="M210">
        <f>VLOOKUP($C210, Egli_UPEC_metadata_provided!$A$2:$M$826, 12, FALSE)</f>
        <v>0</v>
      </c>
      <c r="N210">
        <f>VLOOKUP($C210, Egli_UPEC_metadata_provided!$A$2:$M$826, 13, FALSE)</f>
        <v>0</v>
      </c>
      <c r="O210">
        <f>VLOOKUP($C210, Egli_UPEC_metadata_provided!$A$2:$N$826, 14, FALSE)</f>
        <v>0</v>
      </c>
    </row>
    <row r="211" spans="1:15" x14ac:dyDescent="0.2">
      <c r="A211" t="s">
        <v>753</v>
      </c>
      <c r="B211" t="s">
        <v>3989</v>
      </c>
      <c r="C211" t="s">
        <v>3989</v>
      </c>
      <c r="D211">
        <f>VLOOKUP($C211, Egli_UPEC_metadata_provided!$A$2:$M$826, 3, FALSE)</f>
        <v>2018</v>
      </c>
      <c r="E211" t="str">
        <f>VLOOKUP($C211, Egli_UPEC_metadata_provided!$A$2:$M$826, 4, FALSE)</f>
        <v>D3</v>
      </c>
      <c r="F211" t="str">
        <f>VLOOKUP($C211, Egli_UPEC_metadata_provided!$A$2:$M$826, 5, FALSE)</f>
        <v>w</v>
      </c>
      <c r="G211">
        <f>VLOOKUP($C211, Egli_UPEC_metadata_provided!$A$2:$M$826, 6, FALSE)</f>
        <v>0</v>
      </c>
      <c r="H211">
        <f>VLOOKUP($C211, Egli_UPEC_metadata_provided!$A$2:$M$826, 7, FALSE)</f>
        <v>0</v>
      </c>
      <c r="I211">
        <f>VLOOKUP($C211, Egli_UPEC_metadata_provided!$A$2:$M$826, 8, FALSE)</f>
        <v>24.349965823649999</v>
      </c>
      <c r="J211" t="b">
        <f>VLOOKUP($C211, Egli_UPEC_metadata_provided!$A$2:$M$826, 9, FALSE)</f>
        <v>0</v>
      </c>
      <c r="K211">
        <f>VLOOKUP($C211, Egli_UPEC_metadata_provided!$A$2:$M$826, 10, FALSE)</f>
        <v>1</v>
      </c>
      <c r="L211" t="str">
        <f>VLOOKUP($C211, Egli_UPEC_metadata_provided!$A$2:$M$826, 11, FALSE)</f>
        <v>non-invasive</v>
      </c>
      <c r="M211">
        <f>VLOOKUP($C211, Egli_UPEC_metadata_provided!$A$2:$M$826, 12, FALSE)</f>
        <v>0</v>
      </c>
      <c r="N211">
        <f>VLOOKUP($C211, Egli_UPEC_metadata_provided!$A$2:$M$826, 13, FALSE)</f>
        <v>0</v>
      </c>
      <c r="O211">
        <f>VLOOKUP($C211, Egli_UPEC_metadata_provided!$A$2:$N$826, 14, FALSE)</f>
        <v>1</v>
      </c>
    </row>
    <row r="212" spans="1:15" x14ac:dyDescent="0.2">
      <c r="A212" t="s">
        <v>754</v>
      </c>
      <c r="B212" t="s">
        <v>3990</v>
      </c>
      <c r="C212" t="s">
        <v>3990</v>
      </c>
      <c r="D212">
        <f>VLOOKUP($C212, Egli_UPEC_metadata_provided!$A$2:$M$826, 3, FALSE)</f>
        <v>2018</v>
      </c>
      <c r="E212" t="str">
        <f>VLOOKUP($C212, Egli_UPEC_metadata_provided!$A$2:$M$826, 4, FALSE)</f>
        <v>B2-1</v>
      </c>
      <c r="F212" t="str">
        <f>VLOOKUP($C212, Egli_UPEC_metadata_provided!$A$2:$M$826, 5, FALSE)</f>
        <v>m</v>
      </c>
      <c r="G212">
        <f>VLOOKUP($C212, Egli_UPEC_metadata_provided!$A$2:$M$826, 6, FALSE)</f>
        <v>0</v>
      </c>
      <c r="H212">
        <f>VLOOKUP($C212, Egli_UPEC_metadata_provided!$A$2:$M$826, 7, FALSE)</f>
        <v>3</v>
      </c>
      <c r="I212">
        <f>VLOOKUP($C212, Egli_UPEC_metadata_provided!$A$2:$M$826, 8, FALSE)</f>
        <v>73.328776486671202</v>
      </c>
      <c r="J212" t="b">
        <f>VLOOKUP($C212, Egli_UPEC_metadata_provided!$A$2:$M$826, 9, FALSE)</f>
        <v>0</v>
      </c>
      <c r="K212">
        <f>VLOOKUP($C212, Egli_UPEC_metadata_provided!$A$2:$M$826, 10, FALSE)</f>
        <v>0</v>
      </c>
      <c r="L212" t="str">
        <f>VLOOKUP($C212, Egli_UPEC_metadata_provided!$A$2:$M$826, 11, FALSE)</f>
        <v>non-invasive</v>
      </c>
      <c r="M212">
        <f>VLOOKUP($C212, Egli_UPEC_metadata_provided!$A$2:$M$826, 12, FALSE)</f>
        <v>0</v>
      </c>
      <c r="N212">
        <f>VLOOKUP($C212, Egli_UPEC_metadata_provided!$A$2:$M$826, 13, FALSE)</f>
        <v>0</v>
      </c>
      <c r="O212">
        <f>VLOOKUP($C212, Egli_UPEC_metadata_provided!$A$2:$N$826, 14, FALSE)</f>
        <v>0</v>
      </c>
    </row>
    <row r="213" spans="1:15" x14ac:dyDescent="0.2">
      <c r="A213" t="s">
        <v>755</v>
      </c>
      <c r="B213" t="s">
        <v>3991</v>
      </c>
      <c r="C213" t="s">
        <v>3991</v>
      </c>
      <c r="D213">
        <f>VLOOKUP($C213, Egli_UPEC_metadata_provided!$A$2:$M$826, 3, FALSE)</f>
        <v>2018</v>
      </c>
      <c r="E213" t="str">
        <f>VLOOKUP($C213, Egli_UPEC_metadata_provided!$A$2:$M$826, 4, FALSE)</f>
        <v>B2-2</v>
      </c>
      <c r="F213" t="str">
        <f>VLOOKUP($C213, Egli_UPEC_metadata_provided!$A$2:$M$826, 5, FALSE)</f>
        <v>w</v>
      </c>
      <c r="G213">
        <f>VLOOKUP($C213, Egli_UPEC_metadata_provided!$A$2:$M$826, 6, FALSE)</f>
        <v>0</v>
      </c>
      <c r="H213">
        <f>VLOOKUP($C213, Egli_UPEC_metadata_provided!$A$2:$M$826, 7, FALSE)</f>
        <v>8</v>
      </c>
      <c r="I213">
        <f>VLOOKUP($C213, Egli_UPEC_metadata_provided!$A$2:$M$826, 8, FALSE)</f>
        <v>70.263841421736203</v>
      </c>
      <c r="J213" t="b">
        <f>VLOOKUP($C213, Egli_UPEC_metadata_provided!$A$2:$M$826, 9, FALSE)</f>
        <v>0</v>
      </c>
      <c r="K213">
        <f>VLOOKUP($C213, Egli_UPEC_metadata_provided!$A$2:$M$826, 10, FALSE)</f>
        <v>0</v>
      </c>
      <c r="L213" t="str">
        <f>VLOOKUP($C213, Egli_UPEC_metadata_provided!$A$2:$M$826, 11, FALSE)</f>
        <v>non-invasive</v>
      </c>
      <c r="M213">
        <f>VLOOKUP($C213, Egli_UPEC_metadata_provided!$A$2:$M$826, 12, FALSE)</f>
        <v>0</v>
      </c>
      <c r="N213">
        <f>VLOOKUP($C213, Egli_UPEC_metadata_provided!$A$2:$M$826, 13, FALSE)</f>
        <v>0</v>
      </c>
      <c r="O213" t="str">
        <f>VLOOKUP($C213, Egli_UPEC_metadata_provided!$A$2:$N$826, 14, FALSE)</f>
        <v>NA</v>
      </c>
    </row>
    <row r="214" spans="1:15" x14ac:dyDescent="0.2">
      <c r="A214" t="s">
        <v>756</v>
      </c>
      <c r="B214" t="s">
        <v>3992</v>
      </c>
      <c r="C214" t="s">
        <v>3992</v>
      </c>
      <c r="D214">
        <f>VLOOKUP($C214, Egli_UPEC_metadata_provided!$A$2:$M$826, 3, FALSE)</f>
        <v>2018</v>
      </c>
      <c r="E214" t="str">
        <f>VLOOKUP($C214, Egli_UPEC_metadata_provided!$A$2:$M$826, 4, FALSE)</f>
        <v>B2-1</v>
      </c>
      <c r="F214" t="str">
        <f>VLOOKUP($C214, Egli_UPEC_metadata_provided!$A$2:$M$826, 5, FALSE)</f>
        <v>w</v>
      </c>
      <c r="G214">
        <f>VLOOKUP($C214, Egli_UPEC_metadata_provided!$A$2:$M$826, 6, FALSE)</f>
        <v>0</v>
      </c>
      <c r="H214">
        <f>VLOOKUP($C214, Egli_UPEC_metadata_provided!$A$2:$M$826, 7, FALSE)</f>
        <v>0</v>
      </c>
      <c r="I214">
        <f>VLOOKUP($C214, Egli_UPEC_metadata_provided!$A$2:$M$826, 8, FALSE)</f>
        <v>47.1907040328093</v>
      </c>
      <c r="J214" t="b">
        <f>VLOOKUP($C214, Egli_UPEC_metadata_provided!$A$2:$M$826, 9, FALSE)</f>
        <v>0</v>
      </c>
      <c r="K214">
        <f>VLOOKUP($C214, Egli_UPEC_metadata_provided!$A$2:$M$826, 10, FALSE)</f>
        <v>0</v>
      </c>
      <c r="L214" t="str">
        <f>VLOOKUP($C214, Egli_UPEC_metadata_provided!$A$2:$M$826, 11, FALSE)</f>
        <v>non-invasive</v>
      </c>
      <c r="M214">
        <f>VLOOKUP($C214, Egli_UPEC_metadata_provided!$A$2:$M$826, 12, FALSE)</f>
        <v>0</v>
      </c>
      <c r="N214">
        <f>VLOOKUP($C214, Egli_UPEC_metadata_provided!$A$2:$M$826, 13, FALSE)</f>
        <v>0</v>
      </c>
      <c r="O214">
        <f>VLOOKUP($C214, Egli_UPEC_metadata_provided!$A$2:$N$826, 14, FALSE)</f>
        <v>0</v>
      </c>
    </row>
    <row r="215" spans="1:15" x14ac:dyDescent="0.2">
      <c r="A215" t="s">
        <v>757</v>
      </c>
      <c r="B215" t="s">
        <v>3993</v>
      </c>
      <c r="C215" t="s">
        <v>3993</v>
      </c>
      <c r="D215">
        <f>VLOOKUP($C215, Egli_UPEC_metadata_provided!$A$2:$M$826, 3, FALSE)</f>
        <v>2018</v>
      </c>
      <c r="E215" t="str">
        <f>VLOOKUP($C215, Egli_UPEC_metadata_provided!$A$2:$M$826, 4, FALSE)</f>
        <v>B1</v>
      </c>
      <c r="F215" t="str">
        <f>VLOOKUP($C215, Egli_UPEC_metadata_provided!$A$2:$M$826, 5, FALSE)</f>
        <v>w</v>
      </c>
      <c r="G215">
        <f>VLOOKUP($C215, Egli_UPEC_metadata_provided!$A$2:$M$826, 6, FALSE)</f>
        <v>0</v>
      </c>
      <c r="H215">
        <f>VLOOKUP($C215, Egli_UPEC_metadata_provided!$A$2:$M$826, 7, FALSE)</f>
        <v>2</v>
      </c>
      <c r="I215">
        <f>VLOOKUP($C215, Egli_UPEC_metadata_provided!$A$2:$M$826, 8, FALSE)</f>
        <v>77.982228298017802</v>
      </c>
      <c r="J215" t="b">
        <f>VLOOKUP($C215, Egli_UPEC_metadata_provided!$A$2:$M$826, 9, FALSE)</f>
        <v>0</v>
      </c>
      <c r="K215">
        <f>VLOOKUP($C215, Egli_UPEC_metadata_provided!$A$2:$M$826, 10, FALSE)</f>
        <v>0</v>
      </c>
      <c r="L215" t="str">
        <f>VLOOKUP($C215, Egli_UPEC_metadata_provided!$A$2:$M$826, 11, FALSE)</f>
        <v>non-invasive</v>
      </c>
      <c r="M215">
        <f>VLOOKUP($C215, Egli_UPEC_metadata_provided!$A$2:$M$826, 12, FALSE)</f>
        <v>0</v>
      </c>
      <c r="N215">
        <f>VLOOKUP($C215, Egli_UPEC_metadata_provided!$A$2:$M$826, 13, FALSE)</f>
        <v>0</v>
      </c>
      <c r="O215">
        <f>VLOOKUP($C215, Egli_UPEC_metadata_provided!$A$2:$N$826, 14, FALSE)</f>
        <v>0</v>
      </c>
    </row>
    <row r="216" spans="1:15" x14ac:dyDescent="0.2">
      <c r="A216" t="s">
        <v>759</v>
      </c>
      <c r="B216" t="s">
        <v>3995</v>
      </c>
      <c r="C216" t="s">
        <v>3995</v>
      </c>
      <c r="D216">
        <f>VLOOKUP($C216, Egli_UPEC_metadata_provided!$A$2:$M$826, 3, FALSE)</f>
        <v>2018</v>
      </c>
      <c r="E216" t="str">
        <f>VLOOKUP($C216, Egli_UPEC_metadata_provided!$A$2:$M$826, 4, FALSE)</f>
        <v>D2</v>
      </c>
      <c r="F216" t="str">
        <f>VLOOKUP($C216, Egli_UPEC_metadata_provided!$A$2:$M$826, 5, FALSE)</f>
        <v>w</v>
      </c>
      <c r="G216">
        <f>VLOOKUP($C216, Egli_UPEC_metadata_provided!$A$2:$M$826, 6, FALSE)</f>
        <v>0</v>
      </c>
      <c r="H216">
        <f>VLOOKUP($C216, Egli_UPEC_metadata_provided!$A$2:$M$826, 7, FALSE)</f>
        <v>3</v>
      </c>
      <c r="I216">
        <f>VLOOKUP($C216, Egli_UPEC_metadata_provided!$A$2:$M$826, 8, FALSE)</f>
        <v>73.115516062884495</v>
      </c>
      <c r="J216" t="b">
        <f>VLOOKUP($C216, Egli_UPEC_metadata_provided!$A$2:$M$826, 9, FALSE)</f>
        <v>0</v>
      </c>
      <c r="K216" t="str">
        <f>VLOOKUP($C216, Egli_UPEC_metadata_provided!$A$2:$M$826, 10, FALSE)</f>
        <v>NA</v>
      </c>
      <c r="L216" t="str">
        <f>VLOOKUP($C216, Egli_UPEC_metadata_provided!$A$2:$M$826, 11, FALSE)</f>
        <v>non-invasive</v>
      </c>
      <c r="M216">
        <f>VLOOKUP($C216, Egli_UPEC_metadata_provided!$A$2:$M$826, 12, FALSE)</f>
        <v>0</v>
      </c>
      <c r="N216">
        <f>VLOOKUP($C216, Egli_UPEC_metadata_provided!$A$2:$M$826, 13, FALSE)</f>
        <v>0</v>
      </c>
      <c r="O216">
        <f>VLOOKUP($C216, Egli_UPEC_metadata_provided!$A$2:$N$826, 14, FALSE)</f>
        <v>0</v>
      </c>
    </row>
    <row r="217" spans="1:15" x14ac:dyDescent="0.2">
      <c r="A217" t="s">
        <v>760</v>
      </c>
      <c r="B217" t="s">
        <v>3996</v>
      </c>
      <c r="C217" t="s">
        <v>3996</v>
      </c>
      <c r="D217">
        <f>VLOOKUP($C217, Egli_UPEC_metadata_provided!$A$2:$M$826, 3, FALSE)</f>
        <v>2018</v>
      </c>
      <c r="E217" t="str">
        <f>VLOOKUP($C217, Egli_UPEC_metadata_provided!$A$2:$M$826, 4, FALSE)</f>
        <v>B2-2</v>
      </c>
      <c r="F217" t="str">
        <f>VLOOKUP($C217, Egli_UPEC_metadata_provided!$A$2:$M$826, 5, FALSE)</f>
        <v>w</v>
      </c>
      <c r="G217">
        <f>VLOOKUP($C217, Egli_UPEC_metadata_provided!$A$2:$M$826, 6, FALSE)</f>
        <v>0</v>
      </c>
      <c r="H217">
        <f>VLOOKUP($C217, Egli_UPEC_metadata_provided!$A$2:$M$826, 7, FALSE)</f>
        <v>1</v>
      </c>
      <c r="I217">
        <f>VLOOKUP($C217, Egli_UPEC_metadata_provided!$A$2:$M$826, 8, FALSE)</f>
        <v>74.838004101161999</v>
      </c>
      <c r="J217" t="b">
        <f>VLOOKUP($C217, Egli_UPEC_metadata_provided!$A$2:$M$826, 9, FALSE)</f>
        <v>0</v>
      </c>
      <c r="K217">
        <f>VLOOKUP($C217, Egli_UPEC_metadata_provided!$A$2:$M$826, 10, FALSE)</f>
        <v>0</v>
      </c>
      <c r="L217" t="str">
        <f>VLOOKUP($C217, Egli_UPEC_metadata_provided!$A$2:$M$826, 11, FALSE)</f>
        <v>non-invasive</v>
      </c>
      <c r="M217">
        <f>VLOOKUP($C217, Egli_UPEC_metadata_provided!$A$2:$M$826, 12, FALSE)</f>
        <v>0</v>
      </c>
      <c r="N217">
        <f>VLOOKUP($C217, Egli_UPEC_metadata_provided!$A$2:$M$826, 13, FALSE)</f>
        <v>0</v>
      </c>
      <c r="O217">
        <f>VLOOKUP($C217, Egli_UPEC_metadata_provided!$A$2:$N$826, 14, FALSE)</f>
        <v>0</v>
      </c>
    </row>
    <row r="218" spans="1:15" x14ac:dyDescent="0.2">
      <c r="A218" t="s">
        <v>762</v>
      </c>
      <c r="B218" t="s">
        <v>3998</v>
      </c>
      <c r="C218" t="s">
        <v>3998</v>
      </c>
      <c r="D218">
        <f>VLOOKUP($C218, Egli_UPEC_metadata_provided!$A$2:$M$826, 3, FALSE)</f>
        <v>2018</v>
      </c>
      <c r="E218" t="str">
        <f>VLOOKUP($C218, Egli_UPEC_metadata_provided!$A$2:$M$826, 4, FALSE)</f>
        <v>B2-1</v>
      </c>
      <c r="F218" t="str">
        <f>VLOOKUP($C218, Egli_UPEC_metadata_provided!$A$2:$M$826, 5, FALSE)</f>
        <v>w</v>
      </c>
      <c r="G218">
        <f>VLOOKUP($C218, Egli_UPEC_metadata_provided!$A$2:$M$826, 6, FALSE)</f>
        <v>0</v>
      </c>
      <c r="H218">
        <f>VLOOKUP($C218, Egli_UPEC_metadata_provided!$A$2:$M$826, 7, FALSE)</f>
        <v>0</v>
      </c>
      <c r="I218">
        <f>VLOOKUP($C218, Egli_UPEC_metadata_provided!$A$2:$M$826, 8, FALSE)</f>
        <v>25.058099794941899</v>
      </c>
      <c r="J218" t="b">
        <f>VLOOKUP($C218, Egli_UPEC_metadata_provided!$A$2:$M$826, 9, FALSE)</f>
        <v>0</v>
      </c>
      <c r="K218">
        <f>VLOOKUP($C218, Egli_UPEC_metadata_provided!$A$2:$M$826, 10, FALSE)</f>
        <v>1</v>
      </c>
      <c r="L218" t="str">
        <f>VLOOKUP($C218, Egli_UPEC_metadata_provided!$A$2:$M$826, 11, FALSE)</f>
        <v>non-invasive</v>
      </c>
      <c r="M218">
        <f>VLOOKUP($C218, Egli_UPEC_metadata_provided!$A$2:$M$826, 12, FALSE)</f>
        <v>0</v>
      </c>
      <c r="N218">
        <f>VLOOKUP($C218, Egli_UPEC_metadata_provided!$A$2:$M$826, 13, FALSE)</f>
        <v>0</v>
      </c>
      <c r="O218">
        <f>VLOOKUP($C218, Egli_UPEC_metadata_provided!$A$2:$N$826, 14, FALSE)</f>
        <v>1</v>
      </c>
    </row>
    <row r="219" spans="1:15" x14ac:dyDescent="0.2">
      <c r="A219" t="s">
        <v>765</v>
      </c>
      <c r="B219" t="s">
        <v>4001</v>
      </c>
      <c r="C219" t="s">
        <v>4001</v>
      </c>
      <c r="D219">
        <f>VLOOKUP($C219, Egli_UPEC_metadata_provided!$A$2:$M$826, 3, FALSE)</f>
        <v>2018</v>
      </c>
      <c r="E219" t="str">
        <f>VLOOKUP($C219, Egli_UPEC_metadata_provided!$A$2:$M$826, 4, FALSE)</f>
        <v>B2-1</v>
      </c>
      <c r="F219" t="str">
        <f>VLOOKUP($C219, Egli_UPEC_metadata_provided!$A$2:$M$826, 5, FALSE)</f>
        <v>w</v>
      </c>
      <c r="G219">
        <f>VLOOKUP($C219, Egli_UPEC_metadata_provided!$A$2:$M$826, 6, FALSE)</f>
        <v>0</v>
      </c>
      <c r="H219">
        <f>VLOOKUP($C219, Egli_UPEC_metadata_provided!$A$2:$M$826, 7, FALSE)</f>
        <v>1</v>
      </c>
      <c r="I219">
        <f>VLOOKUP($C219, Egli_UPEC_metadata_provided!$A$2:$M$826, 8, FALSE)</f>
        <v>70.930963773068996</v>
      </c>
      <c r="J219" t="b">
        <f>VLOOKUP($C219, Egli_UPEC_metadata_provided!$A$2:$M$826, 9, FALSE)</f>
        <v>0</v>
      </c>
      <c r="K219" t="str">
        <f>VLOOKUP($C219, Egli_UPEC_metadata_provided!$A$2:$M$826, 10, FALSE)</f>
        <v>NA</v>
      </c>
      <c r="L219" t="str">
        <f>VLOOKUP($C219, Egli_UPEC_metadata_provided!$A$2:$M$826, 11, FALSE)</f>
        <v>non-invasive</v>
      </c>
      <c r="M219">
        <f>VLOOKUP($C219, Egli_UPEC_metadata_provided!$A$2:$M$826, 12, FALSE)</f>
        <v>1</v>
      </c>
      <c r="N219">
        <f>VLOOKUP($C219, Egli_UPEC_metadata_provided!$A$2:$M$826, 13, FALSE)</f>
        <v>0</v>
      </c>
      <c r="O219">
        <f>VLOOKUP($C219, Egli_UPEC_metadata_provided!$A$2:$N$826, 14, FALSE)</f>
        <v>0</v>
      </c>
    </row>
    <row r="220" spans="1:15" x14ac:dyDescent="0.2">
      <c r="A220" t="s">
        <v>766</v>
      </c>
      <c r="B220" t="s">
        <v>4002</v>
      </c>
      <c r="C220" t="s">
        <v>4002</v>
      </c>
      <c r="D220">
        <f>VLOOKUP($C220, Egli_UPEC_metadata_provided!$A$2:$M$826, 3, FALSE)</f>
        <v>2018</v>
      </c>
      <c r="E220" t="str">
        <f>VLOOKUP($C220, Egli_UPEC_metadata_provided!$A$2:$M$826, 4, FALSE)</f>
        <v>B2-1</v>
      </c>
      <c r="F220" t="str">
        <f>VLOOKUP($C220, Egli_UPEC_metadata_provided!$A$2:$M$826, 5, FALSE)</f>
        <v>m</v>
      </c>
      <c r="G220">
        <f>VLOOKUP($C220, Egli_UPEC_metadata_provided!$A$2:$M$826, 6, FALSE)</f>
        <v>0</v>
      </c>
      <c r="H220">
        <f>VLOOKUP($C220, Egli_UPEC_metadata_provided!$A$2:$M$826, 7, FALSE)</f>
        <v>3</v>
      </c>
      <c r="I220">
        <f>VLOOKUP($C220, Egli_UPEC_metadata_provided!$A$2:$M$826, 8, FALSE)</f>
        <v>79.160628844839394</v>
      </c>
      <c r="J220" t="b">
        <f>VLOOKUP($C220, Egli_UPEC_metadata_provided!$A$2:$M$826, 9, FALSE)</f>
        <v>0</v>
      </c>
      <c r="K220">
        <f>VLOOKUP($C220, Egli_UPEC_metadata_provided!$A$2:$M$826, 10, FALSE)</f>
        <v>0</v>
      </c>
      <c r="L220" t="str">
        <f>VLOOKUP($C220, Egli_UPEC_metadata_provided!$A$2:$M$826, 11, FALSE)</f>
        <v>non-invasive</v>
      </c>
      <c r="M220">
        <f>VLOOKUP($C220, Egli_UPEC_metadata_provided!$A$2:$M$826, 12, FALSE)</f>
        <v>0</v>
      </c>
      <c r="N220">
        <f>VLOOKUP($C220, Egli_UPEC_metadata_provided!$A$2:$M$826, 13, FALSE)</f>
        <v>0</v>
      </c>
      <c r="O220">
        <f>VLOOKUP($C220, Egli_UPEC_metadata_provided!$A$2:$N$826, 14, FALSE)</f>
        <v>1</v>
      </c>
    </row>
    <row r="221" spans="1:15" x14ac:dyDescent="0.2">
      <c r="A221" t="s">
        <v>767</v>
      </c>
      <c r="B221" t="s">
        <v>4003</v>
      </c>
      <c r="C221" t="s">
        <v>4003</v>
      </c>
      <c r="D221">
        <f>VLOOKUP($C221, Egli_UPEC_metadata_provided!$A$2:$M$826, 3, FALSE)</f>
        <v>2018</v>
      </c>
      <c r="E221" t="str">
        <f>VLOOKUP($C221, Egli_UPEC_metadata_provided!$A$2:$M$826, 4, FALSE)</f>
        <v>B2-1</v>
      </c>
      <c r="F221" t="str">
        <f>VLOOKUP($C221, Egli_UPEC_metadata_provided!$A$2:$M$826, 5, FALSE)</f>
        <v>w</v>
      </c>
      <c r="G221">
        <f>VLOOKUP($C221, Egli_UPEC_metadata_provided!$A$2:$M$826, 6, FALSE)</f>
        <v>0</v>
      </c>
      <c r="H221">
        <f>VLOOKUP($C221, Egli_UPEC_metadata_provided!$A$2:$M$826, 7, FALSE)</f>
        <v>2</v>
      </c>
      <c r="I221">
        <f>VLOOKUP($C221, Egli_UPEC_metadata_provided!$A$2:$M$826, 8, FALSE)</f>
        <v>80.328092959671906</v>
      </c>
      <c r="J221" t="b">
        <f>VLOOKUP($C221, Egli_UPEC_metadata_provided!$A$2:$M$826, 9, FALSE)</f>
        <v>0</v>
      </c>
      <c r="K221">
        <f>VLOOKUP($C221, Egli_UPEC_metadata_provided!$A$2:$M$826, 10, FALSE)</f>
        <v>0</v>
      </c>
      <c r="L221" t="str">
        <f>VLOOKUP($C221, Egli_UPEC_metadata_provided!$A$2:$M$826, 11, FALSE)</f>
        <v>invasive</v>
      </c>
      <c r="M221">
        <f>VLOOKUP($C221, Egli_UPEC_metadata_provided!$A$2:$M$826, 12, FALSE)</f>
        <v>0</v>
      </c>
      <c r="N221">
        <f>VLOOKUP($C221, Egli_UPEC_metadata_provided!$A$2:$M$826, 13, FALSE)</f>
        <v>0</v>
      </c>
      <c r="O221">
        <f>VLOOKUP($C221, Egli_UPEC_metadata_provided!$A$2:$N$826, 14, FALSE)</f>
        <v>0</v>
      </c>
    </row>
    <row r="222" spans="1:15" x14ac:dyDescent="0.2">
      <c r="A222" t="s">
        <v>768</v>
      </c>
      <c r="B222" t="s">
        <v>4004</v>
      </c>
      <c r="C222" t="s">
        <v>4004</v>
      </c>
      <c r="D222">
        <f>VLOOKUP($C222, Egli_UPEC_metadata_provided!$A$2:$M$826, 3, FALSE)</f>
        <v>2018</v>
      </c>
      <c r="E222" t="str">
        <f>VLOOKUP($C222, Egli_UPEC_metadata_provided!$A$2:$M$826, 4, FALSE)</f>
        <v>A</v>
      </c>
      <c r="F222" t="str">
        <f>VLOOKUP($C222, Egli_UPEC_metadata_provided!$A$2:$M$826, 5, FALSE)</f>
        <v>m</v>
      </c>
      <c r="G222">
        <f>VLOOKUP($C222, Egli_UPEC_metadata_provided!$A$2:$M$826, 6, FALSE)</f>
        <v>0</v>
      </c>
      <c r="H222">
        <f>VLOOKUP($C222, Egli_UPEC_metadata_provided!$A$2:$M$826, 7, FALSE)</f>
        <v>2</v>
      </c>
      <c r="I222">
        <f>VLOOKUP($C222, Egli_UPEC_metadata_provided!$A$2:$M$826, 8, FALSE)</f>
        <v>64.380041011619994</v>
      </c>
      <c r="J222" t="b">
        <f>VLOOKUP($C222, Egli_UPEC_metadata_provided!$A$2:$M$826, 9, FALSE)</f>
        <v>0</v>
      </c>
      <c r="K222">
        <f>VLOOKUP($C222, Egli_UPEC_metadata_provided!$A$2:$M$826, 10, FALSE)</f>
        <v>0</v>
      </c>
      <c r="L222" t="str">
        <f>VLOOKUP($C222, Egli_UPEC_metadata_provided!$A$2:$M$826, 11, FALSE)</f>
        <v>non-invasive</v>
      </c>
      <c r="M222">
        <f>VLOOKUP($C222, Egli_UPEC_metadata_provided!$A$2:$M$826, 12, FALSE)</f>
        <v>0</v>
      </c>
      <c r="N222">
        <f>VLOOKUP($C222, Egli_UPEC_metadata_provided!$A$2:$M$826, 13, FALSE)</f>
        <v>0</v>
      </c>
      <c r="O222">
        <f>VLOOKUP($C222, Egli_UPEC_metadata_provided!$A$2:$N$826, 14, FALSE)</f>
        <v>0</v>
      </c>
    </row>
    <row r="223" spans="1:15" x14ac:dyDescent="0.2">
      <c r="A223" t="s">
        <v>769</v>
      </c>
      <c r="B223" t="s">
        <v>4005</v>
      </c>
      <c r="C223" t="s">
        <v>4005</v>
      </c>
      <c r="D223">
        <f>VLOOKUP($C223, Egli_UPEC_metadata_provided!$A$2:$M$826, 3, FALSE)</f>
        <v>2018</v>
      </c>
      <c r="E223" t="str">
        <f>VLOOKUP($C223, Egli_UPEC_metadata_provided!$A$2:$M$826, 4, FALSE)</f>
        <v>B2-2</v>
      </c>
      <c r="F223" t="str">
        <f>VLOOKUP($C223, Egli_UPEC_metadata_provided!$A$2:$M$826, 5, FALSE)</f>
        <v>w</v>
      </c>
      <c r="G223" t="str">
        <f>VLOOKUP($C223, Egli_UPEC_metadata_provided!$A$2:$M$826, 6, FALSE)</f>
        <v>NA</v>
      </c>
      <c r="H223">
        <f>VLOOKUP($C223, Egli_UPEC_metadata_provided!$A$2:$M$826, 7, FALSE)</f>
        <v>0</v>
      </c>
      <c r="I223">
        <f>VLOOKUP($C223, Egli_UPEC_metadata_provided!$A$2:$M$826, 8, FALSE)</f>
        <v>92.467532467532493</v>
      </c>
      <c r="J223" t="b">
        <f>VLOOKUP($C223, Egli_UPEC_metadata_provided!$A$2:$M$826, 9, FALSE)</f>
        <v>0</v>
      </c>
      <c r="K223">
        <f>VLOOKUP($C223, Egli_UPEC_metadata_provided!$A$2:$M$826, 10, FALSE)</f>
        <v>0</v>
      </c>
      <c r="L223" t="str">
        <f>VLOOKUP($C223, Egli_UPEC_metadata_provided!$A$2:$M$826, 11, FALSE)</f>
        <v>non-invasive</v>
      </c>
      <c r="M223">
        <f>VLOOKUP($C223, Egli_UPEC_metadata_provided!$A$2:$M$826, 12, FALSE)</f>
        <v>0</v>
      </c>
      <c r="N223">
        <f>VLOOKUP($C223, Egli_UPEC_metadata_provided!$A$2:$M$826, 13, FALSE)</f>
        <v>0</v>
      </c>
      <c r="O223" t="str">
        <f>VLOOKUP($C223, Egli_UPEC_metadata_provided!$A$2:$N$826, 14, FALSE)</f>
        <v>NA</v>
      </c>
    </row>
    <row r="224" spans="1:15" x14ac:dyDescent="0.2">
      <c r="A224" t="s">
        <v>770</v>
      </c>
      <c r="B224" t="s">
        <v>4006</v>
      </c>
      <c r="C224" t="s">
        <v>4006</v>
      </c>
      <c r="D224">
        <f>VLOOKUP($C224, Egli_UPEC_metadata_provided!$A$2:$M$826, 3, FALSE)</f>
        <v>2018</v>
      </c>
      <c r="E224" t="str">
        <f>VLOOKUP($C224, Egli_UPEC_metadata_provided!$A$2:$M$826, 4, FALSE)</f>
        <v>B2-2</v>
      </c>
      <c r="F224" t="str">
        <f>VLOOKUP($C224, Egli_UPEC_metadata_provided!$A$2:$M$826, 5, FALSE)</f>
        <v>w</v>
      </c>
      <c r="G224">
        <f>VLOOKUP($C224, Egli_UPEC_metadata_provided!$A$2:$M$826, 6, FALSE)</f>
        <v>0</v>
      </c>
      <c r="H224">
        <f>VLOOKUP($C224, Egli_UPEC_metadata_provided!$A$2:$M$826, 7, FALSE)</f>
        <v>4</v>
      </c>
      <c r="I224">
        <f>VLOOKUP($C224, Egli_UPEC_metadata_provided!$A$2:$M$826, 8, FALSE)</f>
        <v>79.904306220095705</v>
      </c>
      <c r="J224" t="b">
        <f>VLOOKUP($C224, Egli_UPEC_metadata_provided!$A$2:$M$826, 9, FALSE)</f>
        <v>0</v>
      </c>
      <c r="K224">
        <f>VLOOKUP($C224, Egli_UPEC_metadata_provided!$A$2:$M$826, 10, FALSE)</f>
        <v>0</v>
      </c>
      <c r="L224" t="str">
        <f>VLOOKUP($C224, Egli_UPEC_metadata_provided!$A$2:$M$826, 11, FALSE)</f>
        <v>invasive</v>
      </c>
      <c r="M224">
        <f>VLOOKUP($C224, Egli_UPEC_metadata_provided!$A$2:$M$826, 12, FALSE)</f>
        <v>0</v>
      </c>
      <c r="N224">
        <f>VLOOKUP($C224, Egli_UPEC_metadata_provided!$A$2:$M$826, 13, FALSE)</f>
        <v>0</v>
      </c>
      <c r="O224">
        <f>VLOOKUP($C224, Egli_UPEC_metadata_provided!$A$2:$N$826, 14, FALSE)</f>
        <v>0</v>
      </c>
    </row>
    <row r="225" spans="1:15" x14ac:dyDescent="0.2">
      <c r="A225" t="s">
        <v>771</v>
      </c>
      <c r="B225" t="s">
        <v>4007</v>
      </c>
      <c r="C225" t="s">
        <v>4007</v>
      </c>
      <c r="D225">
        <f>VLOOKUP($C225, Egli_UPEC_metadata_provided!$A$2:$M$826, 3, FALSE)</f>
        <v>2018</v>
      </c>
      <c r="E225" t="str">
        <f>VLOOKUP($C225, Egli_UPEC_metadata_provided!$A$2:$M$826, 4, FALSE)</f>
        <v>B2-2</v>
      </c>
      <c r="F225" t="str">
        <f>VLOOKUP($C225, Egli_UPEC_metadata_provided!$A$2:$M$826, 5, FALSE)</f>
        <v>w</v>
      </c>
      <c r="G225">
        <f>VLOOKUP($C225, Egli_UPEC_metadata_provided!$A$2:$M$826, 6, FALSE)</f>
        <v>0</v>
      </c>
      <c r="H225">
        <f>VLOOKUP($C225, Egli_UPEC_metadata_provided!$A$2:$M$826, 7, FALSE)</f>
        <v>4</v>
      </c>
      <c r="I225">
        <f>VLOOKUP($C225, Egli_UPEC_metadata_provided!$A$2:$M$826, 8, FALSE)</f>
        <v>92.710868079289099</v>
      </c>
      <c r="J225" t="b">
        <f>VLOOKUP($C225, Egli_UPEC_metadata_provided!$A$2:$M$826, 9, FALSE)</f>
        <v>0</v>
      </c>
      <c r="K225">
        <f>VLOOKUP($C225, Egli_UPEC_metadata_provided!$A$2:$M$826, 10, FALSE)</f>
        <v>0</v>
      </c>
      <c r="L225" t="str">
        <f>VLOOKUP($C225, Egli_UPEC_metadata_provided!$A$2:$M$826, 11, FALSE)</f>
        <v>non-invasive</v>
      </c>
      <c r="M225">
        <f>VLOOKUP($C225, Egli_UPEC_metadata_provided!$A$2:$M$826, 12, FALSE)</f>
        <v>0</v>
      </c>
      <c r="N225">
        <f>VLOOKUP($C225, Egli_UPEC_metadata_provided!$A$2:$M$826, 13, FALSE)</f>
        <v>1</v>
      </c>
      <c r="O225">
        <f>VLOOKUP($C225, Egli_UPEC_metadata_provided!$A$2:$N$826, 14, FALSE)</f>
        <v>0</v>
      </c>
    </row>
    <row r="226" spans="1:15" x14ac:dyDescent="0.2">
      <c r="A226" t="s">
        <v>772</v>
      </c>
      <c r="B226" t="s">
        <v>4008</v>
      </c>
      <c r="C226" t="s">
        <v>4008</v>
      </c>
      <c r="D226">
        <f>VLOOKUP($C226, Egli_UPEC_metadata_provided!$A$2:$M$826, 3, FALSE)</f>
        <v>2018</v>
      </c>
      <c r="E226" t="str">
        <f>VLOOKUP($C226, Egli_UPEC_metadata_provided!$A$2:$M$826, 4, FALSE)</f>
        <v>B2-2</v>
      </c>
      <c r="F226" t="str">
        <f>VLOOKUP($C226, Egli_UPEC_metadata_provided!$A$2:$M$826, 5, FALSE)</f>
        <v>w</v>
      </c>
      <c r="G226">
        <f>VLOOKUP($C226, Egli_UPEC_metadata_provided!$A$2:$M$826, 6, FALSE)</f>
        <v>0</v>
      </c>
      <c r="H226">
        <f>VLOOKUP($C226, Egli_UPEC_metadata_provided!$A$2:$M$826, 7, FALSE)</f>
        <v>6</v>
      </c>
      <c r="I226">
        <f>VLOOKUP($C226, Egli_UPEC_metadata_provided!$A$2:$M$826, 8, FALSE)</f>
        <v>65.995898838004095</v>
      </c>
      <c r="J226" t="b">
        <f>VLOOKUP($C226, Egli_UPEC_metadata_provided!$A$2:$M$826, 9, FALSE)</f>
        <v>0</v>
      </c>
      <c r="K226">
        <f>VLOOKUP($C226, Egli_UPEC_metadata_provided!$A$2:$M$826, 10, FALSE)</f>
        <v>0</v>
      </c>
      <c r="L226" t="str">
        <f>VLOOKUP($C226, Egli_UPEC_metadata_provided!$A$2:$M$826, 11, FALSE)</f>
        <v>non-invasive</v>
      </c>
      <c r="M226">
        <f>VLOOKUP($C226, Egli_UPEC_metadata_provided!$A$2:$M$826, 12, FALSE)</f>
        <v>0</v>
      </c>
      <c r="N226">
        <f>VLOOKUP($C226, Egli_UPEC_metadata_provided!$A$2:$M$826, 13, FALSE)</f>
        <v>0</v>
      </c>
      <c r="O226" t="str">
        <f>VLOOKUP($C226, Egli_UPEC_metadata_provided!$A$2:$N$826, 14, FALSE)</f>
        <v>NA</v>
      </c>
    </row>
    <row r="227" spans="1:15" x14ac:dyDescent="0.2">
      <c r="A227" t="s">
        <v>773</v>
      </c>
      <c r="B227" t="s">
        <v>4009</v>
      </c>
      <c r="C227" t="s">
        <v>4009</v>
      </c>
      <c r="D227">
        <f>VLOOKUP($C227, Egli_UPEC_metadata_provided!$A$2:$M$826, 3, FALSE)</f>
        <v>2018</v>
      </c>
      <c r="E227" t="str">
        <f>VLOOKUP($C227, Egli_UPEC_metadata_provided!$A$2:$M$826, 4, FALSE)</f>
        <v>B2-2</v>
      </c>
      <c r="F227" t="str">
        <f>VLOOKUP($C227, Egli_UPEC_metadata_provided!$A$2:$M$826, 5, FALSE)</f>
        <v>w</v>
      </c>
      <c r="G227">
        <f>VLOOKUP($C227, Egli_UPEC_metadata_provided!$A$2:$M$826, 6, FALSE)</f>
        <v>0</v>
      </c>
      <c r="H227">
        <f>VLOOKUP($C227, Egli_UPEC_metadata_provided!$A$2:$M$826, 7, FALSE)</f>
        <v>0</v>
      </c>
      <c r="I227">
        <f>VLOOKUP($C227, Egli_UPEC_metadata_provided!$A$2:$M$826, 8, FALSE)</f>
        <v>29.0006835269993</v>
      </c>
      <c r="J227" t="b">
        <f>VLOOKUP($C227, Egli_UPEC_metadata_provided!$A$2:$M$826, 9, FALSE)</f>
        <v>1</v>
      </c>
      <c r="K227">
        <f>VLOOKUP($C227, Egli_UPEC_metadata_provided!$A$2:$M$826, 10, FALSE)</f>
        <v>0</v>
      </c>
      <c r="L227" t="str">
        <f>VLOOKUP($C227, Egli_UPEC_metadata_provided!$A$2:$M$826, 11, FALSE)</f>
        <v>non-invasive</v>
      </c>
      <c r="M227">
        <f>VLOOKUP($C227, Egli_UPEC_metadata_provided!$A$2:$M$826, 12, FALSE)</f>
        <v>0</v>
      </c>
      <c r="N227">
        <f>VLOOKUP($C227, Egli_UPEC_metadata_provided!$A$2:$M$826, 13, FALSE)</f>
        <v>0</v>
      </c>
      <c r="O227">
        <f>VLOOKUP($C227, Egli_UPEC_metadata_provided!$A$2:$N$826, 14, FALSE)</f>
        <v>1</v>
      </c>
    </row>
    <row r="228" spans="1:15" x14ac:dyDescent="0.2">
      <c r="A228" t="s">
        <v>774</v>
      </c>
      <c r="B228" t="s">
        <v>4010</v>
      </c>
      <c r="C228" t="s">
        <v>4010</v>
      </c>
      <c r="D228">
        <f>VLOOKUP($C228, Egli_UPEC_metadata_provided!$A$2:$M$826, 3, FALSE)</f>
        <v>2018</v>
      </c>
      <c r="E228" t="str">
        <f>VLOOKUP($C228, Egli_UPEC_metadata_provided!$A$2:$M$826, 4, FALSE)</f>
        <v>A</v>
      </c>
      <c r="F228" t="str">
        <f>VLOOKUP($C228, Egli_UPEC_metadata_provided!$A$2:$M$826, 5, FALSE)</f>
        <v>w</v>
      </c>
      <c r="G228">
        <f>VLOOKUP($C228, Egli_UPEC_metadata_provided!$A$2:$M$826, 6, FALSE)</f>
        <v>0</v>
      </c>
      <c r="H228">
        <f>VLOOKUP($C228, Egli_UPEC_metadata_provided!$A$2:$M$826, 7, FALSE)</f>
        <v>0</v>
      </c>
      <c r="I228">
        <f>VLOOKUP($C228, Egli_UPEC_metadata_provided!$A$2:$M$826, 8, FALSE)</f>
        <v>22.239234449760801</v>
      </c>
      <c r="J228" t="b">
        <f>VLOOKUP($C228, Egli_UPEC_metadata_provided!$A$2:$M$826, 9, FALSE)</f>
        <v>0</v>
      </c>
      <c r="K228">
        <f>VLOOKUP($C228, Egli_UPEC_metadata_provided!$A$2:$M$826, 10, FALSE)</f>
        <v>0</v>
      </c>
      <c r="L228" t="str">
        <f>VLOOKUP($C228, Egli_UPEC_metadata_provided!$A$2:$M$826, 11, FALSE)</f>
        <v>non-invasive</v>
      </c>
      <c r="M228">
        <f>VLOOKUP($C228, Egli_UPEC_metadata_provided!$A$2:$M$826, 12, FALSE)</f>
        <v>0</v>
      </c>
      <c r="N228">
        <f>VLOOKUP($C228, Egli_UPEC_metadata_provided!$A$2:$M$826, 13, FALSE)</f>
        <v>0</v>
      </c>
      <c r="O228">
        <f>VLOOKUP($C228, Egli_UPEC_metadata_provided!$A$2:$N$826, 14, FALSE)</f>
        <v>0</v>
      </c>
    </row>
    <row r="229" spans="1:15" x14ac:dyDescent="0.2">
      <c r="A229" t="s">
        <v>777</v>
      </c>
      <c r="B229" t="s">
        <v>4013</v>
      </c>
      <c r="C229" t="s">
        <v>4013</v>
      </c>
      <c r="D229">
        <f>VLOOKUP($C229, Egli_UPEC_metadata_provided!$A$2:$M$826, 3, FALSE)</f>
        <v>2018</v>
      </c>
      <c r="E229" t="str">
        <f>VLOOKUP($C229, Egli_UPEC_metadata_provided!$A$2:$M$826, 4, FALSE)</f>
        <v>A</v>
      </c>
      <c r="F229" t="str">
        <f>VLOOKUP($C229, Egli_UPEC_metadata_provided!$A$2:$M$826, 5, FALSE)</f>
        <v>w</v>
      </c>
      <c r="G229">
        <f>VLOOKUP($C229, Egli_UPEC_metadata_provided!$A$2:$M$826, 6, FALSE)</f>
        <v>0</v>
      </c>
      <c r="H229">
        <f>VLOOKUP($C229, Egli_UPEC_metadata_provided!$A$2:$M$826, 7, FALSE)</f>
        <v>2</v>
      </c>
      <c r="I229">
        <f>VLOOKUP($C229, Egli_UPEC_metadata_provided!$A$2:$M$826, 8, FALSE)</f>
        <v>86.7231715652768</v>
      </c>
      <c r="J229" t="b">
        <f>VLOOKUP($C229, Egli_UPEC_metadata_provided!$A$2:$M$826, 9, FALSE)</f>
        <v>0</v>
      </c>
      <c r="K229">
        <f>VLOOKUP($C229, Egli_UPEC_metadata_provided!$A$2:$M$826, 10, FALSE)</f>
        <v>0</v>
      </c>
      <c r="L229" t="str">
        <f>VLOOKUP($C229, Egli_UPEC_metadata_provided!$A$2:$M$826, 11, FALSE)</f>
        <v>non-invasive</v>
      </c>
      <c r="M229">
        <f>VLOOKUP($C229, Egli_UPEC_metadata_provided!$A$2:$M$826, 12, FALSE)</f>
        <v>0</v>
      </c>
      <c r="N229">
        <f>VLOOKUP($C229, Egli_UPEC_metadata_provided!$A$2:$M$826, 13, FALSE)</f>
        <v>0</v>
      </c>
      <c r="O229">
        <f>VLOOKUP($C229, Egli_UPEC_metadata_provided!$A$2:$N$826, 14, FALSE)</f>
        <v>0</v>
      </c>
    </row>
    <row r="230" spans="1:15" x14ac:dyDescent="0.2">
      <c r="A230" t="s">
        <v>779</v>
      </c>
      <c r="B230" t="s">
        <v>4015</v>
      </c>
      <c r="C230" t="s">
        <v>4015</v>
      </c>
      <c r="D230">
        <f>VLOOKUP($C230, Egli_UPEC_metadata_provided!$A$2:$M$826, 3, FALSE)</f>
        <v>2018</v>
      </c>
      <c r="E230" t="str">
        <f>VLOOKUP($C230, Egli_UPEC_metadata_provided!$A$2:$M$826, 4, FALSE)</f>
        <v>B1</v>
      </c>
      <c r="F230" t="str">
        <f>VLOOKUP($C230, Egli_UPEC_metadata_provided!$A$2:$M$826, 5, FALSE)</f>
        <v>w</v>
      </c>
      <c r="G230">
        <f>VLOOKUP($C230, Egli_UPEC_metadata_provided!$A$2:$M$826, 6, FALSE)</f>
        <v>0</v>
      </c>
      <c r="H230">
        <f>VLOOKUP($C230, Egli_UPEC_metadata_provided!$A$2:$M$826, 7, FALSE)</f>
        <v>0</v>
      </c>
      <c r="I230">
        <f>VLOOKUP($C230, Egli_UPEC_metadata_provided!$A$2:$M$826, 8, FALSE)</f>
        <v>64.858509911141496</v>
      </c>
      <c r="J230" t="b">
        <f>VLOOKUP($C230, Egli_UPEC_metadata_provided!$A$2:$M$826, 9, FALSE)</f>
        <v>0</v>
      </c>
      <c r="K230" t="str">
        <f>VLOOKUP($C230, Egli_UPEC_metadata_provided!$A$2:$M$826, 10, FALSE)</f>
        <v>NA</v>
      </c>
      <c r="L230" t="str">
        <f>VLOOKUP($C230, Egli_UPEC_metadata_provided!$A$2:$M$826, 11, FALSE)</f>
        <v>non-invasive</v>
      </c>
      <c r="M230">
        <f>VLOOKUP($C230, Egli_UPEC_metadata_provided!$A$2:$M$826, 12, FALSE)</f>
        <v>0</v>
      </c>
      <c r="N230">
        <f>VLOOKUP($C230, Egli_UPEC_metadata_provided!$A$2:$M$826, 13, FALSE)</f>
        <v>0</v>
      </c>
      <c r="O230">
        <f>VLOOKUP($C230, Egli_UPEC_metadata_provided!$A$2:$N$826, 14, FALSE)</f>
        <v>0</v>
      </c>
    </row>
    <row r="231" spans="1:15" x14ac:dyDescent="0.2">
      <c r="A231" t="s">
        <v>782</v>
      </c>
      <c r="B231" t="s">
        <v>4018</v>
      </c>
      <c r="C231" t="s">
        <v>4018</v>
      </c>
      <c r="D231">
        <f>VLOOKUP($C231, Egli_UPEC_metadata_provided!$A$2:$M$826, 3, FALSE)</f>
        <v>2018</v>
      </c>
      <c r="E231" t="str">
        <f>VLOOKUP($C231, Egli_UPEC_metadata_provided!$A$2:$M$826, 4, FALSE)</f>
        <v>D2</v>
      </c>
      <c r="F231" t="str">
        <f>VLOOKUP($C231, Egli_UPEC_metadata_provided!$A$2:$M$826, 5, FALSE)</f>
        <v>w</v>
      </c>
      <c r="G231">
        <f>VLOOKUP($C231, Egli_UPEC_metadata_provided!$A$2:$M$826, 6, FALSE)</f>
        <v>0</v>
      </c>
      <c r="H231">
        <f>VLOOKUP($C231, Egli_UPEC_metadata_provided!$A$2:$M$826, 7, FALSE)</f>
        <v>2</v>
      </c>
      <c r="I231">
        <f>VLOOKUP($C231, Egli_UPEC_metadata_provided!$A$2:$M$826, 8, FALSE)</f>
        <v>43.917976760081999</v>
      </c>
      <c r="J231" t="b">
        <f>VLOOKUP($C231, Egli_UPEC_metadata_provided!$A$2:$M$826, 9, FALSE)</f>
        <v>0</v>
      </c>
      <c r="K231">
        <f>VLOOKUP($C231, Egli_UPEC_metadata_provided!$A$2:$M$826, 10, FALSE)</f>
        <v>0</v>
      </c>
      <c r="L231" t="str">
        <f>VLOOKUP($C231, Egli_UPEC_metadata_provided!$A$2:$M$826, 11, FALSE)</f>
        <v>non-invasive</v>
      </c>
      <c r="M231">
        <f>VLOOKUP($C231, Egli_UPEC_metadata_provided!$A$2:$M$826, 12, FALSE)</f>
        <v>0</v>
      </c>
      <c r="N231">
        <f>VLOOKUP($C231, Egli_UPEC_metadata_provided!$A$2:$M$826, 13, FALSE)</f>
        <v>0</v>
      </c>
      <c r="O231">
        <f>VLOOKUP($C231, Egli_UPEC_metadata_provided!$A$2:$N$826, 14, FALSE)</f>
        <v>1</v>
      </c>
    </row>
    <row r="232" spans="1:15" x14ac:dyDescent="0.2">
      <c r="A232" t="s">
        <v>783</v>
      </c>
      <c r="B232" t="s">
        <v>4019</v>
      </c>
      <c r="C232" t="s">
        <v>4019</v>
      </c>
      <c r="D232">
        <f>VLOOKUP($C232, Egli_UPEC_metadata_provided!$A$2:$M$826, 3, FALSE)</f>
        <v>2018</v>
      </c>
      <c r="E232" t="str">
        <f>VLOOKUP($C232, Egli_UPEC_metadata_provided!$A$2:$M$826, 4, FALSE)</f>
        <v>B2-1</v>
      </c>
      <c r="F232" t="str">
        <f>VLOOKUP($C232, Egli_UPEC_metadata_provided!$A$2:$M$826, 5, FALSE)</f>
        <v>w</v>
      </c>
      <c r="G232">
        <f>VLOOKUP($C232, Egli_UPEC_metadata_provided!$A$2:$M$826, 6, FALSE)</f>
        <v>0</v>
      </c>
      <c r="H232">
        <f>VLOOKUP($C232, Egli_UPEC_metadata_provided!$A$2:$M$826, 7, FALSE)</f>
        <v>1</v>
      </c>
      <c r="I232">
        <f>VLOOKUP($C232, Egli_UPEC_metadata_provided!$A$2:$M$826, 8, FALSE)</f>
        <v>64.937799043062199</v>
      </c>
      <c r="J232" t="b">
        <f>VLOOKUP($C232, Egli_UPEC_metadata_provided!$A$2:$M$826, 9, FALSE)</f>
        <v>0</v>
      </c>
      <c r="K232">
        <f>VLOOKUP($C232, Egli_UPEC_metadata_provided!$A$2:$M$826, 10, FALSE)</f>
        <v>0</v>
      </c>
      <c r="L232" t="str">
        <f>VLOOKUP($C232, Egli_UPEC_metadata_provided!$A$2:$M$826, 11, FALSE)</f>
        <v>non-invasive</v>
      </c>
      <c r="M232">
        <f>VLOOKUP($C232, Egli_UPEC_metadata_provided!$A$2:$M$826, 12, FALSE)</f>
        <v>0</v>
      </c>
      <c r="N232">
        <f>VLOOKUP($C232, Egli_UPEC_metadata_provided!$A$2:$M$826, 13, FALSE)</f>
        <v>0</v>
      </c>
      <c r="O232">
        <f>VLOOKUP($C232, Egli_UPEC_metadata_provided!$A$2:$N$826, 14, FALSE)</f>
        <v>1</v>
      </c>
    </row>
    <row r="233" spans="1:15" x14ac:dyDescent="0.2">
      <c r="A233" t="s">
        <v>784</v>
      </c>
      <c r="B233" t="s">
        <v>4020</v>
      </c>
      <c r="C233" t="s">
        <v>4020</v>
      </c>
      <c r="D233">
        <f>VLOOKUP($C233, Egli_UPEC_metadata_provided!$A$2:$M$826, 3, FALSE)</f>
        <v>2018</v>
      </c>
      <c r="E233" t="str">
        <f>VLOOKUP($C233, Egli_UPEC_metadata_provided!$A$2:$M$826, 4, FALSE)</f>
        <v>D1</v>
      </c>
      <c r="F233" t="str">
        <f>VLOOKUP($C233, Egli_UPEC_metadata_provided!$A$2:$M$826, 5, FALSE)</f>
        <v>w</v>
      </c>
      <c r="G233">
        <f>VLOOKUP($C233, Egli_UPEC_metadata_provided!$A$2:$M$826, 6, FALSE)</f>
        <v>1</v>
      </c>
      <c r="H233">
        <f>VLOOKUP($C233, Egli_UPEC_metadata_provided!$A$2:$M$826, 7, FALSE)</f>
        <v>0</v>
      </c>
      <c r="I233">
        <f>VLOOKUP($C233, Egli_UPEC_metadata_provided!$A$2:$M$826, 8, FALSE)</f>
        <v>40.390977443609003</v>
      </c>
      <c r="J233" t="b">
        <f>VLOOKUP($C233, Egli_UPEC_metadata_provided!$A$2:$M$826, 9, FALSE)</f>
        <v>1</v>
      </c>
      <c r="K233">
        <f>VLOOKUP($C233, Egli_UPEC_metadata_provided!$A$2:$M$826, 10, FALSE)</f>
        <v>0</v>
      </c>
      <c r="L233" t="str">
        <f>VLOOKUP($C233, Egli_UPEC_metadata_provided!$A$2:$M$826, 11, FALSE)</f>
        <v>non-invasive</v>
      </c>
      <c r="M233">
        <f>VLOOKUP($C233, Egli_UPEC_metadata_provided!$A$2:$M$826, 12, FALSE)</f>
        <v>0</v>
      </c>
      <c r="N233">
        <f>VLOOKUP($C233, Egli_UPEC_metadata_provided!$A$2:$M$826, 13, FALSE)</f>
        <v>0</v>
      </c>
      <c r="O233">
        <f>VLOOKUP($C233, Egli_UPEC_metadata_provided!$A$2:$N$826, 14, FALSE)</f>
        <v>1</v>
      </c>
    </row>
    <row r="234" spans="1:15" x14ac:dyDescent="0.2">
      <c r="A234" t="s">
        <v>785</v>
      </c>
      <c r="B234" t="s">
        <v>4021</v>
      </c>
      <c r="C234" t="s">
        <v>4021</v>
      </c>
      <c r="D234">
        <f>VLOOKUP($C234, Egli_UPEC_metadata_provided!$A$2:$M$826, 3, FALSE)</f>
        <v>2018</v>
      </c>
      <c r="E234" t="str">
        <f>VLOOKUP($C234, Egli_UPEC_metadata_provided!$A$2:$M$826, 4, FALSE)</f>
        <v>B2-2</v>
      </c>
      <c r="F234" t="str">
        <f>VLOOKUP($C234, Egli_UPEC_metadata_provided!$A$2:$M$826, 5, FALSE)</f>
        <v>w</v>
      </c>
      <c r="G234">
        <f>VLOOKUP($C234, Egli_UPEC_metadata_provided!$A$2:$M$826, 6, FALSE)</f>
        <v>1</v>
      </c>
      <c r="H234">
        <f>VLOOKUP($C234, Egli_UPEC_metadata_provided!$A$2:$M$826, 7, FALSE)</f>
        <v>6</v>
      </c>
      <c r="I234">
        <f>VLOOKUP($C234, Egli_UPEC_metadata_provided!$A$2:$M$826, 8, FALSE)</f>
        <v>52.306220095693803</v>
      </c>
      <c r="J234" t="b">
        <f>VLOOKUP($C234, Egli_UPEC_metadata_provided!$A$2:$M$826, 9, FALSE)</f>
        <v>0</v>
      </c>
      <c r="K234">
        <f>VLOOKUP($C234, Egli_UPEC_metadata_provided!$A$2:$M$826, 10, FALSE)</f>
        <v>0</v>
      </c>
      <c r="L234" t="str">
        <f>VLOOKUP($C234, Egli_UPEC_metadata_provided!$A$2:$M$826, 11, FALSE)</f>
        <v>non-invasive</v>
      </c>
      <c r="M234">
        <f>VLOOKUP($C234, Egli_UPEC_metadata_provided!$A$2:$M$826, 12, FALSE)</f>
        <v>0</v>
      </c>
      <c r="N234">
        <f>VLOOKUP($C234, Egli_UPEC_metadata_provided!$A$2:$M$826, 13, FALSE)</f>
        <v>0</v>
      </c>
      <c r="O234" t="str">
        <f>VLOOKUP($C234, Egli_UPEC_metadata_provided!$A$2:$N$826, 14, FALSE)</f>
        <v>NA</v>
      </c>
    </row>
    <row r="235" spans="1:15" x14ac:dyDescent="0.2">
      <c r="A235" t="s">
        <v>786</v>
      </c>
      <c r="B235" t="s">
        <v>4022</v>
      </c>
      <c r="C235" t="s">
        <v>4022</v>
      </c>
      <c r="D235">
        <f>VLOOKUP($C235, Egli_UPEC_metadata_provided!$A$2:$M$826, 3, FALSE)</f>
        <v>2018</v>
      </c>
      <c r="E235" t="str">
        <f>VLOOKUP($C235, Egli_UPEC_metadata_provided!$A$2:$M$826, 4, FALSE)</f>
        <v>D1</v>
      </c>
      <c r="F235" t="str">
        <f>VLOOKUP($C235, Egli_UPEC_metadata_provided!$A$2:$M$826, 5, FALSE)</f>
        <v>w</v>
      </c>
      <c r="G235">
        <f>VLOOKUP($C235, Egli_UPEC_metadata_provided!$A$2:$M$826, 6, FALSE)</f>
        <v>0</v>
      </c>
      <c r="H235">
        <f>VLOOKUP($C235, Egli_UPEC_metadata_provided!$A$2:$M$826, 7, FALSE)</f>
        <v>0</v>
      </c>
      <c r="I235">
        <f>VLOOKUP($C235, Egli_UPEC_metadata_provided!$A$2:$M$826, 8, FALSE)</f>
        <v>44.224196855775801</v>
      </c>
      <c r="J235" t="b">
        <f>VLOOKUP($C235, Egli_UPEC_metadata_provided!$A$2:$M$826, 9, FALSE)</f>
        <v>1</v>
      </c>
      <c r="K235">
        <f>VLOOKUP($C235, Egli_UPEC_metadata_provided!$A$2:$M$826, 10, FALSE)</f>
        <v>0</v>
      </c>
      <c r="L235" t="str">
        <f>VLOOKUP($C235, Egli_UPEC_metadata_provided!$A$2:$M$826, 11, FALSE)</f>
        <v>non-invasive</v>
      </c>
      <c r="M235">
        <f>VLOOKUP($C235, Egli_UPEC_metadata_provided!$A$2:$M$826, 12, FALSE)</f>
        <v>0</v>
      </c>
      <c r="N235">
        <f>VLOOKUP($C235, Egli_UPEC_metadata_provided!$A$2:$M$826, 13, FALSE)</f>
        <v>0</v>
      </c>
      <c r="O235">
        <f>VLOOKUP($C235, Egli_UPEC_metadata_provided!$A$2:$N$826, 14, FALSE)</f>
        <v>1</v>
      </c>
    </row>
    <row r="236" spans="1:15" x14ac:dyDescent="0.2">
      <c r="A236" t="s">
        <v>787</v>
      </c>
      <c r="B236" t="s">
        <v>4023</v>
      </c>
      <c r="C236" t="s">
        <v>4023</v>
      </c>
      <c r="D236">
        <f>VLOOKUP($C236, Egli_UPEC_metadata_provided!$A$2:$M$826, 3, FALSE)</f>
        <v>2018</v>
      </c>
      <c r="E236" t="str">
        <f>VLOOKUP($C236, Egli_UPEC_metadata_provided!$A$2:$M$826, 4, FALSE)</f>
        <v>B2-2</v>
      </c>
      <c r="F236" t="str">
        <f>VLOOKUP($C236, Egli_UPEC_metadata_provided!$A$2:$M$826, 5, FALSE)</f>
        <v>w</v>
      </c>
      <c r="G236">
        <f>VLOOKUP($C236, Egli_UPEC_metadata_provided!$A$2:$M$826, 6, FALSE)</f>
        <v>0</v>
      </c>
      <c r="H236">
        <f>VLOOKUP($C236, Egli_UPEC_metadata_provided!$A$2:$M$826, 7, FALSE)</f>
        <v>2</v>
      </c>
      <c r="I236">
        <f>VLOOKUP($C236, Egli_UPEC_metadata_provided!$A$2:$M$826, 8, FALSE)</f>
        <v>92.073820915926206</v>
      </c>
      <c r="J236" t="b">
        <f>VLOOKUP($C236, Egli_UPEC_metadata_provided!$A$2:$M$826, 9, FALSE)</f>
        <v>0</v>
      </c>
      <c r="K236">
        <f>VLOOKUP($C236, Egli_UPEC_metadata_provided!$A$2:$M$826, 10, FALSE)</f>
        <v>0</v>
      </c>
      <c r="L236" t="str">
        <f>VLOOKUP($C236, Egli_UPEC_metadata_provided!$A$2:$M$826, 11, FALSE)</f>
        <v>non-invasive</v>
      </c>
      <c r="M236">
        <f>VLOOKUP($C236, Egli_UPEC_metadata_provided!$A$2:$M$826, 12, FALSE)</f>
        <v>0</v>
      </c>
      <c r="N236">
        <f>VLOOKUP($C236, Egli_UPEC_metadata_provided!$A$2:$M$826, 13, FALSE)</f>
        <v>0</v>
      </c>
      <c r="O236">
        <f>VLOOKUP($C236, Egli_UPEC_metadata_provided!$A$2:$N$826, 14, FALSE)</f>
        <v>0</v>
      </c>
    </row>
    <row r="237" spans="1:15" x14ac:dyDescent="0.2">
      <c r="A237" t="s">
        <v>788</v>
      </c>
      <c r="B237" t="s">
        <v>4024</v>
      </c>
      <c r="C237" t="s">
        <v>4024</v>
      </c>
      <c r="D237">
        <f>VLOOKUP($C237, Egli_UPEC_metadata_provided!$A$2:$M$826, 3, FALSE)</f>
        <v>2018</v>
      </c>
      <c r="E237" t="str">
        <f>VLOOKUP($C237, Egli_UPEC_metadata_provided!$A$2:$M$826, 4, FALSE)</f>
        <v>D1</v>
      </c>
      <c r="F237" t="str">
        <f>VLOOKUP($C237, Egli_UPEC_metadata_provided!$A$2:$M$826, 5, FALSE)</f>
        <v>m</v>
      </c>
      <c r="G237">
        <f>VLOOKUP($C237, Egli_UPEC_metadata_provided!$A$2:$M$826, 6, FALSE)</f>
        <v>0</v>
      </c>
      <c r="H237">
        <f>VLOOKUP($C237, Egli_UPEC_metadata_provided!$A$2:$M$826, 7, FALSE)</f>
        <v>1</v>
      </c>
      <c r="I237">
        <f>VLOOKUP($C237, Egli_UPEC_metadata_provided!$A$2:$M$826, 8, FALSE)</f>
        <v>70.4962406015038</v>
      </c>
      <c r="J237" t="b">
        <f>VLOOKUP($C237, Egli_UPEC_metadata_provided!$A$2:$M$826, 9, FALSE)</f>
        <v>0</v>
      </c>
      <c r="K237">
        <f>VLOOKUP($C237, Egli_UPEC_metadata_provided!$A$2:$M$826, 10, FALSE)</f>
        <v>0</v>
      </c>
      <c r="L237" t="str">
        <f>VLOOKUP($C237, Egli_UPEC_metadata_provided!$A$2:$M$826, 11, FALSE)</f>
        <v>non-invasive</v>
      </c>
      <c r="M237">
        <f>VLOOKUP($C237, Egli_UPEC_metadata_provided!$A$2:$M$826, 12, FALSE)</f>
        <v>1</v>
      </c>
      <c r="N237">
        <f>VLOOKUP($C237, Egli_UPEC_metadata_provided!$A$2:$M$826, 13, FALSE)</f>
        <v>0</v>
      </c>
      <c r="O237">
        <f>VLOOKUP($C237, Egli_UPEC_metadata_provided!$A$2:$N$826, 14, FALSE)</f>
        <v>0</v>
      </c>
    </row>
    <row r="238" spans="1:15" x14ac:dyDescent="0.2">
      <c r="A238" t="s">
        <v>789</v>
      </c>
      <c r="B238" t="s">
        <v>4025</v>
      </c>
      <c r="C238" t="s">
        <v>4025</v>
      </c>
      <c r="D238">
        <f>VLOOKUP($C238, Egli_UPEC_metadata_provided!$A$2:$M$826, 3, FALSE)</f>
        <v>2018</v>
      </c>
      <c r="E238" t="str">
        <f>VLOOKUP($C238, Egli_UPEC_metadata_provided!$A$2:$M$826, 4, FALSE)</f>
        <v>A</v>
      </c>
      <c r="F238" t="str">
        <f>VLOOKUP($C238, Egli_UPEC_metadata_provided!$A$2:$M$826, 5, FALSE)</f>
        <v>w</v>
      </c>
      <c r="G238">
        <f>VLOOKUP($C238, Egli_UPEC_metadata_provided!$A$2:$M$826, 6, FALSE)</f>
        <v>0</v>
      </c>
      <c r="H238">
        <f>VLOOKUP($C238, Egli_UPEC_metadata_provided!$A$2:$M$826, 7, FALSE)</f>
        <v>0</v>
      </c>
      <c r="I238">
        <f>VLOOKUP($C238, Egli_UPEC_metadata_provided!$A$2:$M$826, 8, FALSE)</f>
        <v>89.829118250170893</v>
      </c>
      <c r="J238" t="b">
        <f>VLOOKUP($C238, Egli_UPEC_metadata_provided!$A$2:$M$826, 9, FALSE)</f>
        <v>0</v>
      </c>
      <c r="K238">
        <f>VLOOKUP($C238, Egli_UPEC_metadata_provided!$A$2:$M$826, 10, FALSE)</f>
        <v>0</v>
      </c>
      <c r="L238" t="str">
        <f>VLOOKUP($C238, Egli_UPEC_metadata_provided!$A$2:$M$826, 11, FALSE)</f>
        <v>non-invasive</v>
      </c>
      <c r="M238">
        <f>VLOOKUP($C238, Egli_UPEC_metadata_provided!$A$2:$M$826, 12, FALSE)</f>
        <v>0</v>
      </c>
      <c r="N238">
        <f>VLOOKUP($C238, Egli_UPEC_metadata_provided!$A$2:$M$826, 13, FALSE)</f>
        <v>0</v>
      </c>
      <c r="O238" t="str">
        <f>VLOOKUP($C238, Egli_UPEC_metadata_provided!$A$2:$N$826, 14, FALSE)</f>
        <v>NA</v>
      </c>
    </row>
    <row r="239" spans="1:15" x14ac:dyDescent="0.2">
      <c r="A239" t="s">
        <v>790</v>
      </c>
      <c r="B239" t="s">
        <v>4026</v>
      </c>
      <c r="C239" t="s">
        <v>4026</v>
      </c>
      <c r="D239">
        <f>VLOOKUP($C239, Egli_UPEC_metadata_provided!$A$2:$M$826, 3, FALSE)</f>
        <v>2018</v>
      </c>
      <c r="E239" t="str">
        <f>VLOOKUP($C239, Egli_UPEC_metadata_provided!$A$2:$M$826, 4, FALSE)</f>
        <v>D3</v>
      </c>
      <c r="F239" t="str">
        <f>VLOOKUP($C239, Egli_UPEC_metadata_provided!$A$2:$M$826, 5, FALSE)</f>
        <v>w</v>
      </c>
      <c r="G239">
        <f>VLOOKUP($C239, Egli_UPEC_metadata_provided!$A$2:$M$826, 6, FALSE)</f>
        <v>0</v>
      </c>
      <c r="H239">
        <f>VLOOKUP($C239, Egli_UPEC_metadata_provided!$A$2:$M$826, 7, FALSE)</f>
        <v>2</v>
      </c>
      <c r="I239">
        <f>VLOOKUP($C239, Egli_UPEC_metadata_provided!$A$2:$M$826, 8, FALSE)</f>
        <v>79.466848940533097</v>
      </c>
      <c r="J239" t="b">
        <f>VLOOKUP($C239, Egli_UPEC_metadata_provided!$A$2:$M$826, 9, FALSE)</f>
        <v>0</v>
      </c>
      <c r="K239">
        <f>VLOOKUP($C239, Egli_UPEC_metadata_provided!$A$2:$M$826, 10, FALSE)</f>
        <v>0</v>
      </c>
      <c r="L239" t="str">
        <f>VLOOKUP($C239, Egli_UPEC_metadata_provided!$A$2:$M$826, 11, FALSE)</f>
        <v>non-invasive</v>
      </c>
      <c r="M239">
        <f>VLOOKUP($C239, Egli_UPEC_metadata_provided!$A$2:$M$826, 12, FALSE)</f>
        <v>0</v>
      </c>
      <c r="N239">
        <f>VLOOKUP($C239, Egli_UPEC_metadata_provided!$A$2:$M$826, 13, FALSE)</f>
        <v>0</v>
      </c>
      <c r="O239">
        <f>VLOOKUP($C239, Egli_UPEC_metadata_provided!$A$2:$N$826, 14, FALSE)</f>
        <v>0</v>
      </c>
    </row>
    <row r="240" spans="1:15" x14ac:dyDescent="0.2">
      <c r="A240" t="s">
        <v>791</v>
      </c>
      <c r="B240" t="s">
        <v>4027</v>
      </c>
      <c r="C240" t="s">
        <v>4027</v>
      </c>
      <c r="D240">
        <f>VLOOKUP($C240, Egli_UPEC_metadata_provided!$A$2:$M$826, 3, FALSE)</f>
        <v>2018</v>
      </c>
      <c r="E240" t="str">
        <f>VLOOKUP($C240, Egli_UPEC_metadata_provided!$A$2:$M$826, 4, FALSE)</f>
        <v>B2-2</v>
      </c>
      <c r="F240" t="str">
        <f>VLOOKUP($C240, Egli_UPEC_metadata_provided!$A$2:$M$826, 5, FALSE)</f>
        <v>w</v>
      </c>
      <c r="G240">
        <f>VLOOKUP($C240, Egli_UPEC_metadata_provided!$A$2:$M$826, 6, FALSE)</f>
        <v>0</v>
      </c>
      <c r="H240">
        <f>VLOOKUP($C240, Egli_UPEC_metadata_provided!$A$2:$M$826, 7, FALSE)</f>
        <v>1</v>
      </c>
      <c r="I240">
        <f>VLOOKUP($C240, Egli_UPEC_metadata_provided!$A$2:$M$826, 8, FALSE)</f>
        <v>69.334244702665799</v>
      </c>
      <c r="J240" t="b">
        <f>VLOOKUP($C240, Egli_UPEC_metadata_provided!$A$2:$M$826, 9, FALSE)</f>
        <v>0</v>
      </c>
      <c r="K240">
        <f>VLOOKUP($C240, Egli_UPEC_metadata_provided!$A$2:$M$826, 10, FALSE)</f>
        <v>0</v>
      </c>
      <c r="L240" t="str">
        <f>VLOOKUP($C240, Egli_UPEC_metadata_provided!$A$2:$M$826, 11, FALSE)</f>
        <v>non-invasive</v>
      </c>
      <c r="M240">
        <f>VLOOKUP($C240, Egli_UPEC_metadata_provided!$A$2:$M$826, 12, FALSE)</f>
        <v>0</v>
      </c>
      <c r="N240">
        <f>VLOOKUP($C240, Egli_UPEC_metadata_provided!$A$2:$M$826, 13, FALSE)</f>
        <v>0</v>
      </c>
      <c r="O240" t="str">
        <f>VLOOKUP($C240, Egli_UPEC_metadata_provided!$A$2:$N$826, 14, FALSE)</f>
        <v>NA</v>
      </c>
    </row>
    <row r="241" spans="1:15" x14ac:dyDescent="0.2">
      <c r="A241" t="s">
        <v>792</v>
      </c>
      <c r="B241" t="s">
        <v>4028</v>
      </c>
      <c r="C241" t="s">
        <v>4028</v>
      </c>
      <c r="D241">
        <f>VLOOKUP($C241, Egli_UPEC_metadata_provided!$A$2:$M$826, 3, FALSE)</f>
        <v>2018</v>
      </c>
      <c r="E241" t="str">
        <f>VLOOKUP($C241, Egli_UPEC_metadata_provided!$A$2:$M$826, 4, FALSE)</f>
        <v>B2-1</v>
      </c>
      <c r="F241" t="str">
        <f>VLOOKUP($C241, Egli_UPEC_metadata_provided!$A$2:$M$826, 5, FALSE)</f>
        <v>w</v>
      </c>
      <c r="G241">
        <f>VLOOKUP($C241, Egli_UPEC_metadata_provided!$A$2:$M$826, 6, FALSE)</f>
        <v>0</v>
      </c>
      <c r="H241">
        <f>VLOOKUP($C241, Egli_UPEC_metadata_provided!$A$2:$M$826, 7, FALSE)</f>
        <v>0</v>
      </c>
      <c r="I241">
        <f>VLOOKUP($C241, Egli_UPEC_metadata_provided!$A$2:$M$826, 8, FALSE)</f>
        <v>62.0997949419002</v>
      </c>
      <c r="J241" t="b">
        <f>VLOOKUP($C241, Egli_UPEC_metadata_provided!$A$2:$M$826, 9, FALSE)</f>
        <v>0</v>
      </c>
      <c r="K241">
        <f>VLOOKUP($C241, Egli_UPEC_metadata_provided!$A$2:$M$826, 10, FALSE)</f>
        <v>0</v>
      </c>
      <c r="L241" t="str">
        <f>VLOOKUP($C241, Egli_UPEC_metadata_provided!$A$2:$M$826, 11, FALSE)</f>
        <v>non-invasive</v>
      </c>
      <c r="M241">
        <f>VLOOKUP($C241, Egli_UPEC_metadata_provided!$A$2:$M$826, 12, FALSE)</f>
        <v>0</v>
      </c>
      <c r="N241">
        <f>VLOOKUP($C241, Egli_UPEC_metadata_provided!$A$2:$M$826, 13, FALSE)</f>
        <v>0</v>
      </c>
      <c r="O241">
        <f>VLOOKUP($C241, Egli_UPEC_metadata_provided!$A$2:$N$826, 14, FALSE)</f>
        <v>0</v>
      </c>
    </row>
    <row r="242" spans="1:15" x14ac:dyDescent="0.2">
      <c r="A242" t="s">
        <v>793</v>
      </c>
      <c r="B242" t="s">
        <v>4029</v>
      </c>
      <c r="C242" t="s">
        <v>4029</v>
      </c>
      <c r="D242">
        <f>VLOOKUP($C242, Egli_UPEC_metadata_provided!$A$2:$M$826, 3, FALSE)</f>
        <v>2018</v>
      </c>
      <c r="E242" t="str">
        <f>VLOOKUP($C242, Egli_UPEC_metadata_provided!$A$2:$M$826, 4, FALSE)</f>
        <v>B2-1</v>
      </c>
      <c r="F242" t="str">
        <f>VLOOKUP($C242, Egli_UPEC_metadata_provided!$A$2:$M$826, 5, FALSE)</f>
        <v>m</v>
      </c>
      <c r="G242">
        <f>VLOOKUP($C242, Egli_UPEC_metadata_provided!$A$2:$M$826, 6, FALSE)</f>
        <v>0</v>
      </c>
      <c r="H242">
        <f>VLOOKUP($C242, Egli_UPEC_metadata_provided!$A$2:$M$826, 7, FALSE)</f>
        <v>5</v>
      </c>
      <c r="I242">
        <f>VLOOKUP($C242, Egli_UPEC_metadata_provided!$A$2:$M$826, 8, FALSE)</f>
        <v>61.5885167464115</v>
      </c>
      <c r="J242" t="b">
        <f>VLOOKUP($C242, Egli_UPEC_metadata_provided!$A$2:$M$826, 9, FALSE)</f>
        <v>0</v>
      </c>
      <c r="K242">
        <f>VLOOKUP($C242, Egli_UPEC_metadata_provided!$A$2:$M$826, 10, FALSE)</f>
        <v>0</v>
      </c>
      <c r="L242" t="str">
        <f>VLOOKUP($C242, Egli_UPEC_metadata_provided!$A$2:$M$826, 11, FALSE)</f>
        <v>non-invasive</v>
      </c>
      <c r="M242">
        <f>VLOOKUP($C242, Egli_UPEC_metadata_provided!$A$2:$M$826, 12, FALSE)</f>
        <v>0</v>
      </c>
      <c r="N242">
        <f>VLOOKUP($C242, Egli_UPEC_metadata_provided!$A$2:$M$826, 13, FALSE)</f>
        <v>0</v>
      </c>
      <c r="O242" t="str">
        <f>VLOOKUP($C242, Egli_UPEC_metadata_provided!$A$2:$N$826, 14, FALSE)</f>
        <v>NA</v>
      </c>
    </row>
    <row r="243" spans="1:15" x14ac:dyDescent="0.2">
      <c r="A243" t="s">
        <v>794</v>
      </c>
      <c r="B243" t="s">
        <v>4030</v>
      </c>
      <c r="C243" t="s">
        <v>4030</v>
      </c>
      <c r="D243">
        <f>VLOOKUP($C243, Egli_UPEC_metadata_provided!$A$2:$M$826, 3, FALSE)</f>
        <v>2018</v>
      </c>
      <c r="E243" t="str">
        <f>VLOOKUP($C243, Egli_UPEC_metadata_provided!$A$2:$M$826, 4, FALSE)</f>
        <v>B2-2</v>
      </c>
      <c r="F243" t="str">
        <f>VLOOKUP($C243, Egli_UPEC_metadata_provided!$A$2:$M$826, 5, FALSE)</f>
        <v>m</v>
      </c>
      <c r="G243">
        <f>VLOOKUP($C243, Egli_UPEC_metadata_provided!$A$2:$M$826, 6, FALSE)</f>
        <v>0</v>
      </c>
      <c r="H243">
        <f>VLOOKUP($C243, Egli_UPEC_metadata_provided!$A$2:$M$826, 7, FALSE)</f>
        <v>2</v>
      </c>
      <c r="I243">
        <f>VLOOKUP($C243, Egli_UPEC_metadata_provided!$A$2:$M$826, 8, FALSE)</f>
        <v>76.776486671223495</v>
      </c>
      <c r="J243" t="b">
        <f>VLOOKUP($C243, Egli_UPEC_metadata_provided!$A$2:$M$826, 9, FALSE)</f>
        <v>0</v>
      </c>
      <c r="K243" t="str">
        <f>VLOOKUP($C243, Egli_UPEC_metadata_provided!$A$2:$M$826, 10, FALSE)</f>
        <v>NA</v>
      </c>
      <c r="L243" t="str">
        <f>VLOOKUP($C243, Egli_UPEC_metadata_provided!$A$2:$M$826, 11, FALSE)</f>
        <v>non-invasive</v>
      </c>
      <c r="M243">
        <f>VLOOKUP($C243, Egli_UPEC_metadata_provided!$A$2:$M$826, 12, FALSE)</f>
        <v>0</v>
      </c>
      <c r="N243">
        <f>VLOOKUP($C243, Egli_UPEC_metadata_provided!$A$2:$M$826, 13, FALSE)</f>
        <v>0</v>
      </c>
      <c r="O243">
        <f>VLOOKUP($C243, Egli_UPEC_metadata_provided!$A$2:$N$826, 14, FALSE)</f>
        <v>0</v>
      </c>
    </row>
    <row r="244" spans="1:15" x14ac:dyDescent="0.2">
      <c r="A244" t="s">
        <v>795</v>
      </c>
      <c r="B244" t="s">
        <v>4031</v>
      </c>
      <c r="C244" t="s">
        <v>4031</v>
      </c>
      <c r="D244">
        <f>VLOOKUP($C244, Egli_UPEC_metadata_provided!$A$2:$M$826, 3, FALSE)</f>
        <v>2018</v>
      </c>
      <c r="E244" t="str">
        <f>VLOOKUP($C244, Egli_UPEC_metadata_provided!$A$2:$M$826, 4, FALSE)</f>
        <v>B2-1</v>
      </c>
      <c r="F244" t="str">
        <f>VLOOKUP($C244, Egli_UPEC_metadata_provided!$A$2:$M$826, 5, FALSE)</f>
        <v>m</v>
      </c>
      <c r="G244">
        <f>VLOOKUP($C244, Egli_UPEC_metadata_provided!$A$2:$M$826, 6, FALSE)</f>
        <v>0</v>
      </c>
      <c r="H244">
        <f>VLOOKUP($C244, Egli_UPEC_metadata_provided!$A$2:$M$826, 7, FALSE)</f>
        <v>0</v>
      </c>
      <c r="I244">
        <f>VLOOKUP($C244, Egli_UPEC_metadata_provided!$A$2:$M$826, 8, FALSE)</f>
        <v>61.465481886534498</v>
      </c>
      <c r="J244" t="b">
        <f>VLOOKUP($C244, Egli_UPEC_metadata_provided!$A$2:$M$826, 9, FALSE)</f>
        <v>0</v>
      </c>
      <c r="K244">
        <f>VLOOKUP($C244, Egli_UPEC_metadata_provided!$A$2:$M$826, 10, FALSE)</f>
        <v>0</v>
      </c>
      <c r="L244" t="str">
        <f>VLOOKUP($C244, Egli_UPEC_metadata_provided!$A$2:$M$826, 11, FALSE)</f>
        <v>non-invasive</v>
      </c>
      <c r="M244">
        <f>VLOOKUP($C244, Egli_UPEC_metadata_provided!$A$2:$M$826, 12, FALSE)</f>
        <v>0</v>
      </c>
      <c r="N244">
        <f>VLOOKUP($C244, Egli_UPEC_metadata_provided!$A$2:$M$826, 13, FALSE)</f>
        <v>0</v>
      </c>
      <c r="O244">
        <f>VLOOKUP($C244, Egli_UPEC_metadata_provided!$A$2:$N$826, 14, FALSE)</f>
        <v>0</v>
      </c>
    </row>
    <row r="245" spans="1:15" x14ac:dyDescent="0.2">
      <c r="A245" t="s">
        <v>796</v>
      </c>
      <c r="B245" t="s">
        <v>4032</v>
      </c>
      <c r="C245" t="s">
        <v>4032</v>
      </c>
      <c r="D245">
        <f>VLOOKUP($C245, Egli_UPEC_metadata_provided!$A$2:$M$826, 3, FALSE)</f>
        <v>2018</v>
      </c>
      <c r="E245" t="str">
        <f>VLOOKUP($C245, Egli_UPEC_metadata_provided!$A$2:$M$826, 4, FALSE)</f>
        <v>B1</v>
      </c>
      <c r="F245" t="str">
        <f>VLOOKUP($C245, Egli_UPEC_metadata_provided!$A$2:$M$826, 5, FALSE)</f>
        <v>w</v>
      </c>
      <c r="G245">
        <f>VLOOKUP($C245, Egli_UPEC_metadata_provided!$A$2:$M$826, 6, FALSE)</f>
        <v>0</v>
      </c>
      <c r="H245">
        <f>VLOOKUP($C245, Egli_UPEC_metadata_provided!$A$2:$M$826, 7, FALSE)</f>
        <v>0</v>
      </c>
      <c r="I245">
        <f>VLOOKUP($C245, Egli_UPEC_metadata_provided!$A$2:$M$826, 8, FALSE)</f>
        <v>91.384825700615195</v>
      </c>
      <c r="J245" t="b">
        <f>VLOOKUP($C245, Egli_UPEC_metadata_provided!$A$2:$M$826, 9, FALSE)</f>
        <v>0</v>
      </c>
      <c r="K245">
        <f>VLOOKUP($C245, Egli_UPEC_metadata_provided!$A$2:$M$826, 10, FALSE)</f>
        <v>0</v>
      </c>
      <c r="L245" t="str">
        <f>VLOOKUP($C245, Egli_UPEC_metadata_provided!$A$2:$M$826, 11, FALSE)</f>
        <v>non-invasive</v>
      </c>
      <c r="M245">
        <f>VLOOKUP($C245, Egli_UPEC_metadata_provided!$A$2:$M$826, 12, FALSE)</f>
        <v>0</v>
      </c>
      <c r="N245">
        <f>VLOOKUP($C245, Egli_UPEC_metadata_provided!$A$2:$M$826, 13, FALSE)</f>
        <v>0</v>
      </c>
      <c r="O245">
        <f>VLOOKUP($C245, Egli_UPEC_metadata_provided!$A$2:$N$826, 14, FALSE)</f>
        <v>0</v>
      </c>
    </row>
    <row r="246" spans="1:15" x14ac:dyDescent="0.2">
      <c r="A246" t="s">
        <v>797</v>
      </c>
      <c r="B246" t="s">
        <v>4033</v>
      </c>
      <c r="C246" t="s">
        <v>4033</v>
      </c>
      <c r="D246">
        <f>VLOOKUP($C246, Egli_UPEC_metadata_provided!$A$2:$M$826, 3, FALSE)</f>
        <v>2018</v>
      </c>
      <c r="E246" t="str">
        <f>VLOOKUP($C246, Egli_UPEC_metadata_provided!$A$2:$M$826, 4, FALSE)</f>
        <v>B2-2</v>
      </c>
      <c r="F246" t="str">
        <f>VLOOKUP($C246, Egli_UPEC_metadata_provided!$A$2:$M$826, 5, FALSE)</f>
        <v>w</v>
      </c>
      <c r="G246">
        <f>VLOOKUP($C246, Egli_UPEC_metadata_provided!$A$2:$M$826, 6, FALSE)</f>
        <v>0</v>
      </c>
      <c r="H246">
        <f>VLOOKUP($C246, Egli_UPEC_metadata_provided!$A$2:$M$826, 7, FALSE)</f>
        <v>0</v>
      </c>
      <c r="I246">
        <f>VLOOKUP($C246, Egli_UPEC_metadata_provided!$A$2:$M$826, 8, FALSE)</f>
        <v>84.489405331510596</v>
      </c>
      <c r="J246" t="b">
        <f>VLOOKUP($C246, Egli_UPEC_metadata_provided!$A$2:$M$826, 9, FALSE)</f>
        <v>0</v>
      </c>
      <c r="K246">
        <f>VLOOKUP($C246, Egli_UPEC_metadata_provided!$A$2:$M$826, 10, FALSE)</f>
        <v>0</v>
      </c>
      <c r="L246" t="str">
        <f>VLOOKUP($C246, Egli_UPEC_metadata_provided!$A$2:$M$826, 11, FALSE)</f>
        <v>non-invasive</v>
      </c>
      <c r="M246">
        <f>VLOOKUP($C246, Egli_UPEC_metadata_provided!$A$2:$M$826, 12, FALSE)</f>
        <v>0</v>
      </c>
      <c r="N246">
        <f>VLOOKUP($C246, Egli_UPEC_metadata_provided!$A$2:$M$826, 13, FALSE)</f>
        <v>0</v>
      </c>
      <c r="O246">
        <f>VLOOKUP($C246, Egli_UPEC_metadata_provided!$A$2:$N$826, 14, FALSE)</f>
        <v>0</v>
      </c>
    </row>
    <row r="247" spans="1:15" x14ac:dyDescent="0.2">
      <c r="A247" t="s">
        <v>798</v>
      </c>
      <c r="B247" t="s">
        <v>4034</v>
      </c>
      <c r="C247" t="s">
        <v>4034</v>
      </c>
      <c r="D247">
        <f>VLOOKUP($C247, Egli_UPEC_metadata_provided!$A$2:$M$826, 3, FALSE)</f>
        <v>2018</v>
      </c>
      <c r="E247" t="str">
        <f>VLOOKUP($C247, Egli_UPEC_metadata_provided!$A$2:$M$826, 4, FALSE)</f>
        <v>B2-2</v>
      </c>
      <c r="F247" t="str">
        <f>VLOOKUP($C247, Egli_UPEC_metadata_provided!$A$2:$M$826, 5, FALSE)</f>
        <v>w</v>
      </c>
      <c r="G247">
        <f>VLOOKUP($C247, Egli_UPEC_metadata_provided!$A$2:$M$826, 6, FALSE)</f>
        <v>0</v>
      </c>
      <c r="H247">
        <f>VLOOKUP($C247, Egli_UPEC_metadata_provided!$A$2:$M$826, 7, FALSE)</f>
        <v>0</v>
      </c>
      <c r="I247">
        <f>VLOOKUP($C247, Egli_UPEC_metadata_provided!$A$2:$M$826, 8, FALSE)</f>
        <v>78.698564593301398</v>
      </c>
      <c r="J247" t="b">
        <f>VLOOKUP($C247, Egli_UPEC_metadata_provided!$A$2:$M$826, 9, FALSE)</f>
        <v>0</v>
      </c>
      <c r="K247">
        <f>VLOOKUP($C247, Egli_UPEC_metadata_provided!$A$2:$M$826, 10, FALSE)</f>
        <v>0</v>
      </c>
      <c r="L247" t="str">
        <f>VLOOKUP($C247, Egli_UPEC_metadata_provided!$A$2:$M$826, 11, FALSE)</f>
        <v>non-invasive</v>
      </c>
      <c r="M247">
        <f>VLOOKUP($C247, Egli_UPEC_metadata_provided!$A$2:$M$826, 12, FALSE)</f>
        <v>0</v>
      </c>
      <c r="N247">
        <f>VLOOKUP($C247, Egli_UPEC_metadata_provided!$A$2:$M$826, 13, FALSE)</f>
        <v>0</v>
      </c>
      <c r="O247">
        <f>VLOOKUP($C247, Egli_UPEC_metadata_provided!$A$2:$N$826, 14, FALSE)</f>
        <v>0</v>
      </c>
    </row>
    <row r="248" spans="1:15" x14ac:dyDescent="0.2">
      <c r="A248" t="s">
        <v>799</v>
      </c>
      <c r="B248" t="s">
        <v>4035</v>
      </c>
      <c r="C248" t="s">
        <v>4035</v>
      </c>
      <c r="D248">
        <f>VLOOKUP($C248, Egli_UPEC_metadata_provided!$A$2:$M$826, 3, FALSE)</f>
        <v>2018</v>
      </c>
      <c r="E248" t="str">
        <f>VLOOKUP($C248, Egli_UPEC_metadata_provided!$A$2:$M$826, 4, FALSE)</f>
        <v>B2-2</v>
      </c>
      <c r="F248" t="str">
        <f>VLOOKUP($C248, Egli_UPEC_metadata_provided!$A$2:$M$826, 5, FALSE)</f>
        <v>w</v>
      </c>
      <c r="G248">
        <f>VLOOKUP($C248, Egli_UPEC_metadata_provided!$A$2:$M$826, 6, FALSE)</f>
        <v>0</v>
      </c>
      <c r="H248">
        <f>VLOOKUP($C248, Egli_UPEC_metadata_provided!$A$2:$M$826, 7, FALSE)</f>
        <v>1</v>
      </c>
      <c r="I248">
        <f>VLOOKUP($C248, Egli_UPEC_metadata_provided!$A$2:$M$826, 8, FALSE)</f>
        <v>91.2344497607656</v>
      </c>
      <c r="J248" t="b">
        <f>VLOOKUP($C248, Egli_UPEC_metadata_provided!$A$2:$M$826, 9, FALSE)</f>
        <v>0</v>
      </c>
      <c r="K248">
        <f>VLOOKUP($C248, Egli_UPEC_metadata_provided!$A$2:$M$826, 10, FALSE)</f>
        <v>0</v>
      </c>
      <c r="L248" t="str">
        <f>VLOOKUP($C248, Egli_UPEC_metadata_provided!$A$2:$M$826, 11, FALSE)</f>
        <v>non-invasive</v>
      </c>
      <c r="M248">
        <f>VLOOKUP($C248, Egli_UPEC_metadata_provided!$A$2:$M$826, 12, FALSE)</f>
        <v>0</v>
      </c>
      <c r="N248">
        <f>VLOOKUP($C248, Egli_UPEC_metadata_provided!$A$2:$M$826, 13, FALSE)</f>
        <v>0</v>
      </c>
      <c r="O248">
        <f>VLOOKUP($C248, Egli_UPEC_metadata_provided!$A$2:$N$826, 14, FALSE)</f>
        <v>0</v>
      </c>
    </row>
    <row r="249" spans="1:15" x14ac:dyDescent="0.2">
      <c r="A249" t="s">
        <v>800</v>
      </c>
      <c r="B249" t="s">
        <v>4036</v>
      </c>
      <c r="C249" t="s">
        <v>4036</v>
      </c>
      <c r="D249">
        <f>VLOOKUP($C249, Egli_UPEC_metadata_provided!$A$2:$M$826, 3, FALSE)</f>
        <v>2018</v>
      </c>
      <c r="E249" t="str">
        <f>VLOOKUP($C249, Egli_UPEC_metadata_provided!$A$2:$M$826, 4, FALSE)</f>
        <v>B2-2</v>
      </c>
      <c r="F249" t="str">
        <f>VLOOKUP($C249, Egli_UPEC_metadata_provided!$A$2:$M$826, 5, FALSE)</f>
        <v>w</v>
      </c>
      <c r="G249">
        <f>VLOOKUP($C249, Egli_UPEC_metadata_provided!$A$2:$M$826, 6, FALSE)</f>
        <v>0</v>
      </c>
      <c r="H249">
        <f>VLOOKUP($C249, Egli_UPEC_metadata_provided!$A$2:$M$826, 7, FALSE)</f>
        <v>0</v>
      </c>
      <c r="I249">
        <f>VLOOKUP($C249, Egli_UPEC_metadata_provided!$A$2:$M$826, 8, FALSE)</f>
        <v>57.419002050581</v>
      </c>
      <c r="J249" t="b">
        <f>VLOOKUP($C249, Egli_UPEC_metadata_provided!$A$2:$M$826, 9, FALSE)</f>
        <v>0</v>
      </c>
      <c r="K249">
        <f>VLOOKUP($C249, Egli_UPEC_metadata_provided!$A$2:$M$826, 10, FALSE)</f>
        <v>0</v>
      </c>
      <c r="L249" t="str">
        <f>VLOOKUP($C249, Egli_UPEC_metadata_provided!$A$2:$M$826, 11, FALSE)</f>
        <v>non-invasive</v>
      </c>
      <c r="M249">
        <f>VLOOKUP($C249, Egli_UPEC_metadata_provided!$A$2:$M$826, 12, FALSE)</f>
        <v>0</v>
      </c>
      <c r="N249">
        <f>VLOOKUP($C249, Egli_UPEC_metadata_provided!$A$2:$M$826, 13, FALSE)</f>
        <v>0</v>
      </c>
      <c r="O249">
        <f>VLOOKUP($C249, Egli_UPEC_metadata_provided!$A$2:$N$826, 14, FALSE)</f>
        <v>1</v>
      </c>
    </row>
    <row r="250" spans="1:15" x14ac:dyDescent="0.2">
      <c r="A250" t="s">
        <v>801</v>
      </c>
      <c r="B250" t="s">
        <v>4037</v>
      </c>
      <c r="C250" t="s">
        <v>4037</v>
      </c>
      <c r="D250">
        <f>VLOOKUP($C250, Egli_UPEC_metadata_provided!$A$2:$M$826, 3, FALSE)</f>
        <v>2018</v>
      </c>
      <c r="E250" t="str">
        <f>VLOOKUP($C250, Egli_UPEC_metadata_provided!$A$2:$M$826, 4, FALSE)</f>
        <v>B2-2</v>
      </c>
      <c r="F250" t="str">
        <f>VLOOKUP($C250, Egli_UPEC_metadata_provided!$A$2:$M$826, 5, FALSE)</f>
        <v>w</v>
      </c>
      <c r="G250">
        <f>VLOOKUP($C250, Egli_UPEC_metadata_provided!$A$2:$M$826, 6, FALSE)</f>
        <v>0</v>
      </c>
      <c r="H250">
        <f>VLOOKUP($C250, Egli_UPEC_metadata_provided!$A$2:$M$826, 7, FALSE)</f>
        <v>0</v>
      </c>
      <c r="I250">
        <f>VLOOKUP($C250, Egli_UPEC_metadata_provided!$A$2:$M$826, 8, FALSE)</f>
        <v>20.194121667805899</v>
      </c>
      <c r="J250" t="b">
        <f>VLOOKUP($C250, Egli_UPEC_metadata_provided!$A$2:$M$826, 9, FALSE)</f>
        <v>0</v>
      </c>
      <c r="K250">
        <f>VLOOKUP($C250, Egli_UPEC_metadata_provided!$A$2:$M$826, 10, FALSE)</f>
        <v>0</v>
      </c>
      <c r="L250" t="str">
        <f>VLOOKUP($C250, Egli_UPEC_metadata_provided!$A$2:$M$826, 11, FALSE)</f>
        <v>non-invasive</v>
      </c>
      <c r="M250">
        <f>VLOOKUP($C250, Egli_UPEC_metadata_provided!$A$2:$M$826, 12, FALSE)</f>
        <v>0</v>
      </c>
      <c r="N250">
        <f>VLOOKUP($C250, Egli_UPEC_metadata_provided!$A$2:$M$826, 13, FALSE)</f>
        <v>0</v>
      </c>
      <c r="O250">
        <f>VLOOKUP($C250, Egli_UPEC_metadata_provided!$A$2:$N$826, 14, FALSE)</f>
        <v>1</v>
      </c>
    </row>
    <row r="251" spans="1:15" x14ac:dyDescent="0.2">
      <c r="A251" t="s">
        <v>802</v>
      </c>
      <c r="B251" t="s">
        <v>4038</v>
      </c>
      <c r="C251" t="s">
        <v>4038</v>
      </c>
      <c r="D251">
        <f>VLOOKUP($C251, Egli_UPEC_metadata_provided!$A$2:$M$826, 3, FALSE)</f>
        <v>2018</v>
      </c>
      <c r="E251" t="str">
        <f>VLOOKUP($C251, Egli_UPEC_metadata_provided!$A$2:$M$826, 4, FALSE)</f>
        <v>B2-2</v>
      </c>
      <c r="F251" t="str">
        <f>VLOOKUP($C251, Egli_UPEC_metadata_provided!$A$2:$M$826, 5, FALSE)</f>
        <v>w</v>
      </c>
      <c r="G251" t="str">
        <f>VLOOKUP($C251, Egli_UPEC_metadata_provided!$A$2:$M$826, 6, FALSE)</f>
        <v>NA</v>
      </c>
      <c r="H251" t="str">
        <f>VLOOKUP($C251, Egli_UPEC_metadata_provided!$A$2:$M$826, 7, FALSE)</f>
        <v>NA</v>
      </c>
      <c r="I251">
        <f>VLOOKUP($C251, Egli_UPEC_metadata_provided!$A$2:$M$826, 8, FALSE)</f>
        <v>40.675324675324703</v>
      </c>
      <c r="J251" t="b">
        <f>VLOOKUP($C251, Egli_UPEC_metadata_provided!$A$2:$M$826, 9, FALSE)</f>
        <v>0</v>
      </c>
      <c r="K251">
        <f>VLOOKUP($C251, Egli_UPEC_metadata_provided!$A$2:$M$826, 10, FALSE)</f>
        <v>0</v>
      </c>
      <c r="L251" t="str">
        <f>VLOOKUP($C251, Egli_UPEC_metadata_provided!$A$2:$M$826, 11, FALSE)</f>
        <v>non-invasive</v>
      </c>
      <c r="M251" t="str">
        <f>VLOOKUP($C251, Egli_UPEC_metadata_provided!$A$2:$M$826, 12, FALSE)</f>
        <v>NA</v>
      </c>
      <c r="N251" t="str">
        <f>VLOOKUP($C251, Egli_UPEC_metadata_provided!$A$2:$M$826, 13, FALSE)</f>
        <v>NA</v>
      </c>
      <c r="O251" t="str">
        <f>VLOOKUP($C251, Egli_UPEC_metadata_provided!$A$2:$N$826, 14, FALSE)</f>
        <v>NA</v>
      </c>
    </row>
    <row r="252" spans="1:15" x14ac:dyDescent="0.2">
      <c r="A252" t="s">
        <v>803</v>
      </c>
      <c r="B252" t="s">
        <v>4039</v>
      </c>
      <c r="C252" t="s">
        <v>4039</v>
      </c>
      <c r="D252">
        <f>VLOOKUP($C252, Egli_UPEC_metadata_provided!$A$2:$M$826, 3, FALSE)</f>
        <v>2018</v>
      </c>
      <c r="E252" t="str">
        <f>VLOOKUP($C252, Egli_UPEC_metadata_provided!$A$2:$M$826, 4, FALSE)</f>
        <v>A</v>
      </c>
      <c r="F252" t="str">
        <f>VLOOKUP($C252, Egli_UPEC_metadata_provided!$A$2:$M$826, 5, FALSE)</f>
        <v>w</v>
      </c>
      <c r="G252">
        <f>VLOOKUP($C252, Egli_UPEC_metadata_provided!$A$2:$M$826, 6, FALSE)</f>
        <v>0</v>
      </c>
      <c r="H252">
        <f>VLOOKUP($C252, Egli_UPEC_metadata_provided!$A$2:$M$826, 7, FALSE)</f>
        <v>9</v>
      </c>
      <c r="I252">
        <f>VLOOKUP($C252, Egli_UPEC_metadata_provided!$A$2:$M$826, 8, FALSE)</f>
        <v>80.087491455912499</v>
      </c>
      <c r="J252" t="b">
        <f>VLOOKUP($C252, Egli_UPEC_metadata_provided!$A$2:$M$826, 9, FALSE)</f>
        <v>0</v>
      </c>
      <c r="K252">
        <f>VLOOKUP($C252, Egli_UPEC_metadata_provided!$A$2:$M$826, 10, FALSE)</f>
        <v>0</v>
      </c>
      <c r="L252" t="str">
        <f>VLOOKUP($C252, Egli_UPEC_metadata_provided!$A$2:$M$826, 11, FALSE)</f>
        <v>non-invasive</v>
      </c>
      <c r="M252">
        <f>VLOOKUP($C252, Egli_UPEC_metadata_provided!$A$2:$M$826, 12, FALSE)</f>
        <v>0</v>
      </c>
      <c r="N252">
        <f>VLOOKUP($C252, Egli_UPEC_metadata_provided!$A$2:$M$826, 13, FALSE)</f>
        <v>0</v>
      </c>
      <c r="O252" t="str">
        <f>VLOOKUP($C252, Egli_UPEC_metadata_provided!$A$2:$N$826, 14, FALSE)</f>
        <v>NA</v>
      </c>
    </row>
    <row r="253" spans="1:15" x14ac:dyDescent="0.2">
      <c r="A253" t="s">
        <v>804</v>
      </c>
      <c r="B253" t="s">
        <v>4040</v>
      </c>
      <c r="C253" t="s">
        <v>4040</v>
      </c>
      <c r="D253">
        <f>VLOOKUP($C253, Egli_UPEC_metadata_provided!$A$2:$M$826, 3, FALSE)</f>
        <v>2018</v>
      </c>
      <c r="E253" t="str">
        <f>VLOOKUP($C253, Egli_UPEC_metadata_provided!$A$2:$M$826, 4, FALSE)</f>
        <v>B2-2</v>
      </c>
      <c r="F253" t="str">
        <f>VLOOKUP($C253, Egli_UPEC_metadata_provided!$A$2:$M$826, 5, FALSE)</f>
        <v>w</v>
      </c>
      <c r="G253">
        <f>VLOOKUP($C253, Egli_UPEC_metadata_provided!$A$2:$M$826, 6, FALSE)</f>
        <v>0</v>
      </c>
      <c r="H253">
        <f>VLOOKUP($C253, Egli_UPEC_metadata_provided!$A$2:$M$826, 7, FALSE)</f>
        <v>1</v>
      </c>
      <c r="I253">
        <f>VLOOKUP($C253, Egli_UPEC_metadata_provided!$A$2:$M$826, 8, FALSE)</f>
        <v>87.155160628844797</v>
      </c>
      <c r="J253" t="b">
        <f>VLOOKUP($C253, Egli_UPEC_metadata_provided!$A$2:$M$826, 9, FALSE)</f>
        <v>0</v>
      </c>
      <c r="K253">
        <f>VLOOKUP($C253, Egli_UPEC_metadata_provided!$A$2:$M$826, 10, FALSE)</f>
        <v>0</v>
      </c>
      <c r="L253" t="str">
        <f>VLOOKUP($C253, Egli_UPEC_metadata_provided!$A$2:$M$826, 11, FALSE)</f>
        <v>non-invasive</v>
      </c>
      <c r="M253">
        <f>VLOOKUP($C253, Egli_UPEC_metadata_provided!$A$2:$M$826, 12, FALSE)</f>
        <v>0</v>
      </c>
      <c r="N253">
        <f>VLOOKUP($C253, Egli_UPEC_metadata_provided!$A$2:$M$826, 13, FALSE)</f>
        <v>0</v>
      </c>
      <c r="O253">
        <f>VLOOKUP($C253, Egli_UPEC_metadata_provided!$A$2:$N$826, 14, FALSE)</f>
        <v>0</v>
      </c>
    </row>
    <row r="254" spans="1:15" x14ac:dyDescent="0.2">
      <c r="A254" t="s">
        <v>805</v>
      </c>
      <c r="B254" t="s">
        <v>4041</v>
      </c>
      <c r="C254" t="s">
        <v>4041</v>
      </c>
      <c r="D254">
        <f>VLOOKUP($C254, Egli_UPEC_metadata_provided!$A$2:$M$826, 3, FALSE)</f>
        <v>2018</v>
      </c>
      <c r="E254" t="str">
        <f>VLOOKUP($C254, Egli_UPEC_metadata_provided!$A$2:$M$826, 4, FALSE)</f>
        <v>D2</v>
      </c>
      <c r="F254" t="str">
        <f>VLOOKUP($C254, Egli_UPEC_metadata_provided!$A$2:$M$826, 5, FALSE)</f>
        <v>w</v>
      </c>
      <c r="G254">
        <f>VLOOKUP($C254, Egli_UPEC_metadata_provided!$A$2:$M$826, 6, FALSE)</f>
        <v>0</v>
      </c>
      <c r="H254">
        <f>VLOOKUP($C254, Egli_UPEC_metadata_provided!$A$2:$M$826, 7, FALSE)</f>
        <v>0</v>
      </c>
      <c r="I254">
        <f>VLOOKUP($C254, Egli_UPEC_metadata_provided!$A$2:$M$826, 8, FALSE)</f>
        <v>90.9501025290499</v>
      </c>
      <c r="J254" t="b">
        <f>VLOOKUP($C254, Egli_UPEC_metadata_provided!$A$2:$M$826, 9, FALSE)</f>
        <v>0</v>
      </c>
      <c r="K254">
        <f>VLOOKUP($C254, Egli_UPEC_metadata_provided!$A$2:$M$826, 10, FALSE)</f>
        <v>0</v>
      </c>
      <c r="L254" t="str">
        <f>VLOOKUP($C254, Egli_UPEC_metadata_provided!$A$2:$M$826, 11, FALSE)</f>
        <v>non-invasive</v>
      </c>
      <c r="M254">
        <f>VLOOKUP($C254, Egli_UPEC_metadata_provided!$A$2:$M$826, 12, FALSE)</f>
        <v>0</v>
      </c>
      <c r="N254">
        <f>VLOOKUP($C254, Egli_UPEC_metadata_provided!$A$2:$M$826, 13, FALSE)</f>
        <v>0</v>
      </c>
      <c r="O254">
        <f>VLOOKUP($C254, Egli_UPEC_metadata_provided!$A$2:$N$826, 14, FALSE)</f>
        <v>0</v>
      </c>
    </row>
    <row r="255" spans="1:15" x14ac:dyDescent="0.2">
      <c r="A255" t="s">
        <v>806</v>
      </c>
      <c r="B255" t="s">
        <v>4042</v>
      </c>
      <c r="C255" t="s">
        <v>4042</v>
      </c>
      <c r="D255">
        <f>VLOOKUP($C255, Egli_UPEC_metadata_provided!$A$2:$M$826, 3, FALSE)</f>
        <v>2018</v>
      </c>
      <c r="E255" t="str">
        <f>VLOOKUP($C255, Egli_UPEC_metadata_provided!$A$2:$M$826, 4, FALSE)</f>
        <v>B2-2</v>
      </c>
      <c r="F255" t="str">
        <f>VLOOKUP($C255, Egli_UPEC_metadata_provided!$A$2:$M$826, 5, FALSE)</f>
        <v>m</v>
      </c>
      <c r="G255">
        <f>VLOOKUP($C255, Egli_UPEC_metadata_provided!$A$2:$M$826, 6, FALSE)</f>
        <v>0</v>
      </c>
      <c r="H255">
        <f>VLOOKUP($C255, Egli_UPEC_metadata_provided!$A$2:$M$826, 7, FALSE)</f>
        <v>4</v>
      </c>
      <c r="I255">
        <f>VLOOKUP($C255, Egli_UPEC_metadata_provided!$A$2:$M$826, 8, FALSE)</f>
        <v>66.416951469583097</v>
      </c>
      <c r="J255" t="b">
        <f>VLOOKUP($C255, Egli_UPEC_metadata_provided!$A$2:$M$826, 9, FALSE)</f>
        <v>0</v>
      </c>
      <c r="K255">
        <f>VLOOKUP($C255, Egli_UPEC_metadata_provided!$A$2:$M$826, 10, FALSE)</f>
        <v>0</v>
      </c>
      <c r="L255" t="str">
        <f>VLOOKUP($C255, Egli_UPEC_metadata_provided!$A$2:$M$826, 11, FALSE)</f>
        <v>non-invasive</v>
      </c>
      <c r="M255">
        <f>VLOOKUP($C255, Egli_UPEC_metadata_provided!$A$2:$M$826, 12, FALSE)</f>
        <v>0</v>
      </c>
      <c r="N255">
        <f>VLOOKUP($C255, Egli_UPEC_metadata_provided!$A$2:$M$826, 13, FALSE)</f>
        <v>0</v>
      </c>
      <c r="O255">
        <f>VLOOKUP($C255, Egli_UPEC_metadata_provided!$A$2:$N$826, 14, FALSE)</f>
        <v>0</v>
      </c>
    </row>
    <row r="256" spans="1:15" x14ac:dyDescent="0.2">
      <c r="A256" t="s">
        <v>807</v>
      </c>
      <c r="B256" t="s">
        <v>4043</v>
      </c>
      <c r="C256" t="s">
        <v>4043</v>
      </c>
      <c r="D256">
        <f>VLOOKUP($C256, Egli_UPEC_metadata_provided!$A$2:$M$826, 3, FALSE)</f>
        <v>2018</v>
      </c>
      <c r="E256" t="str">
        <f>VLOOKUP($C256, Egli_UPEC_metadata_provided!$A$2:$M$826, 4, FALSE)</f>
        <v>B2-2</v>
      </c>
      <c r="F256" t="str">
        <f>VLOOKUP($C256, Egli_UPEC_metadata_provided!$A$2:$M$826, 5, FALSE)</f>
        <v>w</v>
      </c>
      <c r="G256">
        <f>VLOOKUP($C256, Egli_UPEC_metadata_provided!$A$2:$M$826, 6, FALSE)</f>
        <v>0</v>
      </c>
      <c r="H256">
        <f>VLOOKUP($C256, Egli_UPEC_metadata_provided!$A$2:$M$826, 7, FALSE)</f>
        <v>3</v>
      </c>
      <c r="I256">
        <f>VLOOKUP($C256, Egli_UPEC_metadata_provided!$A$2:$M$826, 8, FALSE)</f>
        <v>66.734107997265895</v>
      </c>
      <c r="J256" t="b">
        <f>VLOOKUP($C256, Egli_UPEC_metadata_provided!$A$2:$M$826, 9, FALSE)</f>
        <v>0</v>
      </c>
      <c r="K256">
        <f>VLOOKUP($C256, Egli_UPEC_metadata_provided!$A$2:$M$826, 10, FALSE)</f>
        <v>0</v>
      </c>
      <c r="L256" t="str">
        <f>VLOOKUP($C256, Egli_UPEC_metadata_provided!$A$2:$M$826, 11, FALSE)</f>
        <v>non-invasive</v>
      </c>
      <c r="M256">
        <f>VLOOKUP($C256, Egli_UPEC_metadata_provided!$A$2:$M$826, 12, FALSE)</f>
        <v>0</v>
      </c>
      <c r="N256">
        <f>VLOOKUP($C256, Egli_UPEC_metadata_provided!$A$2:$M$826, 13, FALSE)</f>
        <v>0</v>
      </c>
      <c r="O256">
        <f>VLOOKUP($C256, Egli_UPEC_metadata_provided!$A$2:$N$826, 14, FALSE)</f>
        <v>0</v>
      </c>
    </row>
    <row r="257" spans="1:15" x14ac:dyDescent="0.2">
      <c r="A257" t="s">
        <v>808</v>
      </c>
      <c r="B257" t="s">
        <v>4044</v>
      </c>
      <c r="C257" t="s">
        <v>4044</v>
      </c>
      <c r="D257">
        <f>VLOOKUP($C257, Egli_UPEC_metadata_provided!$A$2:$M$826, 3, FALSE)</f>
        <v>2018</v>
      </c>
      <c r="E257" t="str">
        <f>VLOOKUP($C257, Egli_UPEC_metadata_provided!$A$2:$M$826, 4, FALSE)</f>
        <v>D1</v>
      </c>
      <c r="F257" t="str">
        <f>VLOOKUP($C257, Egli_UPEC_metadata_provided!$A$2:$M$826, 5, FALSE)</f>
        <v>w</v>
      </c>
      <c r="G257">
        <f>VLOOKUP($C257, Egli_UPEC_metadata_provided!$A$2:$M$826, 6, FALSE)</f>
        <v>0</v>
      </c>
      <c r="H257">
        <f>VLOOKUP($C257, Egli_UPEC_metadata_provided!$A$2:$M$826, 7, FALSE)</f>
        <v>0</v>
      </c>
      <c r="I257">
        <f>VLOOKUP($C257, Egli_UPEC_metadata_provided!$A$2:$M$826, 8, FALSE)</f>
        <v>46.619275461380703</v>
      </c>
      <c r="J257" t="b">
        <f>VLOOKUP($C257, Egli_UPEC_metadata_provided!$A$2:$M$826, 9, FALSE)</f>
        <v>0</v>
      </c>
      <c r="K257">
        <f>VLOOKUP($C257, Egli_UPEC_metadata_provided!$A$2:$M$826, 10, FALSE)</f>
        <v>0</v>
      </c>
      <c r="L257" t="str">
        <f>VLOOKUP($C257, Egli_UPEC_metadata_provided!$A$2:$M$826, 11, FALSE)</f>
        <v>non-invasive</v>
      </c>
      <c r="M257">
        <f>VLOOKUP($C257, Egli_UPEC_metadata_provided!$A$2:$M$826, 12, FALSE)</f>
        <v>0</v>
      </c>
      <c r="N257">
        <f>VLOOKUP($C257, Egli_UPEC_metadata_provided!$A$2:$M$826, 13, FALSE)</f>
        <v>0</v>
      </c>
      <c r="O257">
        <f>VLOOKUP($C257, Egli_UPEC_metadata_provided!$A$2:$N$826, 14, FALSE)</f>
        <v>1</v>
      </c>
    </row>
    <row r="258" spans="1:15" x14ac:dyDescent="0.2">
      <c r="A258" t="s">
        <v>809</v>
      </c>
      <c r="B258" t="s">
        <v>4045</v>
      </c>
      <c r="C258" t="s">
        <v>4045</v>
      </c>
      <c r="D258">
        <f>VLOOKUP($C258, Egli_UPEC_metadata_provided!$A$2:$M$826, 3, FALSE)</f>
        <v>2018</v>
      </c>
      <c r="E258" t="str">
        <f>VLOOKUP($C258, Egli_UPEC_metadata_provided!$A$2:$M$826, 4, FALSE)</f>
        <v>B2-2</v>
      </c>
      <c r="F258" t="str">
        <f>VLOOKUP($C258, Egli_UPEC_metadata_provided!$A$2:$M$826, 5, FALSE)</f>
        <v>w</v>
      </c>
      <c r="G258" t="str">
        <f>VLOOKUP($C258, Egli_UPEC_metadata_provided!$A$2:$M$826, 6, FALSE)</f>
        <v>NA</v>
      </c>
      <c r="H258">
        <f>VLOOKUP($C258, Egli_UPEC_metadata_provided!$A$2:$M$826, 7, FALSE)</f>
        <v>0</v>
      </c>
      <c r="I258">
        <f>VLOOKUP($C258, Egli_UPEC_metadata_provided!$A$2:$M$826, 8, FALSE)</f>
        <v>27.177033492823</v>
      </c>
      <c r="J258" t="b">
        <f>VLOOKUP($C258, Egli_UPEC_metadata_provided!$A$2:$M$826, 9, FALSE)</f>
        <v>1</v>
      </c>
      <c r="K258">
        <f>VLOOKUP($C258, Egli_UPEC_metadata_provided!$A$2:$M$826, 10, FALSE)</f>
        <v>0</v>
      </c>
      <c r="L258" t="str">
        <f>VLOOKUP($C258, Egli_UPEC_metadata_provided!$A$2:$M$826, 11, FALSE)</f>
        <v>non-invasive</v>
      </c>
      <c r="M258">
        <f>VLOOKUP($C258, Egli_UPEC_metadata_provided!$A$2:$M$826, 12, FALSE)</f>
        <v>0</v>
      </c>
      <c r="N258">
        <f>VLOOKUP($C258, Egli_UPEC_metadata_provided!$A$2:$M$826, 13, FALSE)</f>
        <v>0</v>
      </c>
      <c r="O258" t="str">
        <f>VLOOKUP($C258, Egli_UPEC_metadata_provided!$A$2:$N$826, 14, FALSE)</f>
        <v>NA</v>
      </c>
    </row>
    <row r="259" spans="1:15" x14ac:dyDescent="0.2">
      <c r="A259" t="s">
        <v>810</v>
      </c>
      <c r="B259" t="s">
        <v>4046</v>
      </c>
      <c r="C259" t="s">
        <v>4046</v>
      </c>
      <c r="D259">
        <f>VLOOKUP($C259, Egli_UPEC_metadata_provided!$A$2:$M$826, 3, FALSE)</f>
        <v>2018</v>
      </c>
      <c r="E259" t="str">
        <f>VLOOKUP($C259, Egli_UPEC_metadata_provided!$A$2:$M$826, 4, FALSE)</f>
        <v>B1</v>
      </c>
      <c r="F259" t="str">
        <f>VLOOKUP($C259, Egli_UPEC_metadata_provided!$A$2:$M$826, 5, FALSE)</f>
        <v>w</v>
      </c>
      <c r="G259">
        <f>VLOOKUP($C259, Egli_UPEC_metadata_provided!$A$2:$M$826, 6, FALSE)</f>
        <v>0</v>
      </c>
      <c r="H259">
        <f>VLOOKUP($C259, Egli_UPEC_metadata_provided!$A$2:$M$826, 7, FALSE)</f>
        <v>0</v>
      </c>
      <c r="I259">
        <f>VLOOKUP($C259, Egli_UPEC_metadata_provided!$A$2:$M$826, 8, FALSE)</f>
        <v>57.170198222829796</v>
      </c>
      <c r="J259" t="b">
        <f>VLOOKUP($C259, Egli_UPEC_metadata_provided!$A$2:$M$826, 9, FALSE)</f>
        <v>0</v>
      </c>
      <c r="K259">
        <f>VLOOKUP($C259, Egli_UPEC_metadata_provided!$A$2:$M$826, 10, FALSE)</f>
        <v>0</v>
      </c>
      <c r="L259" t="str">
        <f>VLOOKUP($C259, Egli_UPEC_metadata_provided!$A$2:$M$826, 11, FALSE)</f>
        <v>non-invasive</v>
      </c>
      <c r="M259">
        <f>VLOOKUP($C259, Egli_UPEC_metadata_provided!$A$2:$M$826, 12, FALSE)</f>
        <v>0</v>
      </c>
      <c r="N259">
        <f>VLOOKUP($C259, Egli_UPEC_metadata_provided!$A$2:$M$826, 13, FALSE)</f>
        <v>0</v>
      </c>
      <c r="O259">
        <f>VLOOKUP($C259, Egli_UPEC_metadata_provided!$A$2:$N$826, 14, FALSE)</f>
        <v>1</v>
      </c>
    </row>
    <row r="260" spans="1:15" x14ac:dyDescent="0.2">
      <c r="A260" t="s">
        <v>811</v>
      </c>
      <c r="B260" t="s">
        <v>4047</v>
      </c>
      <c r="C260" t="s">
        <v>4047</v>
      </c>
      <c r="D260">
        <f>VLOOKUP($C260, Egli_UPEC_metadata_provided!$A$2:$M$826, 3, FALSE)</f>
        <v>2018</v>
      </c>
      <c r="E260" t="str">
        <f>VLOOKUP($C260, Egli_UPEC_metadata_provided!$A$2:$M$826, 4, FALSE)</f>
        <v>D1</v>
      </c>
      <c r="F260" t="str">
        <f>VLOOKUP($C260, Egli_UPEC_metadata_provided!$A$2:$M$826, 5, FALSE)</f>
        <v>w</v>
      </c>
      <c r="G260">
        <f>VLOOKUP($C260, Egli_UPEC_metadata_provided!$A$2:$M$826, 6, FALSE)</f>
        <v>0</v>
      </c>
      <c r="H260">
        <f>VLOOKUP($C260, Egli_UPEC_metadata_provided!$A$2:$M$826, 7, FALSE)</f>
        <v>0</v>
      </c>
      <c r="I260">
        <f>VLOOKUP($C260, Egli_UPEC_metadata_provided!$A$2:$M$826, 8, FALSE)</f>
        <v>31.1059466848941</v>
      </c>
      <c r="J260" t="b">
        <f>VLOOKUP($C260, Egli_UPEC_metadata_provided!$A$2:$M$826, 9, FALSE)</f>
        <v>0</v>
      </c>
      <c r="K260">
        <f>VLOOKUP($C260, Egli_UPEC_metadata_provided!$A$2:$M$826, 10, FALSE)</f>
        <v>0</v>
      </c>
      <c r="L260" t="str">
        <f>VLOOKUP($C260, Egli_UPEC_metadata_provided!$A$2:$M$826, 11, FALSE)</f>
        <v>non-invasive</v>
      </c>
      <c r="M260">
        <f>VLOOKUP($C260, Egli_UPEC_metadata_provided!$A$2:$M$826, 12, FALSE)</f>
        <v>0</v>
      </c>
      <c r="N260">
        <f>VLOOKUP($C260, Egli_UPEC_metadata_provided!$A$2:$M$826, 13, FALSE)</f>
        <v>0</v>
      </c>
      <c r="O260" t="str">
        <f>VLOOKUP($C260, Egli_UPEC_metadata_provided!$A$2:$N$826, 14, FALSE)</f>
        <v>NA</v>
      </c>
    </row>
    <row r="261" spans="1:15" x14ac:dyDescent="0.2">
      <c r="A261" t="s">
        <v>812</v>
      </c>
      <c r="B261" t="s">
        <v>4048</v>
      </c>
      <c r="C261" t="s">
        <v>4048</v>
      </c>
      <c r="D261">
        <f>VLOOKUP($C261, Egli_UPEC_metadata_provided!$A$2:$M$826, 3, FALSE)</f>
        <v>2018</v>
      </c>
      <c r="E261" t="str">
        <f>VLOOKUP($C261, Egli_UPEC_metadata_provided!$A$2:$M$826, 4, FALSE)</f>
        <v>D3</v>
      </c>
      <c r="F261" t="str">
        <f>VLOOKUP($C261, Egli_UPEC_metadata_provided!$A$2:$M$826, 5, FALSE)</f>
        <v>w</v>
      </c>
      <c r="G261">
        <f>VLOOKUP($C261, Egli_UPEC_metadata_provided!$A$2:$M$826, 6, FALSE)</f>
        <v>0</v>
      </c>
      <c r="H261">
        <f>VLOOKUP($C261, Egli_UPEC_metadata_provided!$A$2:$M$826, 7, FALSE)</f>
        <v>3</v>
      </c>
      <c r="I261">
        <f>VLOOKUP($C261, Egli_UPEC_metadata_provided!$A$2:$M$826, 8, FALSE)</f>
        <v>77.110047846889998</v>
      </c>
      <c r="J261" t="b">
        <f>VLOOKUP($C261, Egli_UPEC_metadata_provided!$A$2:$M$826, 9, FALSE)</f>
        <v>0</v>
      </c>
      <c r="K261">
        <f>VLOOKUP($C261, Egli_UPEC_metadata_provided!$A$2:$M$826, 10, FALSE)</f>
        <v>0</v>
      </c>
      <c r="L261" t="str">
        <f>VLOOKUP($C261, Egli_UPEC_metadata_provided!$A$2:$M$826, 11, FALSE)</f>
        <v>non-invasive</v>
      </c>
      <c r="M261">
        <f>VLOOKUP($C261, Egli_UPEC_metadata_provided!$A$2:$M$826, 12, FALSE)</f>
        <v>0</v>
      </c>
      <c r="N261">
        <f>VLOOKUP($C261, Egli_UPEC_metadata_provided!$A$2:$M$826, 13, FALSE)</f>
        <v>0</v>
      </c>
      <c r="O261">
        <f>VLOOKUP($C261, Egli_UPEC_metadata_provided!$A$2:$N$826, 14, FALSE)</f>
        <v>0</v>
      </c>
    </row>
    <row r="262" spans="1:15" x14ac:dyDescent="0.2">
      <c r="A262" t="s">
        <v>813</v>
      </c>
      <c r="B262" t="s">
        <v>4049</v>
      </c>
      <c r="C262" t="s">
        <v>4049</v>
      </c>
      <c r="D262">
        <f>VLOOKUP($C262, Egli_UPEC_metadata_provided!$A$2:$M$826, 3, FALSE)</f>
        <v>2018</v>
      </c>
      <c r="E262" t="str">
        <f>VLOOKUP($C262, Egli_UPEC_metadata_provided!$A$2:$M$826, 4, FALSE)</f>
        <v>A</v>
      </c>
      <c r="F262" t="str">
        <f>VLOOKUP($C262, Egli_UPEC_metadata_provided!$A$2:$M$826, 5, FALSE)</f>
        <v>m</v>
      </c>
      <c r="G262">
        <f>VLOOKUP($C262, Egli_UPEC_metadata_provided!$A$2:$M$826, 6, FALSE)</f>
        <v>0</v>
      </c>
      <c r="H262">
        <f>VLOOKUP($C262, Egli_UPEC_metadata_provided!$A$2:$M$826, 7, FALSE)</f>
        <v>3</v>
      </c>
      <c r="I262">
        <f>VLOOKUP($C262, Egli_UPEC_metadata_provided!$A$2:$M$826, 8, FALSE)</f>
        <v>87.138755980861205</v>
      </c>
      <c r="J262" t="b">
        <f>VLOOKUP($C262, Egli_UPEC_metadata_provided!$A$2:$M$826, 9, FALSE)</f>
        <v>0</v>
      </c>
      <c r="K262">
        <f>VLOOKUP($C262, Egli_UPEC_metadata_provided!$A$2:$M$826, 10, FALSE)</f>
        <v>0</v>
      </c>
      <c r="L262" t="str">
        <f>VLOOKUP($C262, Egli_UPEC_metadata_provided!$A$2:$M$826, 11, FALSE)</f>
        <v>non-invasive</v>
      </c>
      <c r="M262">
        <f>VLOOKUP($C262, Egli_UPEC_metadata_provided!$A$2:$M$826, 12, FALSE)</f>
        <v>0</v>
      </c>
      <c r="N262">
        <f>VLOOKUP($C262, Egli_UPEC_metadata_provided!$A$2:$M$826, 13, FALSE)</f>
        <v>0</v>
      </c>
      <c r="O262">
        <f>VLOOKUP($C262, Egli_UPEC_metadata_provided!$A$2:$N$826, 14, FALSE)</f>
        <v>0</v>
      </c>
    </row>
    <row r="263" spans="1:15" x14ac:dyDescent="0.2">
      <c r="A263" t="s">
        <v>814</v>
      </c>
      <c r="B263" t="s">
        <v>4050</v>
      </c>
      <c r="C263" t="s">
        <v>4050</v>
      </c>
      <c r="D263">
        <f>VLOOKUP($C263, Egli_UPEC_metadata_provided!$A$2:$M$826, 3, FALSE)</f>
        <v>2018</v>
      </c>
      <c r="E263" t="str">
        <f>VLOOKUP($C263, Egli_UPEC_metadata_provided!$A$2:$M$826, 4, FALSE)</f>
        <v>B2-2</v>
      </c>
      <c r="F263" t="str">
        <f>VLOOKUP($C263, Egli_UPEC_metadata_provided!$A$2:$M$826, 5, FALSE)</f>
        <v>w</v>
      </c>
      <c r="G263">
        <f>VLOOKUP($C263, Egli_UPEC_metadata_provided!$A$2:$M$826, 6, FALSE)</f>
        <v>1</v>
      </c>
      <c r="H263">
        <f>VLOOKUP($C263, Egli_UPEC_metadata_provided!$A$2:$M$826, 7, FALSE)</f>
        <v>1</v>
      </c>
      <c r="I263">
        <f>VLOOKUP($C263, Egli_UPEC_metadata_provided!$A$2:$M$826, 8, FALSE)</f>
        <v>84.246069719753905</v>
      </c>
      <c r="J263" t="b">
        <f>VLOOKUP($C263, Egli_UPEC_metadata_provided!$A$2:$M$826, 9, FALSE)</f>
        <v>0</v>
      </c>
      <c r="K263">
        <f>VLOOKUP($C263, Egli_UPEC_metadata_provided!$A$2:$M$826, 10, FALSE)</f>
        <v>0</v>
      </c>
      <c r="L263" t="str">
        <f>VLOOKUP($C263, Egli_UPEC_metadata_provided!$A$2:$M$826, 11, FALSE)</f>
        <v>non-invasive</v>
      </c>
      <c r="M263">
        <f>VLOOKUP($C263, Egli_UPEC_metadata_provided!$A$2:$M$826, 12, FALSE)</f>
        <v>1</v>
      </c>
      <c r="N263">
        <f>VLOOKUP($C263, Egli_UPEC_metadata_provided!$A$2:$M$826, 13, FALSE)</f>
        <v>1</v>
      </c>
      <c r="O263">
        <f>VLOOKUP($C263, Egli_UPEC_metadata_provided!$A$2:$N$826, 14, FALSE)</f>
        <v>0</v>
      </c>
    </row>
    <row r="264" spans="1:15" x14ac:dyDescent="0.2">
      <c r="A264" t="s">
        <v>815</v>
      </c>
      <c r="B264" t="s">
        <v>4051</v>
      </c>
      <c r="C264" t="s">
        <v>4051</v>
      </c>
      <c r="D264">
        <f>VLOOKUP($C264, Egli_UPEC_metadata_provided!$A$2:$M$826, 3, FALSE)</f>
        <v>2018</v>
      </c>
      <c r="E264" t="str">
        <f>VLOOKUP($C264, Egli_UPEC_metadata_provided!$A$2:$M$826, 4, FALSE)</f>
        <v>B2-1</v>
      </c>
      <c r="F264" t="str">
        <f>VLOOKUP($C264, Egli_UPEC_metadata_provided!$A$2:$M$826, 5, FALSE)</f>
        <v>m</v>
      </c>
      <c r="G264">
        <f>VLOOKUP($C264, Egli_UPEC_metadata_provided!$A$2:$M$826, 6, FALSE)</f>
        <v>0</v>
      </c>
      <c r="H264">
        <f>VLOOKUP($C264, Egli_UPEC_metadata_provided!$A$2:$M$826, 7, FALSE)</f>
        <v>6</v>
      </c>
      <c r="I264">
        <f>VLOOKUP($C264, Egli_UPEC_metadata_provided!$A$2:$M$826, 8, FALSE)</f>
        <v>84.371838687628198</v>
      </c>
      <c r="J264" t="b">
        <f>VLOOKUP($C264, Egli_UPEC_metadata_provided!$A$2:$M$826, 9, FALSE)</f>
        <v>0</v>
      </c>
      <c r="K264">
        <f>VLOOKUP($C264, Egli_UPEC_metadata_provided!$A$2:$M$826, 10, FALSE)</f>
        <v>1</v>
      </c>
      <c r="L264" t="str">
        <f>VLOOKUP($C264, Egli_UPEC_metadata_provided!$A$2:$M$826, 11, FALSE)</f>
        <v>non-invasive</v>
      </c>
      <c r="M264">
        <f>VLOOKUP($C264, Egli_UPEC_metadata_provided!$A$2:$M$826, 12, FALSE)</f>
        <v>0</v>
      </c>
      <c r="N264">
        <f>VLOOKUP($C264, Egli_UPEC_metadata_provided!$A$2:$M$826, 13, FALSE)</f>
        <v>0</v>
      </c>
      <c r="O264">
        <f>VLOOKUP($C264, Egli_UPEC_metadata_provided!$A$2:$N$826, 14, FALSE)</f>
        <v>0</v>
      </c>
    </row>
    <row r="265" spans="1:15" x14ac:dyDescent="0.2">
      <c r="A265" t="s">
        <v>816</v>
      </c>
      <c r="B265" t="s">
        <v>4052</v>
      </c>
      <c r="C265" t="s">
        <v>4052</v>
      </c>
      <c r="D265">
        <f>VLOOKUP($C265, Egli_UPEC_metadata_provided!$A$2:$M$826, 3, FALSE)</f>
        <v>2018</v>
      </c>
      <c r="E265" t="str">
        <f>VLOOKUP($C265, Egli_UPEC_metadata_provided!$A$2:$M$826, 4, FALSE)</f>
        <v>B2-2</v>
      </c>
      <c r="F265" t="str">
        <f>VLOOKUP($C265, Egli_UPEC_metadata_provided!$A$2:$M$826, 5, FALSE)</f>
        <v>w</v>
      </c>
      <c r="G265">
        <f>VLOOKUP($C265, Egli_UPEC_metadata_provided!$A$2:$M$826, 6, FALSE)</f>
        <v>0</v>
      </c>
      <c r="H265">
        <f>VLOOKUP($C265, Egli_UPEC_metadata_provided!$A$2:$M$826, 7, FALSE)</f>
        <v>0</v>
      </c>
      <c r="I265">
        <f>VLOOKUP($C265, Egli_UPEC_metadata_provided!$A$2:$M$826, 8, FALSE)</f>
        <v>22.613807245386202</v>
      </c>
      <c r="J265" t="b">
        <f>VLOOKUP($C265, Egli_UPEC_metadata_provided!$A$2:$M$826, 9, FALSE)</f>
        <v>1</v>
      </c>
      <c r="K265">
        <f>VLOOKUP($C265, Egli_UPEC_metadata_provided!$A$2:$M$826, 10, FALSE)</f>
        <v>0</v>
      </c>
      <c r="L265" t="str">
        <f>VLOOKUP($C265, Egli_UPEC_metadata_provided!$A$2:$M$826, 11, FALSE)</f>
        <v>non-invasive</v>
      </c>
      <c r="M265">
        <f>VLOOKUP($C265, Egli_UPEC_metadata_provided!$A$2:$M$826, 12, FALSE)</f>
        <v>0</v>
      </c>
      <c r="N265">
        <f>VLOOKUP($C265, Egli_UPEC_metadata_provided!$A$2:$M$826, 13, FALSE)</f>
        <v>0</v>
      </c>
      <c r="O265">
        <f>VLOOKUP($C265, Egli_UPEC_metadata_provided!$A$2:$N$826, 14, FALSE)</f>
        <v>1</v>
      </c>
    </row>
    <row r="266" spans="1:15" x14ac:dyDescent="0.2">
      <c r="A266" t="s">
        <v>817</v>
      </c>
      <c r="B266" t="s">
        <v>4053</v>
      </c>
      <c r="C266" t="s">
        <v>4053</v>
      </c>
      <c r="D266">
        <f>VLOOKUP($C266, Egli_UPEC_metadata_provided!$A$2:$M$826, 3, FALSE)</f>
        <v>2018</v>
      </c>
      <c r="E266" t="str">
        <f>VLOOKUP($C266, Egli_UPEC_metadata_provided!$A$2:$M$826, 4, FALSE)</f>
        <v>B2-1</v>
      </c>
      <c r="F266" t="str">
        <f>VLOOKUP($C266, Egli_UPEC_metadata_provided!$A$2:$M$826, 5, FALSE)</f>
        <v>m</v>
      </c>
      <c r="G266">
        <f>VLOOKUP($C266, Egli_UPEC_metadata_provided!$A$2:$M$826, 6, FALSE)</f>
        <v>0</v>
      </c>
      <c r="H266">
        <f>VLOOKUP($C266, Egli_UPEC_metadata_provided!$A$2:$M$826, 7, FALSE)</f>
        <v>0</v>
      </c>
      <c r="I266">
        <f>VLOOKUP($C266, Egli_UPEC_metadata_provided!$A$2:$M$826, 8, FALSE)</f>
        <v>79.3766233766234</v>
      </c>
      <c r="J266" t="b">
        <f>VLOOKUP($C266, Egli_UPEC_metadata_provided!$A$2:$M$826, 9, FALSE)</f>
        <v>1</v>
      </c>
      <c r="K266">
        <f>VLOOKUP($C266, Egli_UPEC_metadata_provided!$A$2:$M$826, 10, FALSE)</f>
        <v>1</v>
      </c>
      <c r="L266" t="str">
        <f>VLOOKUP($C266, Egli_UPEC_metadata_provided!$A$2:$M$826, 11, FALSE)</f>
        <v>invasive</v>
      </c>
      <c r="M266">
        <f>VLOOKUP($C266, Egli_UPEC_metadata_provided!$A$2:$M$826, 12, FALSE)</f>
        <v>0</v>
      </c>
      <c r="N266">
        <f>VLOOKUP($C266, Egli_UPEC_metadata_provided!$A$2:$M$826, 13, FALSE)</f>
        <v>0</v>
      </c>
      <c r="O266">
        <f>VLOOKUP($C266, Egli_UPEC_metadata_provided!$A$2:$N$826, 14, FALSE)</f>
        <v>0</v>
      </c>
    </row>
    <row r="267" spans="1:15" x14ac:dyDescent="0.2">
      <c r="A267" t="s">
        <v>818</v>
      </c>
      <c r="B267" t="s">
        <v>4054</v>
      </c>
      <c r="C267" t="s">
        <v>4054</v>
      </c>
      <c r="D267">
        <f>VLOOKUP($C267, Egli_UPEC_metadata_provided!$A$2:$M$826, 3, FALSE)</f>
        <v>2018</v>
      </c>
      <c r="E267" t="str">
        <f>VLOOKUP($C267, Egli_UPEC_metadata_provided!$A$2:$M$826, 4, FALSE)</f>
        <v>B2-2</v>
      </c>
      <c r="F267" t="str">
        <f>VLOOKUP($C267, Egli_UPEC_metadata_provided!$A$2:$M$826, 5, FALSE)</f>
        <v>w</v>
      </c>
      <c r="G267">
        <f>VLOOKUP($C267, Egli_UPEC_metadata_provided!$A$2:$M$826, 6, FALSE)</f>
        <v>0</v>
      </c>
      <c r="H267">
        <f>VLOOKUP($C267, Egli_UPEC_metadata_provided!$A$2:$M$826, 7, FALSE)</f>
        <v>1</v>
      </c>
      <c r="I267">
        <f>VLOOKUP($C267, Egli_UPEC_metadata_provided!$A$2:$M$826, 8, FALSE)</f>
        <v>86.963773069036193</v>
      </c>
      <c r="J267" t="b">
        <f>VLOOKUP($C267, Egli_UPEC_metadata_provided!$A$2:$M$826, 9, FALSE)</f>
        <v>1</v>
      </c>
      <c r="K267">
        <f>VLOOKUP($C267, Egli_UPEC_metadata_provided!$A$2:$M$826, 10, FALSE)</f>
        <v>0</v>
      </c>
      <c r="L267" t="str">
        <f>VLOOKUP($C267, Egli_UPEC_metadata_provided!$A$2:$M$826, 11, FALSE)</f>
        <v>non-invasive</v>
      </c>
      <c r="M267">
        <f>VLOOKUP($C267, Egli_UPEC_metadata_provided!$A$2:$M$826, 12, FALSE)</f>
        <v>0</v>
      </c>
      <c r="N267">
        <f>VLOOKUP($C267, Egli_UPEC_metadata_provided!$A$2:$M$826, 13, FALSE)</f>
        <v>0</v>
      </c>
      <c r="O267">
        <f>VLOOKUP($C267, Egli_UPEC_metadata_provided!$A$2:$N$826, 14, FALSE)</f>
        <v>1</v>
      </c>
    </row>
    <row r="268" spans="1:15" x14ac:dyDescent="0.2">
      <c r="A268" t="s">
        <v>819</v>
      </c>
      <c r="B268" t="s">
        <v>4055</v>
      </c>
      <c r="C268" t="s">
        <v>4055</v>
      </c>
      <c r="D268">
        <f>VLOOKUP($C268, Egli_UPEC_metadata_provided!$A$2:$M$826, 3, FALSE)</f>
        <v>2018</v>
      </c>
      <c r="E268" t="str">
        <f>VLOOKUP($C268, Egli_UPEC_metadata_provided!$A$2:$M$826, 4, FALSE)</f>
        <v>A</v>
      </c>
      <c r="F268" t="str">
        <f>VLOOKUP($C268, Egli_UPEC_metadata_provided!$A$2:$M$826, 5, FALSE)</f>
        <v>w</v>
      </c>
      <c r="G268">
        <f>VLOOKUP($C268, Egli_UPEC_metadata_provided!$A$2:$M$826, 6, FALSE)</f>
        <v>0</v>
      </c>
      <c r="H268">
        <f>VLOOKUP($C268, Egli_UPEC_metadata_provided!$A$2:$M$826, 7, FALSE)</f>
        <v>0</v>
      </c>
      <c r="I268">
        <f>VLOOKUP($C268, Egli_UPEC_metadata_provided!$A$2:$M$826, 8, FALSE)</f>
        <v>71.420369104579606</v>
      </c>
      <c r="J268" t="b">
        <f>VLOOKUP($C268, Egli_UPEC_metadata_provided!$A$2:$M$826, 9, FALSE)</f>
        <v>0</v>
      </c>
      <c r="K268">
        <f>VLOOKUP($C268, Egli_UPEC_metadata_provided!$A$2:$M$826, 10, FALSE)</f>
        <v>0</v>
      </c>
      <c r="L268" t="str">
        <f>VLOOKUP($C268, Egli_UPEC_metadata_provided!$A$2:$M$826, 11, FALSE)</f>
        <v>non-invasive</v>
      </c>
      <c r="M268">
        <f>VLOOKUP($C268, Egli_UPEC_metadata_provided!$A$2:$M$826, 12, FALSE)</f>
        <v>0</v>
      </c>
      <c r="N268">
        <f>VLOOKUP($C268, Egli_UPEC_metadata_provided!$A$2:$M$826, 13, FALSE)</f>
        <v>0</v>
      </c>
      <c r="O268">
        <f>VLOOKUP($C268, Egli_UPEC_metadata_provided!$A$2:$N$826, 14, FALSE)</f>
        <v>1</v>
      </c>
    </row>
    <row r="269" spans="1:15" x14ac:dyDescent="0.2">
      <c r="A269" t="s">
        <v>820</v>
      </c>
      <c r="B269" t="s">
        <v>4056</v>
      </c>
      <c r="C269" t="s">
        <v>4056</v>
      </c>
      <c r="D269">
        <f>VLOOKUP($C269, Egli_UPEC_metadata_provided!$A$2:$M$826, 3, FALSE)</f>
        <v>2018</v>
      </c>
      <c r="E269" t="str">
        <f>VLOOKUP($C269, Egli_UPEC_metadata_provided!$A$2:$M$826, 4, FALSE)</f>
        <v>C</v>
      </c>
      <c r="F269" t="str">
        <f>VLOOKUP($C269, Egli_UPEC_metadata_provided!$A$2:$M$826, 5, FALSE)</f>
        <v>w</v>
      </c>
      <c r="G269">
        <f>VLOOKUP($C269, Egli_UPEC_metadata_provided!$A$2:$M$826, 6, FALSE)</f>
        <v>0</v>
      </c>
      <c r="H269">
        <f>VLOOKUP($C269, Egli_UPEC_metadata_provided!$A$2:$M$826, 7, FALSE)</f>
        <v>6</v>
      </c>
      <c r="I269">
        <f>VLOOKUP($C269, Egli_UPEC_metadata_provided!$A$2:$M$826, 8, FALSE)</f>
        <v>72.041011619958994</v>
      </c>
      <c r="J269" t="b">
        <f>VLOOKUP($C269, Egli_UPEC_metadata_provided!$A$2:$M$826, 9, FALSE)</f>
        <v>0</v>
      </c>
      <c r="K269">
        <f>VLOOKUP($C269, Egli_UPEC_metadata_provided!$A$2:$M$826, 10, FALSE)</f>
        <v>0</v>
      </c>
      <c r="L269" t="str">
        <f>VLOOKUP($C269, Egli_UPEC_metadata_provided!$A$2:$M$826, 11, FALSE)</f>
        <v>non-invasive</v>
      </c>
      <c r="M269">
        <f>VLOOKUP($C269, Egli_UPEC_metadata_provided!$A$2:$M$826, 12, FALSE)</f>
        <v>0</v>
      </c>
      <c r="N269">
        <f>VLOOKUP($C269, Egli_UPEC_metadata_provided!$A$2:$M$826, 13, FALSE)</f>
        <v>0</v>
      </c>
      <c r="O269">
        <f>VLOOKUP($C269, Egli_UPEC_metadata_provided!$A$2:$N$826, 14, FALSE)</f>
        <v>0</v>
      </c>
    </row>
    <row r="270" spans="1:15" x14ac:dyDescent="0.2">
      <c r="A270" t="s">
        <v>821</v>
      </c>
      <c r="B270" t="s">
        <v>4057</v>
      </c>
      <c r="C270" t="s">
        <v>4057</v>
      </c>
      <c r="D270">
        <f>VLOOKUP($C270, Egli_UPEC_metadata_provided!$A$2:$M$826, 3, FALSE)</f>
        <v>2018</v>
      </c>
      <c r="E270" t="str">
        <f>VLOOKUP($C270, Egli_UPEC_metadata_provided!$A$2:$M$826, 4, FALSE)</f>
        <v>A</v>
      </c>
      <c r="F270" t="str">
        <f>VLOOKUP($C270, Egli_UPEC_metadata_provided!$A$2:$M$826, 5, FALSE)</f>
        <v>w</v>
      </c>
      <c r="G270">
        <f>VLOOKUP($C270, Egli_UPEC_metadata_provided!$A$2:$M$826, 6, FALSE)</f>
        <v>0</v>
      </c>
      <c r="H270">
        <f>VLOOKUP($C270, Egli_UPEC_metadata_provided!$A$2:$M$826, 7, FALSE)</f>
        <v>0</v>
      </c>
      <c r="I270">
        <f>VLOOKUP($C270, Egli_UPEC_metadata_provided!$A$2:$M$826, 8, FALSE)</f>
        <v>42.906356801093601</v>
      </c>
      <c r="J270" t="b">
        <f>VLOOKUP($C270, Egli_UPEC_metadata_provided!$A$2:$M$826, 9, FALSE)</f>
        <v>0</v>
      </c>
      <c r="K270">
        <f>VLOOKUP($C270, Egli_UPEC_metadata_provided!$A$2:$M$826, 10, FALSE)</f>
        <v>0</v>
      </c>
      <c r="L270" t="str">
        <f>VLOOKUP($C270, Egli_UPEC_metadata_provided!$A$2:$M$826, 11, FALSE)</f>
        <v>non-invasive</v>
      </c>
      <c r="M270">
        <f>VLOOKUP($C270, Egli_UPEC_metadata_provided!$A$2:$M$826, 12, FALSE)</f>
        <v>0</v>
      </c>
      <c r="N270">
        <f>VLOOKUP($C270, Egli_UPEC_metadata_provided!$A$2:$M$826, 13, FALSE)</f>
        <v>0</v>
      </c>
      <c r="O270">
        <f>VLOOKUP($C270, Egli_UPEC_metadata_provided!$A$2:$N$826, 14, FALSE)</f>
        <v>1</v>
      </c>
    </row>
    <row r="271" spans="1:15" x14ac:dyDescent="0.2">
      <c r="A271" t="s">
        <v>822</v>
      </c>
      <c r="B271" t="s">
        <v>4058</v>
      </c>
      <c r="C271" t="s">
        <v>4058</v>
      </c>
      <c r="D271">
        <f>VLOOKUP($C271, Egli_UPEC_metadata_provided!$A$2:$M$826, 3, FALSE)</f>
        <v>2018</v>
      </c>
      <c r="E271" t="str">
        <f>VLOOKUP($C271, Egli_UPEC_metadata_provided!$A$2:$M$826, 4, FALSE)</f>
        <v>D3</v>
      </c>
      <c r="F271" t="str">
        <f>VLOOKUP($C271, Egli_UPEC_metadata_provided!$A$2:$M$826, 5, FALSE)</f>
        <v>m</v>
      </c>
      <c r="G271">
        <f>VLOOKUP($C271, Egli_UPEC_metadata_provided!$A$2:$M$826, 6, FALSE)</f>
        <v>0</v>
      </c>
      <c r="H271">
        <f>VLOOKUP($C271, Egli_UPEC_metadata_provided!$A$2:$M$826, 7, FALSE)</f>
        <v>4</v>
      </c>
      <c r="I271">
        <f>VLOOKUP($C271, Egli_UPEC_metadata_provided!$A$2:$M$826, 8, FALSE)</f>
        <v>69.290498974709493</v>
      </c>
      <c r="J271" t="b">
        <f>VLOOKUP($C271, Egli_UPEC_metadata_provided!$A$2:$M$826, 9, FALSE)</f>
        <v>0</v>
      </c>
      <c r="K271">
        <f>VLOOKUP($C271, Egli_UPEC_metadata_provided!$A$2:$M$826, 10, FALSE)</f>
        <v>0</v>
      </c>
      <c r="L271" t="str">
        <f>VLOOKUP($C271, Egli_UPEC_metadata_provided!$A$2:$M$826, 11, FALSE)</f>
        <v>non-invasive</v>
      </c>
      <c r="M271">
        <f>VLOOKUP($C271, Egli_UPEC_metadata_provided!$A$2:$M$826, 12, FALSE)</f>
        <v>0</v>
      </c>
      <c r="N271">
        <f>VLOOKUP($C271, Egli_UPEC_metadata_provided!$A$2:$M$826, 13, FALSE)</f>
        <v>0</v>
      </c>
      <c r="O271">
        <f>VLOOKUP($C271, Egli_UPEC_metadata_provided!$A$2:$N$826, 14, FALSE)</f>
        <v>0</v>
      </c>
    </row>
    <row r="272" spans="1:15" x14ac:dyDescent="0.2">
      <c r="A272" t="s">
        <v>823</v>
      </c>
      <c r="B272" t="s">
        <v>4059</v>
      </c>
      <c r="C272" t="s">
        <v>4059</v>
      </c>
      <c r="D272">
        <f>VLOOKUP($C272, Egli_UPEC_metadata_provided!$A$2:$M$826, 3, FALSE)</f>
        <v>2018</v>
      </c>
      <c r="E272" t="str">
        <f>VLOOKUP($C272, Egli_UPEC_metadata_provided!$A$2:$M$826, 4, FALSE)</f>
        <v>C</v>
      </c>
      <c r="F272" t="str">
        <f>VLOOKUP($C272, Egli_UPEC_metadata_provided!$A$2:$M$826, 5, FALSE)</f>
        <v>w</v>
      </c>
      <c r="G272">
        <f>VLOOKUP($C272, Egli_UPEC_metadata_provided!$A$2:$M$826, 6, FALSE)</f>
        <v>1</v>
      </c>
      <c r="H272">
        <f>VLOOKUP($C272, Egli_UPEC_metadata_provided!$A$2:$M$826, 7, FALSE)</f>
        <v>3</v>
      </c>
      <c r="I272">
        <f>VLOOKUP($C272, Egli_UPEC_metadata_provided!$A$2:$M$826, 8, FALSE)</f>
        <v>69.137388926862599</v>
      </c>
      <c r="J272" t="b">
        <f>VLOOKUP($C272, Egli_UPEC_metadata_provided!$A$2:$M$826, 9, FALSE)</f>
        <v>0</v>
      </c>
      <c r="K272">
        <f>VLOOKUP($C272, Egli_UPEC_metadata_provided!$A$2:$M$826, 10, FALSE)</f>
        <v>0</v>
      </c>
      <c r="L272" t="str">
        <f>VLOOKUP($C272, Egli_UPEC_metadata_provided!$A$2:$M$826, 11, FALSE)</f>
        <v>non-invasive</v>
      </c>
      <c r="M272">
        <f>VLOOKUP($C272, Egli_UPEC_metadata_provided!$A$2:$M$826, 12, FALSE)</f>
        <v>0</v>
      </c>
      <c r="N272">
        <f>VLOOKUP($C272, Egli_UPEC_metadata_provided!$A$2:$M$826, 13, FALSE)</f>
        <v>0</v>
      </c>
      <c r="O272">
        <f>VLOOKUP($C272, Egli_UPEC_metadata_provided!$A$2:$N$826, 14, FALSE)</f>
        <v>0</v>
      </c>
    </row>
    <row r="273" spans="1:15" x14ac:dyDescent="0.2">
      <c r="A273" t="s">
        <v>824</v>
      </c>
      <c r="B273" t="s">
        <v>4060</v>
      </c>
      <c r="C273" t="s">
        <v>4060</v>
      </c>
      <c r="D273">
        <f>VLOOKUP($C273, Egli_UPEC_metadata_provided!$A$2:$M$826, 3, FALSE)</f>
        <v>2018</v>
      </c>
      <c r="E273" t="str">
        <f>VLOOKUP($C273, Egli_UPEC_metadata_provided!$A$2:$M$826, 4, FALSE)</f>
        <v>B2-1</v>
      </c>
      <c r="F273" t="str">
        <f>VLOOKUP($C273, Egli_UPEC_metadata_provided!$A$2:$M$826, 5, FALSE)</f>
        <v>w</v>
      </c>
      <c r="G273">
        <f>VLOOKUP($C273, Egli_UPEC_metadata_provided!$A$2:$M$826, 6, FALSE)</f>
        <v>0</v>
      </c>
      <c r="H273">
        <f>VLOOKUP($C273, Egli_UPEC_metadata_provided!$A$2:$M$826, 7, FALSE)</f>
        <v>2</v>
      </c>
      <c r="I273">
        <f>VLOOKUP($C273, Egli_UPEC_metadata_provided!$A$2:$M$826, 8, FALSE)</f>
        <v>83.103212576896794</v>
      </c>
      <c r="J273" t="b">
        <f>VLOOKUP($C273, Egli_UPEC_metadata_provided!$A$2:$M$826, 9, FALSE)</f>
        <v>0</v>
      </c>
      <c r="K273">
        <f>VLOOKUP($C273, Egli_UPEC_metadata_provided!$A$2:$M$826, 10, FALSE)</f>
        <v>0</v>
      </c>
      <c r="L273" t="str">
        <f>VLOOKUP($C273, Egli_UPEC_metadata_provided!$A$2:$M$826, 11, FALSE)</f>
        <v>non-invasive</v>
      </c>
      <c r="M273">
        <f>VLOOKUP($C273, Egli_UPEC_metadata_provided!$A$2:$M$826, 12, FALSE)</f>
        <v>0</v>
      </c>
      <c r="N273">
        <f>VLOOKUP($C273, Egli_UPEC_metadata_provided!$A$2:$M$826, 13, FALSE)</f>
        <v>0</v>
      </c>
      <c r="O273">
        <f>VLOOKUP($C273, Egli_UPEC_metadata_provided!$A$2:$N$826, 14, FALSE)</f>
        <v>0</v>
      </c>
    </row>
    <row r="274" spans="1:15" x14ac:dyDescent="0.2">
      <c r="A274" t="s">
        <v>825</v>
      </c>
      <c r="B274" t="s">
        <v>4061</v>
      </c>
      <c r="C274" t="s">
        <v>4061</v>
      </c>
      <c r="D274">
        <f>VLOOKUP($C274, Egli_UPEC_metadata_provided!$A$2:$M$826, 3, FALSE)</f>
        <v>2018</v>
      </c>
      <c r="E274" t="str">
        <f>VLOOKUP($C274, Egli_UPEC_metadata_provided!$A$2:$M$826, 4, FALSE)</f>
        <v>B2-1</v>
      </c>
      <c r="F274" t="str">
        <f>VLOOKUP($C274, Egli_UPEC_metadata_provided!$A$2:$M$826, 5, FALSE)</f>
        <v>m</v>
      </c>
      <c r="G274">
        <f>VLOOKUP($C274, Egli_UPEC_metadata_provided!$A$2:$M$826, 6, FALSE)</f>
        <v>0</v>
      </c>
      <c r="H274">
        <f>VLOOKUP($C274, Egli_UPEC_metadata_provided!$A$2:$M$826, 7, FALSE)</f>
        <v>7</v>
      </c>
      <c r="I274">
        <f>VLOOKUP($C274, Egli_UPEC_metadata_provided!$A$2:$M$826, 8, FALSE)</f>
        <v>93.254955570744997</v>
      </c>
      <c r="J274" t="b">
        <f>VLOOKUP($C274, Egli_UPEC_metadata_provided!$A$2:$M$826, 9, FALSE)</f>
        <v>0</v>
      </c>
      <c r="K274">
        <f>VLOOKUP($C274, Egli_UPEC_metadata_provided!$A$2:$M$826, 10, FALSE)</f>
        <v>1</v>
      </c>
      <c r="L274" t="str">
        <f>VLOOKUP($C274, Egli_UPEC_metadata_provided!$A$2:$M$826, 11, FALSE)</f>
        <v>non-invasive</v>
      </c>
      <c r="M274">
        <f>VLOOKUP($C274, Egli_UPEC_metadata_provided!$A$2:$M$826, 12, FALSE)</f>
        <v>0</v>
      </c>
      <c r="N274">
        <f>VLOOKUP($C274, Egli_UPEC_metadata_provided!$A$2:$M$826, 13, FALSE)</f>
        <v>0</v>
      </c>
      <c r="O274">
        <f>VLOOKUP($C274, Egli_UPEC_metadata_provided!$A$2:$N$826, 14, FALSE)</f>
        <v>0</v>
      </c>
    </row>
    <row r="275" spans="1:15" x14ac:dyDescent="0.2">
      <c r="A275" t="s">
        <v>826</v>
      </c>
      <c r="B275" t="s">
        <v>4062</v>
      </c>
      <c r="C275" t="s">
        <v>4062</v>
      </c>
      <c r="D275">
        <f>VLOOKUP($C275, Egli_UPEC_metadata_provided!$A$2:$M$826, 3, FALSE)</f>
        <v>2018</v>
      </c>
      <c r="E275" t="str">
        <f>VLOOKUP($C275, Egli_UPEC_metadata_provided!$A$2:$M$826, 4, FALSE)</f>
        <v>D1</v>
      </c>
      <c r="F275" t="str">
        <f>VLOOKUP($C275, Egli_UPEC_metadata_provided!$A$2:$M$826, 5, FALSE)</f>
        <v>w</v>
      </c>
      <c r="G275">
        <f>VLOOKUP($C275, Egli_UPEC_metadata_provided!$A$2:$M$826, 6, FALSE)</f>
        <v>0</v>
      </c>
      <c r="H275">
        <f>VLOOKUP($C275, Egli_UPEC_metadata_provided!$A$2:$M$826, 7, FALSE)</f>
        <v>0</v>
      </c>
      <c r="I275">
        <f>VLOOKUP($C275, Egli_UPEC_metadata_provided!$A$2:$M$826, 8, FALSE)</f>
        <v>43.969924812030101</v>
      </c>
      <c r="J275" t="b">
        <f>VLOOKUP($C275, Egli_UPEC_metadata_provided!$A$2:$M$826, 9, FALSE)</f>
        <v>0</v>
      </c>
      <c r="K275">
        <f>VLOOKUP($C275, Egli_UPEC_metadata_provided!$A$2:$M$826, 10, FALSE)</f>
        <v>0</v>
      </c>
      <c r="L275" t="str">
        <f>VLOOKUP($C275, Egli_UPEC_metadata_provided!$A$2:$M$826, 11, FALSE)</f>
        <v>non-invasive</v>
      </c>
      <c r="M275">
        <f>VLOOKUP($C275, Egli_UPEC_metadata_provided!$A$2:$M$826, 12, FALSE)</f>
        <v>0</v>
      </c>
      <c r="N275">
        <f>VLOOKUP($C275, Egli_UPEC_metadata_provided!$A$2:$M$826, 13, FALSE)</f>
        <v>0</v>
      </c>
      <c r="O275">
        <f>VLOOKUP($C275, Egli_UPEC_metadata_provided!$A$2:$N$826, 14, FALSE)</f>
        <v>0</v>
      </c>
    </row>
    <row r="276" spans="1:15" x14ac:dyDescent="0.2">
      <c r="A276" t="s">
        <v>827</v>
      </c>
      <c r="B276" t="s">
        <v>4063</v>
      </c>
      <c r="C276" t="s">
        <v>4063</v>
      </c>
      <c r="D276">
        <f>VLOOKUP($C276, Egli_UPEC_metadata_provided!$A$2:$M$826, 3, FALSE)</f>
        <v>2018</v>
      </c>
      <c r="E276" t="str">
        <f>VLOOKUP($C276, Egli_UPEC_metadata_provided!$A$2:$M$826, 4, FALSE)</f>
        <v>D3</v>
      </c>
      <c r="F276" t="str">
        <f>VLOOKUP($C276, Egli_UPEC_metadata_provided!$A$2:$M$826, 5, FALSE)</f>
        <v>m</v>
      </c>
      <c r="G276">
        <f>VLOOKUP($C276, Egli_UPEC_metadata_provided!$A$2:$M$826, 6, FALSE)</f>
        <v>0</v>
      </c>
      <c r="H276">
        <f>VLOOKUP($C276, Egli_UPEC_metadata_provided!$A$2:$M$826, 7, FALSE)</f>
        <v>0</v>
      </c>
      <c r="I276">
        <f>VLOOKUP($C276, Egli_UPEC_metadata_provided!$A$2:$M$826, 8, FALSE)</f>
        <v>59.330143540669901</v>
      </c>
      <c r="J276" t="b">
        <f>VLOOKUP($C276, Egli_UPEC_metadata_provided!$A$2:$M$826, 9, FALSE)</f>
        <v>0</v>
      </c>
      <c r="K276" t="str">
        <f>VLOOKUP($C276, Egli_UPEC_metadata_provided!$A$2:$M$826, 10, FALSE)</f>
        <v>NA</v>
      </c>
      <c r="L276" t="str">
        <f>VLOOKUP($C276, Egli_UPEC_metadata_provided!$A$2:$M$826, 11, FALSE)</f>
        <v>non-invasive</v>
      </c>
      <c r="M276">
        <f>VLOOKUP($C276, Egli_UPEC_metadata_provided!$A$2:$M$826, 12, FALSE)</f>
        <v>0</v>
      </c>
      <c r="N276">
        <f>VLOOKUP($C276, Egli_UPEC_metadata_provided!$A$2:$M$826, 13, FALSE)</f>
        <v>0</v>
      </c>
      <c r="O276">
        <f>VLOOKUP($C276, Egli_UPEC_metadata_provided!$A$2:$N$826, 14, FALSE)</f>
        <v>0</v>
      </c>
    </row>
    <row r="277" spans="1:15" x14ac:dyDescent="0.2">
      <c r="A277" t="s">
        <v>828</v>
      </c>
      <c r="B277" t="s">
        <v>4064</v>
      </c>
      <c r="C277" t="s">
        <v>4064</v>
      </c>
      <c r="D277">
        <f>VLOOKUP($C277, Egli_UPEC_metadata_provided!$A$2:$M$826, 3, FALSE)</f>
        <v>2018</v>
      </c>
      <c r="E277" t="str">
        <f>VLOOKUP($C277, Egli_UPEC_metadata_provided!$A$2:$M$826, 4, FALSE)</f>
        <v>D1</v>
      </c>
      <c r="F277" t="str">
        <f>VLOOKUP($C277, Egli_UPEC_metadata_provided!$A$2:$M$826, 5, FALSE)</f>
        <v>w</v>
      </c>
      <c r="G277">
        <f>VLOOKUP($C277, Egli_UPEC_metadata_provided!$A$2:$M$826, 6, FALSE)</f>
        <v>0</v>
      </c>
      <c r="H277">
        <f>VLOOKUP($C277, Egli_UPEC_metadata_provided!$A$2:$M$826, 7, FALSE)</f>
        <v>3</v>
      </c>
      <c r="I277">
        <f>VLOOKUP($C277, Egli_UPEC_metadata_provided!$A$2:$M$826, 8, FALSE)</f>
        <v>69.290498974709493</v>
      </c>
      <c r="J277" t="b">
        <f>VLOOKUP($C277, Egli_UPEC_metadata_provided!$A$2:$M$826, 9, FALSE)</f>
        <v>0</v>
      </c>
      <c r="K277">
        <f>VLOOKUP($C277, Egli_UPEC_metadata_provided!$A$2:$M$826, 10, FALSE)</f>
        <v>0</v>
      </c>
      <c r="L277" t="str">
        <f>VLOOKUP($C277, Egli_UPEC_metadata_provided!$A$2:$M$826, 11, FALSE)</f>
        <v>non-invasive</v>
      </c>
      <c r="M277">
        <f>VLOOKUP($C277, Egli_UPEC_metadata_provided!$A$2:$M$826, 12, FALSE)</f>
        <v>0</v>
      </c>
      <c r="N277">
        <f>VLOOKUP($C277, Egli_UPEC_metadata_provided!$A$2:$M$826, 13, FALSE)</f>
        <v>0</v>
      </c>
      <c r="O277" t="str">
        <f>VLOOKUP($C277, Egli_UPEC_metadata_provided!$A$2:$N$826, 14, FALSE)</f>
        <v>NA</v>
      </c>
    </row>
    <row r="278" spans="1:15" x14ac:dyDescent="0.2">
      <c r="A278" t="s">
        <v>829</v>
      </c>
      <c r="B278" t="s">
        <v>4065</v>
      </c>
      <c r="C278" t="s">
        <v>4065</v>
      </c>
      <c r="D278">
        <f>VLOOKUP($C278, Egli_UPEC_metadata_provided!$A$2:$M$826, 3, FALSE)</f>
        <v>2018</v>
      </c>
      <c r="E278" t="str">
        <f>VLOOKUP($C278, Egli_UPEC_metadata_provided!$A$2:$M$826, 4, FALSE)</f>
        <v>B1</v>
      </c>
      <c r="F278" t="str">
        <f>VLOOKUP($C278, Egli_UPEC_metadata_provided!$A$2:$M$826, 5, FALSE)</f>
        <v>w</v>
      </c>
      <c r="G278">
        <f>VLOOKUP($C278, Egli_UPEC_metadata_provided!$A$2:$M$826, 6, FALSE)</f>
        <v>0</v>
      </c>
      <c r="H278">
        <f>VLOOKUP($C278, Egli_UPEC_metadata_provided!$A$2:$M$826, 7, FALSE)</f>
        <v>0</v>
      </c>
      <c r="I278">
        <f>VLOOKUP($C278, Egli_UPEC_metadata_provided!$A$2:$M$826, 8, FALSE)</f>
        <v>73.727956254272002</v>
      </c>
      <c r="J278" t="b">
        <f>VLOOKUP($C278, Egli_UPEC_metadata_provided!$A$2:$M$826, 9, FALSE)</f>
        <v>0</v>
      </c>
      <c r="K278">
        <f>VLOOKUP($C278, Egli_UPEC_metadata_provided!$A$2:$M$826, 10, FALSE)</f>
        <v>0</v>
      </c>
      <c r="L278" t="str">
        <f>VLOOKUP($C278, Egli_UPEC_metadata_provided!$A$2:$M$826, 11, FALSE)</f>
        <v>non-invasive</v>
      </c>
      <c r="M278">
        <f>VLOOKUP($C278, Egli_UPEC_metadata_provided!$A$2:$M$826, 12, FALSE)</f>
        <v>1</v>
      </c>
      <c r="N278">
        <f>VLOOKUP($C278, Egli_UPEC_metadata_provided!$A$2:$M$826, 13, FALSE)</f>
        <v>1</v>
      </c>
      <c r="O278">
        <f>VLOOKUP($C278, Egli_UPEC_metadata_provided!$A$2:$N$826, 14, FALSE)</f>
        <v>0</v>
      </c>
    </row>
    <row r="279" spans="1:15" x14ac:dyDescent="0.2">
      <c r="A279" t="s">
        <v>830</v>
      </c>
      <c r="B279" t="s">
        <v>4066</v>
      </c>
      <c r="C279" t="s">
        <v>4066</v>
      </c>
      <c r="D279">
        <f>VLOOKUP($C279, Egli_UPEC_metadata_provided!$A$2:$M$826, 3, FALSE)</f>
        <v>2018</v>
      </c>
      <c r="E279" t="str">
        <f>VLOOKUP($C279, Egli_UPEC_metadata_provided!$A$2:$M$826, 4, FALSE)</f>
        <v>B2-2</v>
      </c>
      <c r="F279" t="str">
        <f>VLOOKUP($C279, Egli_UPEC_metadata_provided!$A$2:$M$826, 5, FALSE)</f>
        <v>w</v>
      </c>
      <c r="G279">
        <f>VLOOKUP($C279, Egli_UPEC_metadata_provided!$A$2:$M$826, 6, FALSE)</f>
        <v>1</v>
      </c>
      <c r="H279">
        <f>VLOOKUP($C279, Egli_UPEC_metadata_provided!$A$2:$M$826, 7, FALSE)</f>
        <v>2</v>
      </c>
      <c r="I279">
        <f>VLOOKUP($C279, Egli_UPEC_metadata_provided!$A$2:$M$826, 8, FALSE)</f>
        <v>45.457279562542702</v>
      </c>
      <c r="J279" t="b">
        <f>VLOOKUP($C279, Egli_UPEC_metadata_provided!$A$2:$M$826, 9, FALSE)</f>
        <v>0</v>
      </c>
      <c r="K279">
        <f>VLOOKUP($C279, Egli_UPEC_metadata_provided!$A$2:$M$826, 10, FALSE)</f>
        <v>0</v>
      </c>
      <c r="L279" t="str">
        <f>VLOOKUP($C279, Egli_UPEC_metadata_provided!$A$2:$M$826, 11, FALSE)</f>
        <v>non-invasive</v>
      </c>
      <c r="M279">
        <f>VLOOKUP($C279, Egli_UPEC_metadata_provided!$A$2:$M$826, 12, FALSE)</f>
        <v>0</v>
      </c>
      <c r="N279">
        <f>VLOOKUP($C279, Egli_UPEC_metadata_provided!$A$2:$M$826, 13, FALSE)</f>
        <v>0</v>
      </c>
      <c r="O279" t="str">
        <f>VLOOKUP($C279, Egli_UPEC_metadata_provided!$A$2:$N$826, 14, FALSE)</f>
        <v>NA</v>
      </c>
    </row>
    <row r="280" spans="1:15" x14ac:dyDescent="0.2">
      <c r="A280" t="s">
        <v>831</v>
      </c>
      <c r="B280" t="s">
        <v>4067</v>
      </c>
      <c r="C280" t="s">
        <v>4067</v>
      </c>
      <c r="D280">
        <f>VLOOKUP($C280, Egli_UPEC_metadata_provided!$A$2:$M$826, 3, FALSE)</f>
        <v>2018</v>
      </c>
      <c r="E280" t="str">
        <f>VLOOKUP($C280, Egli_UPEC_metadata_provided!$A$2:$M$826, 4, FALSE)</f>
        <v>B2-2</v>
      </c>
      <c r="F280" t="str">
        <f>VLOOKUP($C280, Egli_UPEC_metadata_provided!$A$2:$M$826, 5, FALSE)</f>
        <v>w</v>
      </c>
      <c r="G280">
        <f>VLOOKUP($C280, Egli_UPEC_metadata_provided!$A$2:$M$826, 6, FALSE)</f>
        <v>0</v>
      </c>
      <c r="H280">
        <f>VLOOKUP($C280, Egli_UPEC_metadata_provided!$A$2:$M$826, 7, FALSE)</f>
        <v>0</v>
      </c>
      <c r="I280">
        <f>VLOOKUP($C280, Egli_UPEC_metadata_provided!$A$2:$M$826, 8, FALSE)</f>
        <v>76.344497607655498</v>
      </c>
      <c r="J280" t="b">
        <f>VLOOKUP($C280, Egli_UPEC_metadata_provided!$A$2:$M$826, 9, FALSE)</f>
        <v>0</v>
      </c>
      <c r="K280">
        <f>VLOOKUP($C280, Egli_UPEC_metadata_provided!$A$2:$M$826, 10, FALSE)</f>
        <v>0</v>
      </c>
      <c r="L280" t="str">
        <f>VLOOKUP($C280, Egli_UPEC_metadata_provided!$A$2:$M$826, 11, FALSE)</f>
        <v>non-invasive</v>
      </c>
      <c r="M280">
        <f>VLOOKUP($C280, Egli_UPEC_metadata_provided!$A$2:$M$826, 12, FALSE)</f>
        <v>0</v>
      </c>
      <c r="N280">
        <f>VLOOKUP($C280, Egli_UPEC_metadata_provided!$A$2:$M$826, 13, FALSE)</f>
        <v>0</v>
      </c>
      <c r="O280">
        <f>VLOOKUP($C280, Egli_UPEC_metadata_provided!$A$2:$N$826, 14, FALSE)</f>
        <v>1</v>
      </c>
    </row>
    <row r="281" spans="1:15" x14ac:dyDescent="0.2">
      <c r="A281" t="s">
        <v>832</v>
      </c>
      <c r="B281" t="s">
        <v>4068</v>
      </c>
      <c r="C281" t="s">
        <v>4068</v>
      </c>
      <c r="D281">
        <f>VLOOKUP($C281, Egli_UPEC_metadata_provided!$A$2:$M$826, 3, FALSE)</f>
        <v>2018</v>
      </c>
      <c r="E281" t="str">
        <f>VLOOKUP($C281, Egli_UPEC_metadata_provided!$A$2:$M$826, 4, FALSE)</f>
        <v>B2-2</v>
      </c>
      <c r="F281" t="str">
        <f>VLOOKUP($C281, Egli_UPEC_metadata_provided!$A$2:$M$826, 5, FALSE)</f>
        <v>w</v>
      </c>
      <c r="G281">
        <f>VLOOKUP($C281, Egli_UPEC_metadata_provided!$A$2:$M$826, 6, FALSE)</f>
        <v>0</v>
      </c>
      <c r="H281">
        <f>VLOOKUP($C281, Egli_UPEC_metadata_provided!$A$2:$M$826, 7, FALSE)</f>
        <v>0</v>
      </c>
      <c r="I281">
        <f>VLOOKUP($C281, Egli_UPEC_metadata_provided!$A$2:$M$826, 8, FALSE)</f>
        <v>25.1483253588517</v>
      </c>
      <c r="J281" t="b">
        <f>VLOOKUP($C281, Egli_UPEC_metadata_provided!$A$2:$M$826, 9, FALSE)</f>
        <v>0</v>
      </c>
      <c r="K281">
        <f>VLOOKUP($C281, Egli_UPEC_metadata_provided!$A$2:$M$826, 10, FALSE)</f>
        <v>0</v>
      </c>
      <c r="L281" t="str">
        <f>VLOOKUP($C281, Egli_UPEC_metadata_provided!$A$2:$M$826, 11, FALSE)</f>
        <v>non-invasive</v>
      </c>
      <c r="M281">
        <f>VLOOKUP($C281, Egli_UPEC_metadata_provided!$A$2:$M$826, 12, FALSE)</f>
        <v>0</v>
      </c>
      <c r="N281">
        <f>VLOOKUP($C281, Egli_UPEC_metadata_provided!$A$2:$M$826, 13, FALSE)</f>
        <v>0</v>
      </c>
      <c r="O281" t="str">
        <f>VLOOKUP($C281, Egli_UPEC_metadata_provided!$A$2:$N$826, 14, FALSE)</f>
        <v>NA</v>
      </c>
    </row>
    <row r="282" spans="1:15" x14ac:dyDescent="0.2">
      <c r="A282" t="s">
        <v>833</v>
      </c>
      <c r="B282" t="s">
        <v>4069</v>
      </c>
      <c r="C282" t="s">
        <v>4069</v>
      </c>
      <c r="D282">
        <f>VLOOKUP($C282, Egli_UPEC_metadata_provided!$A$2:$M$826, 3, FALSE)</f>
        <v>2018</v>
      </c>
      <c r="E282" t="str">
        <f>VLOOKUP($C282, Egli_UPEC_metadata_provided!$A$2:$M$826, 4, FALSE)</f>
        <v>B2-2</v>
      </c>
      <c r="F282" t="str">
        <f>VLOOKUP($C282, Egli_UPEC_metadata_provided!$A$2:$M$826, 5, FALSE)</f>
        <v>m</v>
      </c>
      <c r="G282">
        <f>VLOOKUP($C282, Egli_UPEC_metadata_provided!$A$2:$M$826, 6, FALSE)</f>
        <v>0</v>
      </c>
      <c r="H282">
        <f>VLOOKUP($C282, Egli_UPEC_metadata_provided!$A$2:$M$826, 7, FALSE)</f>
        <v>3</v>
      </c>
      <c r="I282">
        <f>VLOOKUP($C282, Egli_UPEC_metadata_provided!$A$2:$M$826, 8, FALSE)</f>
        <v>94.567327409432707</v>
      </c>
      <c r="J282" t="b">
        <f>VLOOKUP($C282, Egli_UPEC_metadata_provided!$A$2:$M$826, 9, FALSE)</f>
        <v>0</v>
      </c>
      <c r="K282">
        <f>VLOOKUP($C282, Egli_UPEC_metadata_provided!$A$2:$M$826, 10, FALSE)</f>
        <v>0</v>
      </c>
      <c r="L282" t="str">
        <f>VLOOKUP($C282, Egli_UPEC_metadata_provided!$A$2:$M$826, 11, FALSE)</f>
        <v>non-invasive</v>
      </c>
      <c r="M282">
        <f>VLOOKUP($C282, Egli_UPEC_metadata_provided!$A$2:$M$826, 12, FALSE)</f>
        <v>0</v>
      </c>
      <c r="N282">
        <f>VLOOKUP($C282, Egli_UPEC_metadata_provided!$A$2:$M$826, 13, FALSE)</f>
        <v>0</v>
      </c>
      <c r="O282">
        <f>VLOOKUP($C282, Egli_UPEC_metadata_provided!$A$2:$N$826, 14, FALSE)</f>
        <v>0</v>
      </c>
    </row>
    <row r="283" spans="1:15" x14ac:dyDescent="0.2">
      <c r="A283" t="s">
        <v>834</v>
      </c>
      <c r="B283" t="s">
        <v>4070</v>
      </c>
      <c r="C283" t="s">
        <v>4070</v>
      </c>
      <c r="D283">
        <f>VLOOKUP($C283, Egli_UPEC_metadata_provided!$A$2:$M$826, 3, FALSE)</f>
        <v>2018</v>
      </c>
      <c r="E283" t="str">
        <f>VLOOKUP($C283, Egli_UPEC_metadata_provided!$A$2:$M$826, 4, FALSE)</f>
        <v>B2-1</v>
      </c>
      <c r="F283" t="str">
        <f>VLOOKUP($C283, Egli_UPEC_metadata_provided!$A$2:$M$826, 5, FALSE)</f>
        <v>w</v>
      </c>
      <c r="G283">
        <f>VLOOKUP($C283, Egli_UPEC_metadata_provided!$A$2:$M$826, 6, FALSE)</f>
        <v>0</v>
      </c>
      <c r="H283">
        <f>VLOOKUP($C283, Egli_UPEC_metadata_provided!$A$2:$M$826, 7, FALSE)</f>
        <v>0</v>
      </c>
      <c r="I283">
        <f>VLOOKUP($C283, Egli_UPEC_metadata_provided!$A$2:$M$826, 8, FALSE)</f>
        <v>69.115516062884495</v>
      </c>
      <c r="J283" t="b">
        <f>VLOOKUP($C283, Egli_UPEC_metadata_provided!$A$2:$M$826, 9, FALSE)</f>
        <v>0</v>
      </c>
      <c r="K283">
        <f>VLOOKUP($C283, Egli_UPEC_metadata_provided!$A$2:$M$826, 10, FALSE)</f>
        <v>0</v>
      </c>
      <c r="L283" t="str">
        <f>VLOOKUP($C283, Egli_UPEC_metadata_provided!$A$2:$M$826, 11, FALSE)</f>
        <v>non-invasive</v>
      </c>
      <c r="M283">
        <f>VLOOKUP($C283, Egli_UPEC_metadata_provided!$A$2:$M$826, 12, FALSE)</f>
        <v>0</v>
      </c>
      <c r="N283">
        <f>VLOOKUP($C283, Egli_UPEC_metadata_provided!$A$2:$M$826, 13, FALSE)</f>
        <v>0</v>
      </c>
      <c r="O283">
        <f>VLOOKUP($C283, Egli_UPEC_metadata_provided!$A$2:$N$826, 14, FALSE)</f>
        <v>1</v>
      </c>
    </row>
    <row r="284" spans="1:15" x14ac:dyDescent="0.2">
      <c r="A284" t="s">
        <v>835</v>
      </c>
      <c r="B284" t="s">
        <v>4071</v>
      </c>
      <c r="C284" t="s">
        <v>4071</v>
      </c>
      <c r="D284">
        <f>VLOOKUP($C284, Egli_UPEC_metadata_provided!$A$2:$M$826, 3, FALSE)</f>
        <v>2018</v>
      </c>
      <c r="E284" t="str">
        <f>VLOOKUP($C284, Egli_UPEC_metadata_provided!$A$2:$M$826, 4, FALSE)</f>
        <v>D1</v>
      </c>
      <c r="F284" t="str">
        <f>VLOOKUP($C284, Egli_UPEC_metadata_provided!$A$2:$M$826, 5, FALSE)</f>
        <v>w</v>
      </c>
      <c r="G284">
        <f>VLOOKUP($C284, Egli_UPEC_metadata_provided!$A$2:$M$826, 6, FALSE)</f>
        <v>0</v>
      </c>
      <c r="H284">
        <f>VLOOKUP($C284, Egli_UPEC_metadata_provided!$A$2:$M$826, 7, FALSE)</f>
        <v>0</v>
      </c>
      <c r="I284">
        <f>VLOOKUP($C284, Egli_UPEC_metadata_provided!$A$2:$M$826, 8, FALSE)</f>
        <v>76.760082023239903</v>
      </c>
      <c r="J284" t="b">
        <f>VLOOKUP($C284, Egli_UPEC_metadata_provided!$A$2:$M$826, 9, FALSE)</f>
        <v>0</v>
      </c>
      <c r="K284">
        <f>VLOOKUP($C284, Egli_UPEC_metadata_provided!$A$2:$M$826, 10, FALSE)</f>
        <v>0</v>
      </c>
      <c r="L284" t="str">
        <f>VLOOKUP($C284, Egli_UPEC_metadata_provided!$A$2:$M$826, 11, FALSE)</f>
        <v>non-invasive</v>
      </c>
      <c r="M284">
        <f>VLOOKUP($C284, Egli_UPEC_metadata_provided!$A$2:$M$826, 12, FALSE)</f>
        <v>1</v>
      </c>
      <c r="N284">
        <f>VLOOKUP($C284, Egli_UPEC_metadata_provided!$A$2:$M$826, 13, FALSE)</f>
        <v>0</v>
      </c>
      <c r="O284">
        <f>VLOOKUP($C284, Egli_UPEC_metadata_provided!$A$2:$N$826, 14, FALSE)</f>
        <v>0</v>
      </c>
    </row>
    <row r="285" spans="1:15" x14ac:dyDescent="0.2">
      <c r="A285" t="s">
        <v>836</v>
      </c>
      <c r="B285" t="s">
        <v>4072</v>
      </c>
      <c r="C285" t="s">
        <v>4072</v>
      </c>
      <c r="D285">
        <f>VLOOKUP($C285, Egli_UPEC_metadata_provided!$A$2:$M$826, 3, FALSE)</f>
        <v>2018</v>
      </c>
      <c r="E285" t="str">
        <f>VLOOKUP($C285, Egli_UPEC_metadata_provided!$A$2:$M$826, 4, FALSE)</f>
        <v>D3</v>
      </c>
      <c r="F285" t="str">
        <f>VLOOKUP($C285, Egli_UPEC_metadata_provided!$A$2:$M$826, 5, FALSE)</f>
        <v>w</v>
      </c>
      <c r="G285">
        <f>VLOOKUP($C285, Egli_UPEC_metadata_provided!$A$2:$M$826, 6, FALSE)</f>
        <v>0</v>
      </c>
      <c r="H285">
        <f>VLOOKUP($C285, Egli_UPEC_metadata_provided!$A$2:$M$826, 7, FALSE)</f>
        <v>0</v>
      </c>
      <c r="I285">
        <f>VLOOKUP($C285, Egli_UPEC_metadata_provided!$A$2:$M$826, 8, FALSE)</f>
        <v>71.876965140123005</v>
      </c>
      <c r="J285" t="b">
        <f>VLOOKUP($C285, Egli_UPEC_metadata_provided!$A$2:$M$826, 9, FALSE)</f>
        <v>0</v>
      </c>
      <c r="K285">
        <f>VLOOKUP($C285, Egli_UPEC_metadata_provided!$A$2:$M$826, 10, FALSE)</f>
        <v>0</v>
      </c>
      <c r="L285" t="str">
        <f>VLOOKUP($C285, Egli_UPEC_metadata_provided!$A$2:$M$826, 11, FALSE)</f>
        <v>non-invasive</v>
      </c>
      <c r="M285">
        <f>VLOOKUP($C285, Egli_UPEC_metadata_provided!$A$2:$M$826, 12, FALSE)</f>
        <v>0</v>
      </c>
      <c r="N285">
        <f>VLOOKUP($C285, Egli_UPEC_metadata_provided!$A$2:$M$826, 13, FALSE)</f>
        <v>0</v>
      </c>
      <c r="O285">
        <f>VLOOKUP($C285, Egli_UPEC_metadata_provided!$A$2:$N$826, 14, FALSE)</f>
        <v>0</v>
      </c>
    </row>
    <row r="286" spans="1:15" x14ac:dyDescent="0.2">
      <c r="A286" t="s">
        <v>837</v>
      </c>
      <c r="B286" t="s">
        <v>4073</v>
      </c>
      <c r="C286" t="s">
        <v>4073</v>
      </c>
      <c r="D286">
        <f>VLOOKUP($C286, Egli_UPEC_metadata_provided!$A$2:$M$826, 3, FALSE)</f>
        <v>2018</v>
      </c>
      <c r="E286" t="str">
        <f>VLOOKUP($C286, Egli_UPEC_metadata_provided!$A$2:$M$826, 4, FALSE)</f>
        <v>B1</v>
      </c>
      <c r="F286" t="str">
        <f>VLOOKUP($C286, Egli_UPEC_metadata_provided!$A$2:$M$826, 5, FALSE)</f>
        <v>w</v>
      </c>
      <c r="G286">
        <f>VLOOKUP($C286, Egli_UPEC_metadata_provided!$A$2:$M$826, 6, FALSE)</f>
        <v>0</v>
      </c>
      <c r="H286">
        <f>VLOOKUP($C286, Egli_UPEC_metadata_provided!$A$2:$M$826, 7, FALSE)</f>
        <v>2</v>
      </c>
      <c r="I286">
        <f>VLOOKUP($C286, Egli_UPEC_metadata_provided!$A$2:$M$826, 8, FALSE)</f>
        <v>81.790840738209198</v>
      </c>
      <c r="J286" t="b">
        <f>VLOOKUP($C286, Egli_UPEC_metadata_provided!$A$2:$M$826, 9, FALSE)</f>
        <v>0</v>
      </c>
      <c r="K286">
        <f>VLOOKUP($C286, Egli_UPEC_metadata_provided!$A$2:$M$826, 10, FALSE)</f>
        <v>0</v>
      </c>
      <c r="L286" t="str">
        <f>VLOOKUP($C286, Egli_UPEC_metadata_provided!$A$2:$M$826, 11, FALSE)</f>
        <v>non-invasive</v>
      </c>
      <c r="M286">
        <f>VLOOKUP($C286, Egli_UPEC_metadata_provided!$A$2:$M$826, 12, FALSE)</f>
        <v>0</v>
      </c>
      <c r="N286">
        <f>VLOOKUP($C286, Egli_UPEC_metadata_provided!$A$2:$M$826, 13, FALSE)</f>
        <v>0</v>
      </c>
      <c r="O286">
        <f>VLOOKUP($C286, Egli_UPEC_metadata_provided!$A$2:$N$826, 14, FALSE)</f>
        <v>0</v>
      </c>
    </row>
    <row r="287" spans="1:15" x14ac:dyDescent="0.2">
      <c r="A287" t="s">
        <v>838</v>
      </c>
      <c r="B287" t="s">
        <v>4074</v>
      </c>
      <c r="C287" t="s">
        <v>4074</v>
      </c>
      <c r="D287">
        <f>VLOOKUP($C287, Egli_UPEC_metadata_provided!$A$2:$M$826, 3, FALSE)</f>
        <v>2018</v>
      </c>
      <c r="E287" t="str">
        <f>VLOOKUP($C287, Egli_UPEC_metadata_provided!$A$2:$M$826, 4, FALSE)</f>
        <v>B2-2</v>
      </c>
      <c r="F287" t="str">
        <f>VLOOKUP($C287, Egli_UPEC_metadata_provided!$A$2:$M$826, 5, FALSE)</f>
        <v>w</v>
      </c>
      <c r="G287">
        <f>VLOOKUP($C287, Egli_UPEC_metadata_provided!$A$2:$M$826, 6, FALSE)</f>
        <v>0</v>
      </c>
      <c r="H287">
        <f>VLOOKUP($C287, Egli_UPEC_metadata_provided!$A$2:$M$826, 7, FALSE)</f>
        <v>1</v>
      </c>
      <c r="I287">
        <f>VLOOKUP($C287, Egli_UPEC_metadata_provided!$A$2:$M$826, 8, FALSE)</f>
        <v>90.851674641148307</v>
      </c>
      <c r="J287" t="b">
        <f>VLOOKUP($C287, Egli_UPEC_metadata_provided!$A$2:$M$826, 9, FALSE)</f>
        <v>0</v>
      </c>
      <c r="K287">
        <f>VLOOKUP($C287, Egli_UPEC_metadata_provided!$A$2:$M$826, 10, FALSE)</f>
        <v>0</v>
      </c>
      <c r="L287" t="str">
        <f>VLOOKUP($C287, Egli_UPEC_metadata_provided!$A$2:$M$826, 11, FALSE)</f>
        <v>non-invasive</v>
      </c>
      <c r="M287">
        <f>VLOOKUP($C287, Egli_UPEC_metadata_provided!$A$2:$M$826, 12, FALSE)</f>
        <v>0</v>
      </c>
      <c r="N287">
        <f>VLOOKUP($C287, Egli_UPEC_metadata_provided!$A$2:$M$826, 13, FALSE)</f>
        <v>0</v>
      </c>
      <c r="O287">
        <f>VLOOKUP($C287, Egli_UPEC_metadata_provided!$A$2:$N$826, 14, FALSE)</f>
        <v>0</v>
      </c>
    </row>
    <row r="288" spans="1:15" x14ac:dyDescent="0.2">
      <c r="A288" t="s">
        <v>839</v>
      </c>
      <c r="B288" t="s">
        <v>4075</v>
      </c>
      <c r="C288" t="s">
        <v>4075</v>
      </c>
      <c r="D288">
        <f>VLOOKUP($C288, Egli_UPEC_metadata_provided!$A$2:$M$826, 3, FALSE)</f>
        <v>2018</v>
      </c>
      <c r="E288" t="str">
        <f>VLOOKUP($C288, Egli_UPEC_metadata_provided!$A$2:$M$826, 4, FALSE)</f>
        <v>D1</v>
      </c>
      <c r="F288" t="str">
        <f>VLOOKUP($C288, Egli_UPEC_metadata_provided!$A$2:$M$826, 5, FALSE)</f>
        <v>w</v>
      </c>
      <c r="G288">
        <f>VLOOKUP($C288, Egli_UPEC_metadata_provided!$A$2:$M$826, 6, FALSE)</f>
        <v>0</v>
      </c>
      <c r="H288">
        <f>VLOOKUP($C288, Egli_UPEC_metadata_provided!$A$2:$M$826, 7, FALSE)</f>
        <v>0</v>
      </c>
      <c r="I288">
        <f>VLOOKUP($C288, Egli_UPEC_metadata_provided!$A$2:$M$826, 8, FALSE)</f>
        <v>29.902939166097099</v>
      </c>
      <c r="J288" t="b">
        <f>VLOOKUP($C288, Egli_UPEC_metadata_provided!$A$2:$M$826, 9, FALSE)</f>
        <v>0</v>
      </c>
      <c r="K288">
        <f>VLOOKUP($C288, Egli_UPEC_metadata_provided!$A$2:$M$826, 10, FALSE)</f>
        <v>0</v>
      </c>
      <c r="L288" t="str">
        <f>VLOOKUP($C288, Egli_UPEC_metadata_provided!$A$2:$M$826, 11, FALSE)</f>
        <v>non-invasive</v>
      </c>
      <c r="M288">
        <f>VLOOKUP($C288, Egli_UPEC_metadata_provided!$A$2:$M$826, 12, FALSE)</f>
        <v>0</v>
      </c>
      <c r="N288">
        <f>VLOOKUP($C288, Egli_UPEC_metadata_provided!$A$2:$M$826, 13, FALSE)</f>
        <v>0</v>
      </c>
      <c r="O288" t="str">
        <f>VLOOKUP($C288, Egli_UPEC_metadata_provided!$A$2:$N$826, 14, FALSE)</f>
        <v>NA</v>
      </c>
    </row>
    <row r="289" spans="1:15" x14ac:dyDescent="0.2">
      <c r="A289" t="s">
        <v>840</v>
      </c>
      <c r="B289" t="s">
        <v>4076</v>
      </c>
      <c r="C289" t="s">
        <v>4076</v>
      </c>
      <c r="D289">
        <f>VLOOKUP($C289, Egli_UPEC_metadata_provided!$A$2:$M$826, 3, FALSE)</f>
        <v>2018</v>
      </c>
      <c r="E289" t="str">
        <f>VLOOKUP($C289, Egli_UPEC_metadata_provided!$A$2:$M$826, 4, FALSE)</f>
        <v>E2</v>
      </c>
      <c r="F289" t="str">
        <f>VLOOKUP($C289, Egli_UPEC_metadata_provided!$A$2:$M$826, 5, FALSE)</f>
        <v>w</v>
      </c>
      <c r="G289">
        <f>VLOOKUP($C289, Egli_UPEC_metadata_provided!$A$2:$M$826, 6, FALSE)</f>
        <v>0</v>
      </c>
      <c r="H289">
        <f>VLOOKUP($C289, Egli_UPEC_metadata_provided!$A$2:$M$826, 7, FALSE)</f>
        <v>0</v>
      </c>
      <c r="I289">
        <f>VLOOKUP($C289, Egli_UPEC_metadata_provided!$A$2:$M$826, 8, FALSE)</f>
        <v>85.033492822966494</v>
      </c>
      <c r="J289" t="b">
        <f>VLOOKUP($C289, Egli_UPEC_metadata_provided!$A$2:$M$826, 9, FALSE)</f>
        <v>0</v>
      </c>
      <c r="K289">
        <f>VLOOKUP($C289, Egli_UPEC_metadata_provided!$A$2:$M$826, 10, FALSE)</f>
        <v>0</v>
      </c>
      <c r="L289" t="str">
        <f>VLOOKUP($C289, Egli_UPEC_metadata_provided!$A$2:$M$826, 11, FALSE)</f>
        <v>non-invasive</v>
      </c>
      <c r="M289">
        <f>VLOOKUP($C289, Egli_UPEC_metadata_provided!$A$2:$M$826, 12, FALSE)</f>
        <v>0</v>
      </c>
      <c r="N289">
        <f>VLOOKUP($C289, Egli_UPEC_metadata_provided!$A$2:$M$826, 13, FALSE)</f>
        <v>0</v>
      </c>
      <c r="O289">
        <f>VLOOKUP($C289, Egli_UPEC_metadata_provided!$A$2:$N$826, 14, FALSE)</f>
        <v>0</v>
      </c>
    </row>
    <row r="290" spans="1:15" x14ac:dyDescent="0.2">
      <c r="A290" t="s">
        <v>841</v>
      </c>
      <c r="B290" t="s">
        <v>4077</v>
      </c>
      <c r="C290" t="s">
        <v>4077</v>
      </c>
      <c r="D290">
        <f>VLOOKUP($C290, Egli_UPEC_metadata_provided!$A$2:$M$826, 3, FALSE)</f>
        <v>2018</v>
      </c>
      <c r="E290" t="str">
        <f>VLOOKUP($C290, Egli_UPEC_metadata_provided!$A$2:$M$826, 4, FALSE)</f>
        <v>D1</v>
      </c>
      <c r="F290" t="str">
        <f>VLOOKUP($C290, Egli_UPEC_metadata_provided!$A$2:$M$826, 5, FALSE)</f>
        <v>w</v>
      </c>
      <c r="G290">
        <f>VLOOKUP($C290, Egli_UPEC_metadata_provided!$A$2:$M$826, 6, FALSE)</f>
        <v>0</v>
      </c>
      <c r="H290">
        <f>VLOOKUP($C290, Egli_UPEC_metadata_provided!$A$2:$M$826, 7, FALSE)</f>
        <v>1</v>
      </c>
      <c r="I290">
        <f>VLOOKUP($C290, Egli_UPEC_metadata_provided!$A$2:$M$826, 8, FALSE)</f>
        <v>76.814764183185204</v>
      </c>
      <c r="J290" t="b">
        <f>VLOOKUP($C290, Egli_UPEC_metadata_provided!$A$2:$M$826, 9, FALSE)</f>
        <v>0</v>
      </c>
      <c r="K290">
        <f>VLOOKUP($C290, Egli_UPEC_metadata_provided!$A$2:$M$826, 10, FALSE)</f>
        <v>0</v>
      </c>
      <c r="L290" t="str">
        <f>VLOOKUP($C290, Egli_UPEC_metadata_provided!$A$2:$M$826, 11, FALSE)</f>
        <v>non-invasive</v>
      </c>
      <c r="M290">
        <f>VLOOKUP($C290, Egli_UPEC_metadata_provided!$A$2:$M$826, 12, FALSE)</f>
        <v>0</v>
      </c>
      <c r="N290">
        <f>VLOOKUP($C290, Egli_UPEC_metadata_provided!$A$2:$M$826, 13, FALSE)</f>
        <v>0</v>
      </c>
      <c r="O290">
        <f>VLOOKUP($C290, Egli_UPEC_metadata_provided!$A$2:$N$826, 14, FALSE)</f>
        <v>1</v>
      </c>
    </row>
    <row r="291" spans="1:15" x14ac:dyDescent="0.2">
      <c r="A291" t="s">
        <v>842</v>
      </c>
      <c r="B291" t="s">
        <v>4078</v>
      </c>
      <c r="C291" t="s">
        <v>4078</v>
      </c>
      <c r="D291">
        <f>VLOOKUP($C291, Egli_UPEC_metadata_provided!$A$2:$M$826, 3, FALSE)</f>
        <v>2018</v>
      </c>
      <c r="E291" t="str">
        <f>VLOOKUP($C291, Egli_UPEC_metadata_provided!$A$2:$M$826, 4, FALSE)</f>
        <v>F</v>
      </c>
      <c r="F291" t="str">
        <f>VLOOKUP($C291, Egli_UPEC_metadata_provided!$A$2:$M$826, 5, FALSE)</f>
        <v>m</v>
      </c>
      <c r="G291">
        <f>VLOOKUP($C291, Egli_UPEC_metadata_provided!$A$2:$M$826, 6, FALSE)</f>
        <v>0</v>
      </c>
      <c r="H291">
        <f>VLOOKUP($C291, Egli_UPEC_metadata_provided!$A$2:$M$826, 7, FALSE)</f>
        <v>3</v>
      </c>
      <c r="I291">
        <f>VLOOKUP($C291, Egli_UPEC_metadata_provided!$A$2:$M$826, 8, FALSE)</f>
        <v>83.029391660970603</v>
      </c>
      <c r="J291" t="b">
        <f>VLOOKUP($C291, Egli_UPEC_metadata_provided!$A$2:$M$826, 9, FALSE)</f>
        <v>1</v>
      </c>
      <c r="K291">
        <f>VLOOKUP($C291, Egli_UPEC_metadata_provided!$A$2:$M$826, 10, FALSE)</f>
        <v>0</v>
      </c>
      <c r="L291" t="str">
        <f>VLOOKUP($C291, Egli_UPEC_metadata_provided!$A$2:$M$826, 11, FALSE)</f>
        <v>non-invasive</v>
      </c>
      <c r="M291">
        <f>VLOOKUP($C291, Egli_UPEC_metadata_provided!$A$2:$M$826, 12, FALSE)</f>
        <v>0</v>
      </c>
      <c r="N291">
        <f>VLOOKUP($C291, Egli_UPEC_metadata_provided!$A$2:$M$826, 13, FALSE)</f>
        <v>0</v>
      </c>
      <c r="O291" t="str">
        <f>VLOOKUP($C291, Egli_UPEC_metadata_provided!$A$2:$N$826, 14, FALSE)</f>
        <v>NA</v>
      </c>
    </row>
    <row r="292" spans="1:15" x14ac:dyDescent="0.2">
      <c r="A292" t="s">
        <v>843</v>
      </c>
      <c r="B292" t="s">
        <v>4079</v>
      </c>
      <c r="C292" t="s">
        <v>4079</v>
      </c>
      <c r="D292">
        <f>VLOOKUP($C292, Egli_UPEC_metadata_provided!$A$2:$M$826, 3, FALSE)</f>
        <v>2018</v>
      </c>
      <c r="E292" t="str">
        <f>VLOOKUP($C292, Egli_UPEC_metadata_provided!$A$2:$M$826, 4, FALSE)</f>
        <v>B2-2</v>
      </c>
      <c r="F292" t="str">
        <f>VLOOKUP($C292, Egli_UPEC_metadata_provided!$A$2:$M$826, 5, FALSE)</f>
        <v>w</v>
      </c>
      <c r="G292">
        <f>VLOOKUP($C292, Egli_UPEC_metadata_provided!$A$2:$M$826, 6, FALSE)</f>
        <v>0</v>
      </c>
      <c r="H292">
        <f>VLOOKUP($C292, Egli_UPEC_metadata_provided!$A$2:$M$826, 7, FALSE)</f>
        <v>0</v>
      </c>
      <c r="I292">
        <f>VLOOKUP($C292, Egli_UPEC_metadata_provided!$A$2:$M$826, 8, FALSE)</f>
        <v>60.051948051948102</v>
      </c>
      <c r="J292" t="b">
        <f>VLOOKUP($C292, Egli_UPEC_metadata_provided!$A$2:$M$826, 9, FALSE)</f>
        <v>1</v>
      </c>
      <c r="K292">
        <f>VLOOKUP($C292, Egli_UPEC_metadata_provided!$A$2:$M$826, 10, FALSE)</f>
        <v>0</v>
      </c>
      <c r="L292" t="str">
        <f>VLOOKUP($C292, Egli_UPEC_metadata_provided!$A$2:$M$826, 11, FALSE)</f>
        <v>non-invasive</v>
      </c>
      <c r="M292">
        <f>VLOOKUP($C292, Egli_UPEC_metadata_provided!$A$2:$M$826, 12, FALSE)</f>
        <v>0</v>
      </c>
      <c r="N292">
        <f>VLOOKUP($C292, Egli_UPEC_metadata_provided!$A$2:$M$826, 13, FALSE)</f>
        <v>0</v>
      </c>
      <c r="O292">
        <f>VLOOKUP($C292, Egli_UPEC_metadata_provided!$A$2:$N$826, 14, FALSE)</f>
        <v>1</v>
      </c>
    </row>
    <row r="293" spans="1:15" x14ac:dyDescent="0.2">
      <c r="A293" t="s">
        <v>3186</v>
      </c>
      <c r="B293" t="s">
        <v>4309</v>
      </c>
      <c r="C293" t="s">
        <v>4080</v>
      </c>
      <c r="D293">
        <f>VLOOKUP($C293, Egli_UPEC_metadata_provided!$A$2:$M$826, 3, FALSE)</f>
        <v>2018</v>
      </c>
      <c r="E293" t="str">
        <f>VLOOKUP($C293, Egli_UPEC_metadata_provided!$A$2:$M$826, 4, FALSE)</f>
        <v>B2-2</v>
      </c>
      <c r="F293" t="str">
        <f>VLOOKUP($C293, Egli_UPEC_metadata_provided!$A$2:$M$826, 5, FALSE)</f>
        <v>w</v>
      </c>
      <c r="G293">
        <f>VLOOKUP($C293, Egli_UPEC_metadata_provided!$A$2:$M$826, 6, FALSE)</f>
        <v>0</v>
      </c>
      <c r="H293">
        <f>VLOOKUP($C293, Egli_UPEC_metadata_provided!$A$2:$M$826, 7, FALSE)</f>
        <v>0</v>
      </c>
      <c r="I293">
        <f>VLOOKUP($C293, Egli_UPEC_metadata_provided!$A$2:$M$826, 8, FALSE)</f>
        <v>77.287764866712195</v>
      </c>
      <c r="J293" t="b">
        <f>VLOOKUP($C293, Egli_UPEC_metadata_provided!$A$2:$M$826, 9, FALSE)</f>
        <v>0</v>
      </c>
      <c r="K293">
        <f>VLOOKUP($C293, Egli_UPEC_metadata_provided!$A$2:$M$826, 10, FALSE)</f>
        <v>0</v>
      </c>
      <c r="L293" t="str">
        <f>VLOOKUP($C293, Egli_UPEC_metadata_provided!$A$2:$M$826, 11, FALSE)</f>
        <v>non-invasive</v>
      </c>
      <c r="M293">
        <f>VLOOKUP($C293, Egli_UPEC_metadata_provided!$A$2:$M$826, 12, FALSE)</f>
        <v>0</v>
      </c>
      <c r="N293">
        <f>VLOOKUP($C293, Egli_UPEC_metadata_provided!$A$2:$M$826, 13, FALSE)</f>
        <v>0</v>
      </c>
      <c r="O293">
        <f>VLOOKUP($C293, Egli_UPEC_metadata_provided!$A$2:$N$826, 14, FALSE)</f>
        <v>1</v>
      </c>
    </row>
    <row r="294" spans="1:15" x14ac:dyDescent="0.2">
      <c r="A294" t="s">
        <v>844</v>
      </c>
      <c r="B294" t="s">
        <v>4139</v>
      </c>
      <c r="C294" t="s">
        <v>4080</v>
      </c>
      <c r="D294">
        <f>VLOOKUP($C294, Egli_UPEC_metadata_provided!$A$2:$M$826, 3, FALSE)</f>
        <v>2018</v>
      </c>
      <c r="E294" t="str">
        <f>VLOOKUP($C294, Egli_UPEC_metadata_provided!$A$2:$M$826, 4, FALSE)</f>
        <v>B2-2</v>
      </c>
      <c r="F294" t="str">
        <f>VLOOKUP($C294, Egli_UPEC_metadata_provided!$A$2:$M$826, 5, FALSE)</f>
        <v>w</v>
      </c>
      <c r="G294">
        <f>VLOOKUP($C294, Egli_UPEC_metadata_provided!$A$2:$M$826, 6, FALSE)</f>
        <v>0</v>
      </c>
      <c r="H294">
        <f>VLOOKUP($C294, Egli_UPEC_metadata_provided!$A$2:$M$826, 7, FALSE)</f>
        <v>0</v>
      </c>
      <c r="I294">
        <f>VLOOKUP($C294, Egli_UPEC_metadata_provided!$A$2:$M$826, 8, FALSE)</f>
        <v>77.287764866712195</v>
      </c>
      <c r="J294" t="b">
        <f>VLOOKUP($C294, Egli_UPEC_metadata_provided!$A$2:$M$826, 9, FALSE)</f>
        <v>0</v>
      </c>
      <c r="K294">
        <f>VLOOKUP($C294, Egli_UPEC_metadata_provided!$A$2:$M$826, 10, FALSE)</f>
        <v>0</v>
      </c>
      <c r="L294" t="str">
        <f>VLOOKUP($C294, Egli_UPEC_metadata_provided!$A$2:$M$826, 11, FALSE)</f>
        <v>non-invasive</v>
      </c>
      <c r="M294">
        <f>VLOOKUP($C294, Egli_UPEC_metadata_provided!$A$2:$M$826, 12, FALSE)</f>
        <v>0</v>
      </c>
      <c r="N294">
        <f>VLOOKUP($C294, Egli_UPEC_metadata_provided!$A$2:$M$826, 13, FALSE)</f>
        <v>0</v>
      </c>
      <c r="O294">
        <f>VLOOKUP($C294, Egli_UPEC_metadata_provided!$A$2:$N$826, 14, FALSE)</f>
        <v>1</v>
      </c>
    </row>
    <row r="295" spans="1:15" x14ac:dyDescent="0.2">
      <c r="A295" t="s">
        <v>848</v>
      </c>
      <c r="B295" t="s">
        <v>4084</v>
      </c>
      <c r="C295" t="s">
        <v>4084</v>
      </c>
      <c r="D295">
        <f>VLOOKUP($C295, Egli_UPEC_metadata_provided!$A$2:$M$826, 3, FALSE)</f>
        <v>2018</v>
      </c>
      <c r="E295" t="str">
        <f>VLOOKUP($C295, Egli_UPEC_metadata_provided!$A$2:$M$826, 4, FALSE)</f>
        <v>B2-2</v>
      </c>
      <c r="F295" t="str">
        <f>VLOOKUP($C295, Egli_UPEC_metadata_provided!$A$2:$M$826, 5, FALSE)</f>
        <v>w</v>
      </c>
      <c r="G295">
        <f>VLOOKUP($C295, Egli_UPEC_metadata_provided!$A$2:$M$826, 6, FALSE)</f>
        <v>0</v>
      </c>
      <c r="H295">
        <f>VLOOKUP($C295, Egli_UPEC_metadata_provided!$A$2:$M$826, 7, FALSE)</f>
        <v>1</v>
      </c>
      <c r="I295">
        <f>VLOOKUP($C295, Egli_UPEC_metadata_provided!$A$2:$M$826, 8, FALSE)</f>
        <v>71.272727272727295</v>
      </c>
      <c r="J295" t="b">
        <f>VLOOKUP($C295, Egli_UPEC_metadata_provided!$A$2:$M$826, 9, FALSE)</f>
        <v>0</v>
      </c>
      <c r="K295">
        <f>VLOOKUP($C295, Egli_UPEC_metadata_provided!$A$2:$M$826, 10, FALSE)</f>
        <v>0</v>
      </c>
      <c r="L295" t="str">
        <f>VLOOKUP($C295, Egli_UPEC_metadata_provided!$A$2:$M$826, 11, FALSE)</f>
        <v>non-invasive</v>
      </c>
      <c r="M295">
        <f>VLOOKUP($C295, Egli_UPEC_metadata_provided!$A$2:$M$826, 12, FALSE)</f>
        <v>0</v>
      </c>
      <c r="N295">
        <f>VLOOKUP($C295, Egli_UPEC_metadata_provided!$A$2:$M$826, 13, FALSE)</f>
        <v>0</v>
      </c>
      <c r="O295">
        <f>VLOOKUP($C295, Egli_UPEC_metadata_provided!$A$2:$N$826, 14, FALSE)</f>
        <v>1</v>
      </c>
    </row>
    <row r="296" spans="1:15" x14ac:dyDescent="0.2">
      <c r="A296" t="s">
        <v>849</v>
      </c>
      <c r="B296" t="s">
        <v>4085</v>
      </c>
      <c r="C296" t="s">
        <v>4085</v>
      </c>
      <c r="D296">
        <f>VLOOKUP($C296, Egli_UPEC_metadata_provided!$A$2:$M$826, 3, FALSE)</f>
        <v>2018</v>
      </c>
      <c r="E296" t="str">
        <f>VLOOKUP($C296, Egli_UPEC_metadata_provided!$A$2:$M$826, 4, FALSE)</f>
        <v>B2-1</v>
      </c>
      <c r="F296" t="str">
        <f>VLOOKUP($C296, Egli_UPEC_metadata_provided!$A$2:$M$826, 5, FALSE)</f>
        <v>w</v>
      </c>
      <c r="G296">
        <f>VLOOKUP($C296, Egli_UPEC_metadata_provided!$A$2:$M$826, 6, FALSE)</f>
        <v>0</v>
      </c>
      <c r="H296">
        <f>VLOOKUP($C296, Egli_UPEC_metadata_provided!$A$2:$M$826, 7, FALSE)</f>
        <v>1</v>
      </c>
      <c r="I296">
        <f>VLOOKUP($C296, Egli_UPEC_metadata_provided!$A$2:$M$826, 8, FALSE)</f>
        <v>85.697881066302102</v>
      </c>
      <c r="J296" t="b">
        <f>VLOOKUP($C296, Egli_UPEC_metadata_provided!$A$2:$M$826, 9, FALSE)</f>
        <v>1</v>
      </c>
      <c r="K296">
        <f>VLOOKUP($C296, Egli_UPEC_metadata_provided!$A$2:$M$826, 10, FALSE)</f>
        <v>1</v>
      </c>
      <c r="L296" t="str">
        <f>VLOOKUP($C296, Egli_UPEC_metadata_provided!$A$2:$M$826, 11, FALSE)</f>
        <v>non-invasive</v>
      </c>
      <c r="M296">
        <f>VLOOKUP($C296, Egli_UPEC_metadata_provided!$A$2:$M$826, 12, FALSE)</f>
        <v>0</v>
      </c>
      <c r="N296">
        <f>VLOOKUP($C296, Egli_UPEC_metadata_provided!$A$2:$M$826, 13, FALSE)</f>
        <v>0</v>
      </c>
      <c r="O296">
        <f>VLOOKUP($C296, Egli_UPEC_metadata_provided!$A$2:$N$826, 14, FALSE)</f>
        <v>0</v>
      </c>
    </row>
    <row r="297" spans="1:15" x14ac:dyDescent="0.2">
      <c r="A297" t="s">
        <v>850</v>
      </c>
      <c r="B297" t="s">
        <v>4086</v>
      </c>
      <c r="C297" t="s">
        <v>4086</v>
      </c>
      <c r="D297">
        <f>VLOOKUP($C297, Egli_UPEC_metadata_provided!$A$2:$M$826, 3, FALSE)</f>
        <v>2018</v>
      </c>
      <c r="E297" t="str">
        <f>VLOOKUP($C297, Egli_UPEC_metadata_provided!$A$2:$M$826, 4, FALSE)</f>
        <v>B1</v>
      </c>
      <c r="F297" t="str">
        <f>VLOOKUP($C297, Egli_UPEC_metadata_provided!$A$2:$M$826, 5, FALSE)</f>
        <v>w</v>
      </c>
      <c r="G297">
        <f>VLOOKUP($C297, Egli_UPEC_metadata_provided!$A$2:$M$826, 6, FALSE)</f>
        <v>0</v>
      </c>
      <c r="H297">
        <f>VLOOKUP($C297, Egli_UPEC_metadata_provided!$A$2:$M$826, 7, FALSE)</f>
        <v>0</v>
      </c>
      <c r="I297">
        <f>VLOOKUP($C297, Egli_UPEC_metadata_provided!$A$2:$M$826, 8, FALSE)</f>
        <v>59.425837320574203</v>
      </c>
      <c r="J297" t="b">
        <f>VLOOKUP($C297, Egli_UPEC_metadata_provided!$A$2:$M$826, 9, FALSE)</f>
        <v>0</v>
      </c>
      <c r="K297">
        <f>VLOOKUP($C297, Egli_UPEC_metadata_provided!$A$2:$M$826, 10, FALSE)</f>
        <v>0</v>
      </c>
      <c r="L297" t="str">
        <f>VLOOKUP($C297, Egli_UPEC_metadata_provided!$A$2:$M$826, 11, FALSE)</f>
        <v>non-invasive</v>
      </c>
      <c r="M297">
        <f>VLOOKUP($C297, Egli_UPEC_metadata_provided!$A$2:$M$826, 12, FALSE)</f>
        <v>0</v>
      </c>
      <c r="N297">
        <f>VLOOKUP($C297, Egli_UPEC_metadata_provided!$A$2:$M$826, 13, FALSE)</f>
        <v>0</v>
      </c>
      <c r="O297">
        <f>VLOOKUP($C297, Egli_UPEC_metadata_provided!$A$2:$N$826, 14, FALSE)</f>
        <v>0</v>
      </c>
    </row>
    <row r="298" spans="1:15" x14ac:dyDescent="0.2">
      <c r="A298" t="s">
        <v>851</v>
      </c>
      <c r="B298" t="s">
        <v>4087</v>
      </c>
      <c r="C298" t="s">
        <v>4087</v>
      </c>
      <c r="D298">
        <f>VLOOKUP($C298, Egli_UPEC_metadata_provided!$A$2:$M$826, 3, FALSE)</f>
        <v>2018</v>
      </c>
      <c r="E298" t="str">
        <f>VLOOKUP($C298, Egli_UPEC_metadata_provided!$A$2:$M$826, 4, FALSE)</f>
        <v>A</v>
      </c>
      <c r="F298" t="str">
        <f>VLOOKUP($C298, Egli_UPEC_metadata_provided!$A$2:$M$826, 5, FALSE)</f>
        <v>w</v>
      </c>
      <c r="G298">
        <f>VLOOKUP($C298, Egli_UPEC_metadata_provided!$A$2:$M$826, 6, FALSE)</f>
        <v>0</v>
      </c>
      <c r="H298">
        <f>VLOOKUP($C298, Egli_UPEC_metadata_provided!$A$2:$M$826, 7, FALSE)</f>
        <v>0</v>
      </c>
      <c r="I298">
        <f>VLOOKUP($C298, Egli_UPEC_metadata_provided!$A$2:$M$826, 8, FALSE)</f>
        <v>47.652768284347196</v>
      </c>
      <c r="J298" t="b">
        <f>VLOOKUP($C298, Egli_UPEC_metadata_provided!$A$2:$M$826, 9, FALSE)</f>
        <v>0</v>
      </c>
      <c r="K298">
        <f>VLOOKUP($C298, Egli_UPEC_metadata_provided!$A$2:$M$826, 10, FALSE)</f>
        <v>0</v>
      </c>
      <c r="L298" t="str">
        <f>VLOOKUP($C298, Egli_UPEC_metadata_provided!$A$2:$M$826, 11, FALSE)</f>
        <v>non-invasive</v>
      </c>
      <c r="M298">
        <f>VLOOKUP($C298, Egli_UPEC_metadata_provided!$A$2:$M$826, 12, FALSE)</f>
        <v>0</v>
      </c>
      <c r="N298">
        <f>VLOOKUP($C298, Egli_UPEC_metadata_provided!$A$2:$M$826, 13, FALSE)</f>
        <v>0</v>
      </c>
      <c r="O298" t="str">
        <f>VLOOKUP($C298, Egli_UPEC_metadata_provided!$A$2:$N$826, 14, FALSE)</f>
        <v>NA</v>
      </c>
    </row>
    <row r="299" spans="1:15" x14ac:dyDescent="0.2">
      <c r="A299" t="s">
        <v>852</v>
      </c>
      <c r="B299" t="s">
        <v>4088</v>
      </c>
      <c r="C299" t="s">
        <v>4088</v>
      </c>
      <c r="D299">
        <f>VLOOKUP($C299, Egli_UPEC_metadata_provided!$A$2:$M$826, 3, FALSE)</f>
        <v>2018</v>
      </c>
      <c r="E299" t="str">
        <f>VLOOKUP($C299, Egli_UPEC_metadata_provided!$A$2:$M$826, 4, FALSE)</f>
        <v>D1</v>
      </c>
      <c r="F299" t="str">
        <f>VLOOKUP($C299, Egli_UPEC_metadata_provided!$A$2:$M$826, 5, FALSE)</f>
        <v>w</v>
      </c>
      <c r="G299">
        <f>VLOOKUP($C299, Egli_UPEC_metadata_provided!$A$2:$M$826, 6, FALSE)</f>
        <v>0</v>
      </c>
      <c r="H299">
        <f>VLOOKUP($C299, Egli_UPEC_metadata_provided!$A$2:$M$826, 7, FALSE)</f>
        <v>0</v>
      </c>
      <c r="I299">
        <f>VLOOKUP($C299, Egli_UPEC_metadata_provided!$A$2:$M$826, 8, FALSE)</f>
        <v>26.775119617224899</v>
      </c>
      <c r="J299" t="b">
        <f>VLOOKUP($C299, Egli_UPEC_metadata_provided!$A$2:$M$826, 9, FALSE)</f>
        <v>0</v>
      </c>
      <c r="K299">
        <f>VLOOKUP($C299, Egli_UPEC_metadata_provided!$A$2:$M$826, 10, FALSE)</f>
        <v>1</v>
      </c>
      <c r="L299" t="str">
        <f>VLOOKUP($C299, Egli_UPEC_metadata_provided!$A$2:$M$826, 11, FALSE)</f>
        <v>non-invasive</v>
      </c>
      <c r="M299">
        <f>VLOOKUP($C299, Egli_UPEC_metadata_provided!$A$2:$M$826, 12, FALSE)</f>
        <v>0</v>
      </c>
      <c r="N299">
        <f>VLOOKUP($C299, Egli_UPEC_metadata_provided!$A$2:$M$826, 13, FALSE)</f>
        <v>0</v>
      </c>
      <c r="O299" t="str">
        <f>VLOOKUP($C299, Egli_UPEC_metadata_provided!$A$2:$N$826, 14, FALSE)</f>
        <v>NA</v>
      </c>
    </row>
    <row r="300" spans="1:15" x14ac:dyDescent="0.2">
      <c r="A300" t="s">
        <v>853</v>
      </c>
      <c r="B300" t="s">
        <v>4089</v>
      </c>
      <c r="C300" t="s">
        <v>4089</v>
      </c>
      <c r="D300">
        <f>VLOOKUP($C300, Egli_UPEC_metadata_provided!$A$2:$M$826, 3, FALSE)</f>
        <v>2018</v>
      </c>
      <c r="E300" t="str">
        <f>VLOOKUP($C300, Egli_UPEC_metadata_provided!$A$2:$M$826, 4, FALSE)</f>
        <v>D1</v>
      </c>
      <c r="F300" t="str">
        <f>VLOOKUP($C300, Egli_UPEC_metadata_provided!$A$2:$M$826, 5, FALSE)</f>
        <v>w</v>
      </c>
      <c r="G300">
        <f>VLOOKUP($C300, Egli_UPEC_metadata_provided!$A$2:$M$826, 6, FALSE)</f>
        <v>0</v>
      </c>
      <c r="H300">
        <f>VLOOKUP($C300, Egli_UPEC_metadata_provided!$A$2:$M$826, 7, FALSE)</f>
        <v>0</v>
      </c>
      <c r="I300">
        <f>VLOOKUP($C300, Egli_UPEC_metadata_provided!$A$2:$M$826, 8, FALSE)</f>
        <v>41.823650034176303</v>
      </c>
      <c r="J300" t="b">
        <f>VLOOKUP($C300, Egli_UPEC_metadata_provided!$A$2:$M$826, 9, FALSE)</f>
        <v>1</v>
      </c>
      <c r="K300">
        <f>VLOOKUP($C300, Egli_UPEC_metadata_provided!$A$2:$M$826, 10, FALSE)</f>
        <v>0</v>
      </c>
      <c r="L300" t="str">
        <f>VLOOKUP($C300, Egli_UPEC_metadata_provided!$A$2:$M$826, 11, FALSE)</f>
        <v>non-invasive</v>
      </c>
      <c r="M300">
        <f>VLOOKUP($C300, Egli_UPEC_metadata_provided!$A$2:$M$826, 12, FALSE)</f>
        <v>0</v>
      </c>
      <c r="N300">
        <f>VLOOKUP($C300, Egli_UPEC_metadata_provided!$A$2:$M$826, 13, FALSE)</f>
        <v>0</v>
      </c>
      <c r="O300">
        <f>VLOOKUP($C300, Egli_UPEC_metadata_provided!$A$2:$N$826, 14, FALSE)</f>
        <v>0</v>
      </c>
    </row>
    <row r="301" spans="1:15" x14ac:dyDescent="0.2">
      <c r="A301" t="s">
        <v>854</v>
      </c>
      <c r="B301" t="s">
        <v>4090</v>
      </c>
      <c r="C301" t="s">
        <v>4090</v>
      </c>
      <c r="D301">
        <f>VLOOKUP($C301, Egli_UPEC_metadata_provided!$A$2:$M$826, 3, FALSE)</f>
        <v>2018</v>
      </c>
      <c r="E301" t="str">
        <f>VLOOKUP($C301, Egli_UPEC_metadata_provided!$A$2:$M$826, 4, FALSE)</f>
        <v>B2-2</v>
      </c>
      <c r="F301" t="str">
        <f>VLOOKUP($C301, Egli_UPEC_metadata_provided!$A$2:$M$826, 5, FALSE)</f>
        <v>w</v>
      </c>
      <c r="G301">
        <f>VLOOKUP($C301, Egli_UPEC_metadata_provided!$A$2:$M$826, 6, FALSE)</f>
        <v>0</v>
      </c>
      <c r="H301">
        <f>VLOOKUP($C301, Egli_UPEC_metadata_provided!$A$2:$M$826, 7, FALSE)</f>
        <v>1</v>
      </c>
      <c r="I301">
        <f>VLOOKUP($C301, Egli_UPEC_metadata_provided!$A$2:$M$826, 8, FALSE)</f>
        <v>83.018455228981495</v>
      </c>
      <c r="J301" t="b">
        <f>VLOOKUP($C301, Egli_UPEC_metadata_provided!$A$2:$M$826, 9, FALSE)</f>
        <v>1</v>
      </c>
      <c r="K301">
        <f>VLOOKUP($C301, Egli_UPEC_metadata_provided!$A$2:$M$826, 10, FALSE)</f>
        <v>0</v>
      </c>
      <c r="L301" t="str">
        <f>VLOOKUP($C301, Egli_UPEC_metadata_provided!$A$2:$M$826, 11, FALSE)</f>
        <v>non-invasive</v>
      </c>
      <c r="M301">
        <f>VLOOKUP($C301, Egli_UPEC_metadata_provided!$A$2:$M$826, 12, FALSE)</f>
        <v>1</v>
      </c>
      <c r="N301">
        <f>VLOOKUP($C301, Egli_UPEC_metadata_provided!$A$2:$M$826, 13, FALSE)</f>
        <v>0</v>
      </c>
      <c r="O301">
        <f>VLOOKUP($C301, Egli_UPEC_metadata_provided!$A$2:$N$826, 14, FALSE)</f>
        <v>1</v>
      </c>
    </row>
    <row r="302" spans="1:15" x14ac:dyDescent="0.2">
      <c r="A302" t="s">
        <v>855</v>
      </c>
      <c r="B302" t="s">
        <v>4091</v>
      </c>
      <c r="C302" t="s">
        <v>4091</v>
      </c>
      <c r="D302">
        <f>VLOOKUP($C302, Egli_UPEC_metadata_provided!$A$2:$M$826, 3, FALSE)</f>
        <v>2018</v>
      </c>
      <c r="E302" t="str">
        <f>VLOOKUP($C302, Egli_UPEC_metadata_provided!$A$2:$M$826, 4, FALSE)</f>
        <v>B2-2</v>
      </c>
      <c r="F302" t="str">
        <f>VLOOKUP($C302, Egli_UPEC_metadata_provided!$A$2:$M$826, 5, FALSE)</f>
        <v>m</v>
      </c>
      <c r="G302">
        <f>VLOOKUP($C302, Egli_UPEC_metadata_provided!$A$2:$M$826, 6, FALSE)</f>
        <v>0</v>
      </c>
      <c r="H302">
        <f>VLOOKUP($C302, Egli_UPEC_metadata_provided!$A$2:$M$826, 7, FALSE)</f>
        <v>0</v>
      </c>
      <c r="I302">
        <f>VLOOKUP($C302, Egli_UPEC_metadata_provided!$A$2:$M$826, 8, FALSE)</f>
        <v>58.876281613123702</v>
      </c>
      <c r="J302" t="b">
        <f>VLOOKUP($C302, Egli_UPEC_metadata_provided!$A$2:$M$826, 9, FALSE)</f>
        <v>0</v>
      </c>
      <c r="K302">
        <f>VLOOKUP($C302, Egli_UPEC_metadata_provided!$A$2:$M$826, 10, FALSE)</f>
        <v>0</v>
      </c>
      <c r="L302" t="str">
        <f>VLOOKUP($C302, Egli_UPEC_metadata_provided!$A$2:$M$826, 11, FALSE)</f>
        <v>non-invasive</v>
      </c>
      <c r="M302">
        <f>VLOOKUP($C302, Egli_UPEC_metadata_provided!$A$2:$M$826, 12, FALSE)</f>
        <v>0</v>
      </c>
      <c r="N302">
        <f>VLOOKUP($C302, Egli_UPEC_metadata_provided!$A$2:$M$826, 13, FALSE)</f>
        <v>0</v>
      </c>
      <c r="O302">
        <f>VLOOKUP($C302, Egli_UPEC_metadata_provided!$A$2:$N$826, 14, FALSE)</f>
        <v>0</v>
      </c>
    </row>
    <row r="303" spans="1:15" x14ac:dyDescent="0.2">
      <c r="A303" t="s">
        <v>856</v>
      </c>
      <c r="B303" t="s">
        <v>4092</v>
      </c>
      <c r="C303" t="s">
        <v>4092</v>
      </c>
      <c r="D303">
        <f>VLOOKUP($C303, Egli_UPEC_metadata_provided!$A$2:$M$826, 3, FALSE)</f>
        <v>2018</v>
      </c>
      <c r="E303" t="str">
        <f>VLOOKUP($C303, Egli_UPEC_metadata_provided!$A$2:$M$826, 4, FALSE)</f>
        <v>B2-1</v>
      </c>
      <c r="F303" t="str">
        <f>VLOOKUP($C303, Egli_UPEC_metadata_provided!$A$2:$M$826, 5, FALSE)</f>
        <v>w</v>
      </c>
      <c r="G303">
        <f>VLOOKUP($C303, Egli_UPEC_metadata_provided!$A$2:$M$826, 6, FALSE)</f>
        <v>0</v>
      </c>
      <c r="H303">
        <f>VLOOKUP($C303, Egli_UPEC_metadata_provided!$A$2:$M$826, 7, FALSE)</f>
        <v>3</v>
      </c>
      <c r="I303">
        <f>VLOOKUP($C303, Egli_UPEC_metadata_provided!$A$2:$M$826, 8, FALSE)</f>
        <v>70.971975393028004</v>
      </c>
      <c r="J303" t="b">
        <f>VLOOKUP($C303, Egli_UPEC_metadata_provided!$A$2:$M$826, 9, FALSE)</f>
        <v>0</v>
      </c>
      <c r="K303">
        <f>VLOOKUP($C303, Egli_UPEC_metadata_provided!$A$2:$M$826, 10, FALSE)</f>
        <v>1</v>
      </c>
      <c r="L303" t="str">
        <f>VLOOKUP($C303, Egli_UPEC_metadata_provided!$A$2:$M$826, 11, FALSE)</f>
        <v>non-invasive</v>
      </c>
      <c r="M303">
        <f>VLOOKUP($C303, Egli_UPEC_metadata_provided!$A$2:$M$826, 12, FALSE)</f>
        <v>0</v>
      </c>
      <c r="N303">
        <f>VLOOKUP($C303, Egli_UPEC_metadata_provided!$A$2:$M$826, 13, FALSE)</f>
        <v>0</v>
      </c>
      <c r="O303">
        <f>VLOOKUP($C303, Egli_UPEC_metadata_provided!$A$2:$N$826, 14, FALSE)</f>
        <v>1</v>
      </c>
    </row>
    <row r="304" spans="1:15" x14ac:dyDescent="0.2">
      <c r="A304" t="s">
        <v>3221</v>
      </c>
      <c r="B304" t="s">
        <v>4093</v>
      </c>
      <c r="C304" t="s">
        <v>4093</v>
      </c>
      <c r="D304">
        <f>VLOOKUP($C304, Egli_UPEC_metadata_provided!$A$2:$M$826, 3, FALSE)</f>
        <v>2018</v>
      </c>
      <c r="E304" t="str">
        <f>VLOOKUP($C304, Egli_UPEC_metadata_provided!$A$2:$M$826, 4, FALSE)</f>
        <v>D1</v>
      </c>
      <c r="F304" t="str">
        <f>VLOOKUP($C304, Egli_UPEC_metadata_provided!$A$2:$M$826, 5, FALSE)</f>
        <v>w</v>
      </c>
      <c r="G304">
        <f>VLOOKUP($C304, Egli_UPEC_metadata_provided!$A$2:$M$826, 6, FALSE)</f>
        <v>0</v>
      </c>
      <c r="H304">
        <f>VLOOKUP($C304, Egli_UPEC_metadata_provided!$A$2:$M$826, 7, FALSE)</f>
        <v>0</v>
      </c>
      <c r="I304">
        <f>VLOOKUP($C304, Egli_UPEC_metadata_provided!$A$2:$M$826, 8, FALSE)</f>
        <v>57.2057416267943</v>
      </c>
      <c r="J304" t="b">
        <f>VLOOKUP($C304, Egli_UPEC_metadata_provided!$A$2:$M$826, 9, FALSE)</f>
        <v>1</v>
      </c>
      <c r="K304">
        <f>VLOOKUP($C304, Egli_UPEC_metadata_provided!$A$2:$M$826, 10, FALSE)</f>
        <v>0</v>
      </c>
      <c r="L304" t="str">
        <f>VLOOKUP($C304, Egli_UPEC_metadata_provided!$A$2:$M$826, 11, FALSE)</f>
        <v>non-invasive</v>
      </c>
      <c r="M304">
        <f>VLOOKUP($C304, Egli_UPEC_metadata_provided!$A$2:$M$826, 12, FALSE)</f>
        <v>0</v>
      </c>
      <c r="N304">
        <f>VLOOKUP($C304, Egli_UPEC_metadata_provided!$A$2:$M$826, 13, FALSE)</f>
        <v>0</v>
      </c>
      <c r="O304">
        <f>VLOOKUP($C304, Egli_UPEC_metadata_provided!$A$2:$N$826, 14, FALSE)</f>
        <v>0</v>
      </c>
    </row>
    <row r="305" spans="1:15" x14ac:dyDescent="0.2">
      <c r="A305" t="s">
        <v>858</v>
      </c>
      <c r="B305" t="s">
        <v>4095</v>
      </c>
      <c r="C305" t="s">
        <v>4095</v>
      </c>
      <c r="D305">
        <f>VLOOKUP($C305, Egli_UPEC_metadata_provided!$A$2:$M$826, 3, FALSE)</f>
        <v>2018</v>
      </c>
      <c r="E305" t="str">
        <f>VLOOKUP($C305, Egli_UPEC_metadata_provided!$A$2:$M$826, 4, FALSE)</f>
        <v>D3</v>
      </c>
      <c r="F305" t="str">
        <f>VLOOKUP($C305, Egli_UPEC_metadata_provided!$A$2:$M$826, 5, FALSE)</f>
        <v>w</v>
      </c>
      <c r="G305">
        <f>VLOOKUP($C305, Egli_UPEC_metadata_provided!$A$2:$M$826, 6, FALSE)</f>
        <v>0</v>
      </c>
      <c r="H305">
        <f>VLOOKUP($C305, Egli_UPEC_metadata_provided!$A$2:$M$826, 7, FALSE)</f>
        <v>2</v>
      </c>
      <c r="I305">
        <f>VLOOKUP($C305, Egli_UPEC_metadata_provided!$A$2:$M$826, 8, FALSE)</f>
        <v>86.088858509911105</v>
      </c>
      <c r="J305" t="b">
        <f>VLOOKUP($C305, Egli_UPEC_metadata_provided!$A$2:$M$826, 9, FALSE)</f>
        <v>0</v>
      </c>
      <c r="K305">
        <f>VLOOKUP($C305, Egli_UPEC_metadata_provided!$A$2:$M$826, 10, FALSE)</f>
        <v>0</v>
      </c>
      <c r="L305" t="str">
        <f>VLOOKUP($C305, Egli_UPEC_metadata_provided!$A$2:$M$826, 11, FALSE)</f>
        <v>non-invasive</v>
      </c>
      <c r="M305">
        <f>VLOOKUP($C305, Egli_UPEC_metadata_provided!$A$2:$M$826, 12, FALSE)</f>
        <v>0</v>
      </c>
      <c r="N305">
        <f>VLOOKUP($C305, Egli_UPEC_metadata_provided!$A$2:$M$826, 13, FALSE)</f>
        <v>0</v>
      </c>
      <c r="O305">
        <f>VLOOKUP($C305, Egli_UPEC_metadata_provided!$A$2:$N$826, 14, FALSE)</f>
        <v>0</v>
      </c>
    </row>
    <row r="306" spans="1:15" x14ac:dyDescent="0.2">
      <c r="A306" t="s">
        <v>860</v>
      </c>
      <c r="B306" t="s">
        <v>4097</v>
      </c>
      <c r="C306" t="s">
        <v>4097</v>
      </c>
      <c r="D306">
        <f>VLOOKUP($C306, Egli_UPEC_metadata_provided!$A$2:$M$826, 3, FALSE)</f>
        <v>2018</v>
      </c>
      <c r="E306" t="str">
        <f>VLOOKUP($C306, Egli_UPEC_metadata_provided!$A$2:$M$826, 4, FALSE)</f>
        <v>B2-2</v>
      </c>
      <c r="F306" t="str">
        <f>VLOOKUP($C306, Egli_UPEC_metadata_provided!$A$2:$M$826, 5, FALSE)</f>
        <v>m</v>
      </c>
      <c r="G306">
        <f>VLOOKUP($C306, Egli_UPEC_metadata_provided!$A$2:$M$826, 6, FALSE)</f>
        <v>0</v>
      </c>
      <c r="H306">
        <f>VLOOKUP($C306, Egli_UPEC_metadata_provided!$A$2:$M$826, 7, FALSE)</f>
        <v>0</v>
      </c>
      <c r="I306">
        <f>VLOOKUP($C306, Egli_UPEC_metadata_provided!$A$2:$M$826, 8, FALSE)</f>
        <v>42.537252221462701</v>
      </c>
      <c r="J306" t="b">
        <f>VLOOKUP($C306, Egli_UPEC_metadata_provided!$A$2:$M$826, 9, FALSE)</f>
        <v>1</v>
      </c>
      <c r="K306">
        <f>VLOOKUP($C306, Egli_UPEC_metadata_provided!$A$2:$M$826, 10, FALSE)</f>
        <v>0</v>
      </c>
      <c r="L306" t="str">
        <f>VLOOKUP($C306, Egli_UPEC_metadata_provided!$A$2:$M$826, 11, FALSE)</f>
        <v>non-invasive</v>
      </c>
      <c r="M306">
        <f>VLOOKUP($C306, Egli_UPEC_metadata_provided!$A$2:$M$826, 12, FALSE)</f>
        <v>0</v>
      </c>
      <c r="N306">
        <f>VLOOKUP($C306, Egli_UPEC_metadata_provided!$A$2:$M$826, 13, FALSE)</f>
        <v>0</v>
      </c>
      <c r="O306">
        <f>VLOOKUP($C306, Egli_UPEC_metadata_provided!$A$2:$N$826, 14, FALSE)</f>
        <v>1</v>
      </c>
    </row>
    <row r="307" spans="1:15" x14ac:dyDescent="0.2">
      <c r="A307" t="s">
        <v>861</v>
      </c>
      <c r="B307" t="s">
        <v>4098</v>
      </c>
      <c r="C307" t="s">
        <v>4098</v>
      </c>
      <c r="D307">
        <f>VLOOKUP($C307, Egli_UPEC_metadata_provided!$A$2:$M$826, 3, FALSE)</f>
        <v>2018</v>
      </c>
      <c r="E307" t="str">
        <f>VLOOKUP($C307, Egli_UPEC_metadata_provided!$A$2:$M$826, 4, FALSE)</f>
        <v>B2-2</v>
      </c>
      <c r="F307" t="str">
        <f>VLOOKUP($C307, Egli_UPEC_metadata_provided!$A$2:$M$826, 5, FALSE)</f>
        <v>w</v>
      </c>
      <c r="G307">
        <f>VLOOKUP($C307, Egli_UPEC_metadata_provided!$A$2:$M$826, 6, FALSE)</f>
        <v>0</v>
      </c>
      <c r="H307">
        <f>VLOOKUP($C307, Egli_UPEC_metadata_provided!$A$2:$M$826, 7, FALSE)</f>
        <v>0</v>
      </c>
      <c r="I307">
        <f>VLOOKUP($C307, Egli_UPEC_metadata_provided!$A$2:$M$826, 8, FALSE)</f>
        <v>36.106630211893403</v>
      </c>
      <c r="J307" t="b">
        <f>VLOOKUP($C307, Egli_UPEC_metadata_provided!$A$2:$M$826, 9, FALSE)</f>
        <v>0</v>
      </c>
      <c r="K307">
        <f>VLOOKUP($C307, Egli_UPEC_metadata_provided!$A$2:$M$826, 10, FALSE)</f>
        <v>0</v>
      </c>
      <c r="L307" t="str">
        <f>VLOOKUP($C307, Egli_UPEC_metadata_provided!$A$2:$M$826, 11, FALSE)</f>
        <v>non-invasive</v>
      </c>
      <c r="M307">
        <f>VLOOKUP($C307, Egli_UPEC_metadata_provided!$A$2:$M$826, 12, FALSE)</f>
        <v>0</v>
      </c>
      <c r="N307">
        <f>VLOOKUP($C307, Egli_UPEC_metadata_provided!$A$2:$M$826, 13, FALSE)</f>
        <v>0</v>
      </c>
      <c r="O307" t="str">
        <f>VLOOKUP($C307, Egli_UPEC_metadata_provided!$A$2:$N$826, 14, FALSE)</f>
        <v>NA</v>
      </c>
    </row>
    <row r="308" spans="1:15" x14ac:dyDescent="0.2">
      <c r="A308" t="s">
        <v>862</v>
      </c>
      <c r="B308" t="s">
        <v>4099</v>
      </c>
      <c r="C308" t="s">
        <v>4099</v>
      </c>
      <c r="D308">
        <f>VLOOKUP($C308, Egli_UPEC_metadata_provided!$A$2:$M$826, 3, FALSE)</f>
        <v>2018</v>
      </c>
      <c r="E308" t="str">
        <f>VLOOKUP($C308, Egli_UPEC_metadata_provided!$A$2:$M$826, 4, FALSE)</f>
        <v>B1</v>
      </c>
      <c r="F308" t="str">
        <f>VLOOKUP($C308, Egli_UPEC_metadata_provided!$A$2:$M$826, 5, FALSE)</f>
        <v>w</v>
      </c>
      <c r="G308">
        <f>VLOOKUP($C308, Egli_UPEC_metadata_provided!$A$2:$M$826, 6, FALSE)</f>
        <v>0</v>
      </c>
      <c r="H308">
        <f>VLOOKUP($C308, Egli_UPEC_metadata_provided!$A$2:$M$826, 7, FALSE)</f>
        <v>0</v>
      </c>
      <c r="I308">
        <f>VLOOKUP($C308, Egli_UPEC_metadata_provided!$A$2:$M$826, 8, FALSE)</f>
        <v>79.220779220779207</v>
      </c>
      <c r="J308" t="b">
        <f>VLOOKUP($C308, Egli_UPEC_metadata_provided!$A$2:$M$826, 9, FALSE)</f>
        <v>0</v>
      </c>
      <c r="K308">
        <f>VLOOKUP($C308, Egli_UPEC_metadata_provided!$A$2:$M$826, 10, FALSE)</f>
        <v>0</v>
      </c>
      <c r="L308" t="str">
        <f>VLOOKUP($C308, Egli_UPEC_metadata_provided!$A$2:$M$826, 11, FALSE)</f>
        <v>non-invasive</v>
      </c>
      <c r="M308">
        <f>VLOOKUP($C308, Egli_UPEC_metadata_provided!$A$2:$M$826, 12, FALSE)</f>
        <v>0</v>
      </c>
      <c r="N308">
        <f>VLOOKUP($C308, Egli_UPEC_metadata_provided!$A$2:$M$826, 13, FALSE)</f>
        <v>0</v>
      </c>
      <c r="O308" t="str">
        <f>VLOOKUP($C308, Egli_UPEC_metadata_provided!$A$2:$N$826, 14, FALSE)</f>
        <v>NA</v>
      </c>
    </row>
    <row r="309" spans="1:15" x14ac:dyDescent="0.2">
      <c r="A309" t="s">
        <v>863</v>
      </c>
      <c r="B309" t="s">
        <v>4100</v>
      </c>
      <c r="C309" t="s">
        <v>4100</v>
      </c>
      <c r="D309">
        <f>VLOOKUP($C309, Egli_UPEC_metadata_provided!$A$2:$M$826, 3, FALSE)</f>
        <v>2018</v>
      </c>
      <c r="E309" t="str">
        <f>VLOOKUP($C309, Egli_UPEC_metadata_provided!$A$2:$M$826, 4, FALSE)</f>
        <v>B2-2</v>
      </c>
      <c r="F309" t="str">
        <f>VLOOKUP($C309, Egli_UPEC_metadata_provided!$A$2:$M$826, 5, FALSE)</f>
        <v>w</v>
      </c>
      <c r="G309">
        <f>VLOOKUP($C309, Egli_UPEC_metadata_provided!$A$2:$M$826, 6, FALSE)</f>
        <v>0</v>
      </c>
      <c r="H309">
        <f>VLOOKUP($C309, Egli_UPEC_metadata_provided!$A$2:$M$826, 7, FALSE)</f>
        <v>2</v>
      </c>
      <c r="I309">
        <f>VLOOKUP($C309, Egli_UPEC_metadata_provided!$A$2:$M$826, 8, FALSE)</f>
        <v>92.388243335611804</v>
      </c>
      <c r="J309" t="b">
        <f>VLOOKUP($C309, Egli_UPEC_metadata_provided!$A$2:$M$826, 9, FALSE)</f>
        <v>0</v>
      </c>
      <c r="K309">
        <f>VLOOKUP($C309, Egli_UPEC_metadata_provided!$A$2:$M$826, 10, FALSE)</f>
        <v>0</v>
      </c>
      <c r="L309" t="str">
        <f>VLOOKUP($C309, Egli_UPEC_metadata_provided!$A$2:$M$826, 11, FALSE)</f>
        <v>non-invasive</v>
      </c>
      <c r="M309">
        <f>VLOOKUP($C309, Egli_UPEC_metadata_provided!$A$2:$M$826, 12, FALSE)</f>
        <v>0</v>
      </c>
      <c r="N309">
        <f>VLOOKUP($C309, Egli_UPEC_metadata_provided!$A$2:$M$826, 13, FALSE)</f>
        <v>0</v>
      </c>
      <c r="O309">
        <f>VLOOKUP($C309, Egli_UPEC_metadata_provided!$A$2:$N$826, 14, FALSE)</f>
        <v>0</v>
      </c>
    </row>
    <row r="310" spans="1:15" x14ac:dyDescent="0.2">
      <c r="A310" t="s">
        <v>864</v>
      </c>
      <c r="B310" t="s">
        <v>4101</v>
      </c>
      <c r="C310" t="s">
        <v>4101</v>
      </c>
      <c r="D310">
        <f>VLOOKUP($C310, Egli_UPEC_metadata_provided!$A$2:$M$826, 3, FALSE)</f>
        <v>2018</v>
      </c>
      <c r="E310" t="str">
        <f>VLOOKUP($C310, Egli_UPEC_metadata_provided!$A$2:$M$826, 4, FALSE)</f>
        <v>B2-2</v>
      </c>
      <c r="F310" t="str">
        <f>VLOOKUP($C310, Egli_UPEC_metadata_provided!$A$2:$M$826, 5, FALSE)</f>
        <v>w</v>
      </c>
      <c r="G310">
        <f>VLOOKUP($C310, Egli_UPEC_metadata_provided!$A$2:$M$826, 6, FALSE)</f>
        <v>0</v>
      </c>
      <c r="H310">
        <f>VLOOKUP($C310, Egli_UPEC_metadata_provided!$A$2:$M$826, 7, FALSE)</f>
        <v>2</v>
      </c>
      <c r="I310">
        <f>VLOOKUP($C310, Egli_UPEC_metadata_provided!$A$2:$M$826, 8, FALSE)</f>
        <v>54.6384142173616</v>
      </c>
      <c r="J310" t="b">
        <f>VLOOKUP($C310, Egli_UPEC_metadata_provided!$A$2:$M$826, 9, FALSE)</f>
        <v>0</v>
      </c>
      <c r="K310">
        <f>VLOOKUP($C310, Egli_UPEC_metadata_provided!$A$2:$M$826, 10, FALSE)</f>
        <v>0</v>
      </c>
      <c r="L310" t="str">
        <f>VLOOKUP($C310, Egli_UPEC_metadata_provided!$A$2:$M$826, 11, FALSE)</f>
        <v>non-invasive</v>
      </c>
      <c r="M310">
        <f>VLOOKUP($C310, Egli_UPEC_metadata_provided!$A$2:$M$826, 12, FALSE)</f>
        <v>0</v>
      </c>
      <c r="N310">
        <f>VLOOKUP($C310, Egli_UPEC_metadata_provided!$A$2:$M$826, 13, FALSE)</f>
        <v>0</v>
      </c>
      <c r="O310">
        <f>VLOOKUP($C310, Egli_UPEC_metadata_provided!$A$2:$N$826, 14, FALSE)</f>
        <v>1</v>
      </c>
    </row>
    <row r="311" spans="1:15" x14ac:dyDescent="0.2">
      <c r="A311" t="s">
        <v>865</v>
      </c>
      <c r="B311" t="s">
        <v>4102</v>
      </c>
      <c r="C311" t="s">
        <v>4102</v>
      </c>
      <c r="D311">
        <f>VLOOKUP($C311, Egli_UPEC_metadata_provided!$A$2:$M$826, 3, FALSE)</f>
        <v>2018</v>
      </c>
      <c r="E311" t="str">
        <f>VLOOKUP($C311, Egli_UPEC_metadata_provided!$A$2:$M$826, 4, FALSE)</f>
        <v>B2-2</v>
      </c>
      <c r="F311" t="str">
        <f>VLOOKUP($C311, Egli_UPEC_metadata_provided!$A$2:$M$826, 5, FALSE)</f>
        <v>w</v>
      </c>
      <c r="G311">
        <f>VLOOKUP($C311, Egli_UPEC_metadata_provided!$A$2:$M$826, 6, FALSE)</f>
        <v>0</v>
      </c>
      <c r="H311">
        <f>VLOOKUP($C311, Egli_UPEC_metadata_provided!$A$2:$M$826, 7, FALSE)</f>
        <v>0</v>
      </c>
      <c r="I311">
        <f>VLOOKUP($C311, Egli_UPEC_metadata_provided!$A$2:$M$826, 8, FALSE)</f>
        <v>28.7081339712919</v>
      </c>
      <c r="J311" t="b">
        <f>VLOOKUP($C311, Egli_UPEC_metadata_provided!$A$2:$M$826, 9, FALSE)</f>
        <v>0</v>
      </c>
      <c r="K311">
        <f>VLOOKUP($C311, Egli_UPEC_metadata_provided!$A$2:$M$826, 10, FALSE)</f>
        <v>0</v>
      </c>
      <c r="L311" t="str">
        <f>VLOOKUP($C311, Egli_UPEC_metadata_provided!$A$2:$M$826, 11, FALSE)</f>
        <v>non-invasive</v>
      </c>
      <c r="M311">
        <f>VLOOKUP($C311, Egli_UPEC_metadata_provided!$A$2:$M$826, 12, FALSE)</f>
        <v>0</v>
      </c>
      <c r="N311">
        <f>VLOOKUP($C311, Egli_UPEC_metadata_provided!$A$2:$M$826, 13, FALSE)</f>
        <v>0</v>
      </c>
      <c r="O311">
        <f>VLOOKUP($C311, Egli_UPEC_metadata_provided!$A$2:$N$826, 14, FALSE)</f>
        <v>0</v>
      </c>
    </row>
    <row r="312" spans="1:15" x14ac:dyDescent="0.2">
      <c r="A312" t="s">
        <v>866</v>
      </c>
      <c r="B312" t="s">
        <v>4103</v>
      </c>
      <c r="C312" t="s">
        <v>4103</v>
      </c>
      <c r="D312">
        <f>VLOOKUP($C312, Egli_UPEC_metadata_provided!$A$2:$M$826, 3, FALSE)</f>
        <v>2018</v>
      </c>
      <c r="E312" t="str">
        <f>VLOOKUP($C312, Egli_UPEC_metadata_provided!$A$2:$M$826, 4, FALSE)</f>
        <v>D1</v>
      </c>
      <c r="F312" t="str">
        <f>VLOOKUP($C312, Egli_UPEC_metadata_provided!$A$2:$M$826, 5, FALSE)</f>
        <v>w</v>
      </c>
      <c r="G312">
        <f>VLOOKUP($C312, Egli_UPEC_metadata_provided!$A$2:$M$826, 6, FALSE)</f>
        <v>0</v>
      </c>
      <c r="H312">
        <f>VLOOKUP($C312, Egli_UPEC_metadata_provided!$A$2:$M$826, 7, FALSE)</f>
        <v>1</v>
      </c>
      <c r="I312">
        <f>VLOOKUP($C312, Egli_UPEC_metadata_provided!$A$2:$M$826, 8, FALSE)</f>
        <v>78.941900205058104</v>
      </c>
      <c r="J312" t="b">
        <f>VLOOKUP($C312, Egli_UPEC_metadata_provided!$A$2:$M$826, 9, FALSE)</f>
        <v>0</v>
      </c>
      <c r="K312">
        <f>VLOOKUP($C312, Egli_UPEC_metadata_provided!$A$2:$M$826, 10, FALSE)</f>
        <v>0</v>
      </c>
      <c r="L312" t="str">
        <f>VLOOKUP($C312, Egli_UPEC_metadata_provided!$A$2:$M$826, 11, FALSE)</f>
        <v>non-invasive</v>
      </c>
      <c r="M312">
        <f>VLOOKUP($C312, Egli_UPEC_metadata_provided!$A$2:$M$826, 12, FALSE)</f>
        <v>0</v>
      </c>
      <c r="N312">
        <f>VLOOKUP($C312, Egli_UPEC_metadata_provided!$A$2:$M$826, 13, FALSE)</f>
        <v>0</v>
      </c>
      <c r="O312">
        <f>VLOOKUP($C312, Egli_UPEC_metadata_provided!$A$2:$N$826, 14, FALSE)</f>
        <v>1</v>
      </c>
    </row>
    <row r="313" spans="1:15" x14ac:dyDescent="0.2">
      <c r="A313" t="s">
        <v>867</v>
      </c>
      <c r="B313" t="s">
        <v>4104</v>
      </c>
      <c r="C313" t="s">
        <v>4104</v>
      </c>
      <c r="D313">
        <f>VLOOKUP($C313, Egli_UPEC_metadata_provided!$A$2:$M$826, 3, FALSE)</f>
        <v>2018</v>
      </c>
      <c r="E313" t="str">
        <f>VLOOKUP($C313, Egli_UPEC_metadata_provided!$A$2:$M$826, 4, FALSE)</f>
        <v>B1</v>
      </c>
      <c r="F313" t="str">
        <f>VLOOKUP($C313, Egli_UPEC_metadata_provided!$A$2:$M$826, 5, FALSE)</f>
        <v>w</v>
      </c>
      <c r="G313">
        <f>VLOOKUP($C313, Egli_UPEC_metadata_provided!$A$2:$M$826, 6, FALSE)</f>
        <v>0</v>
      </c>
      <c r="H313">
        <f>VLOOKUP($C313, Egli_UPEC_metadata_provided!$A$2:$M$826, 7, FALSE)</f>
        <v>0</v>
      </c>
      <c r="I313">
        <f>VLOOKUP($C313, Egli_UPEC_metadata_provided!$A$2:$M$826, 8, FALSE)</f>
        <v>36.300751879699199</v>
      </c>
      <c r="J313" t="b">
        <f>VLOOKUP($C313, Egli_UPEC_metadata_provided!$A$2:$M$826, 9, FALSE)</f>
        <v>0</v>
      </c>
      <c r="K313">
        <f>VLOOKUP($C313, Egli_UPEC_metadata_provided!$A$2:$M$826, 10, FALSE)</f>
        <v>0</v>
      </c>
      <c r="L313" t="str">
        <f>VLOOKUP($C313, Egli_UPEC_metadata_provided!$A$2:$M$826, 11, FALSE)</f>
        <v>non-invasive</v>
      </c>
      <c r="M313">
        <f>VLOOKUP($C313, Egli_UPEC_metadata_provided!$A$2:$M$826, 12, FALSE)</f>
        <v>0</v>
      </c>
      <c r="N313">
        <f>VLOOKUP($C313, Egli_UPEC_metadata_provided!$A$2:$M$826, 13, FALSE)</f>
        <v>0</v>
      </c>
      <c r="O313">
        <f>VLOOKUP($C313, Egli_UPEC_metadata_provided!$A$2:$N$826, 14, FALSE)</f>
        <v>1</v>
      </c>
    </row>
    <row r="314" spans="1:15" x14ac:dyDescent="0.2">
      <c r="A314" t="s">
        <v>868</v>
      </c>
      <c r="B314" t="s">
        <v>4105</v>
      </c>
      <c r="C314" t="s">
        <v>4105</v>
      </c>
      <c r="D314">
        <f>VLOOKUP($C314, Egli_UPEC_metadata_provided!$A$2:$M$826, 3, FALSE)</f>
        <v>2018</v>
      </c>
      <c r="E314" t="str">
        <f>VLOOKUP($C314, Egli_UPEC_metadata_provided!$A$2:$M$826, 4, FALSE)</f>
        <v>B2-1</v>
      </c>
      <c r="F314" t="str">
        <f>VLOOKUP($C314, Egli_UPEC_metadata_provided!$A$2:$M$826, 5, FALSE)</f>
        <v>w</v>
      </c>
      <c r="G314">
        <f>VLOOKUP($C314, Egli_UPEC_metadata_provided!$A$2:$M$826, 6, FALSE)</f>
        <v>0</v>
      </c>
      <c r="H314">
        <f>VLOOKUP($C314, Egli_UPEC_metadata_provided!$A$2:$M$826, 7, FALSE)</f>
        <v>3</v>
      </c>
      <c r="I314">
        <f>VLOOKUP($C314, Egli_UPEC_metadata_provided!$A$2:$M$826, 8, FALSE)</f>
        <v>76.158578263841406</v>
      </c>
      <c r="J314" t="b">
        <f>VLOOKUP($C314, Egli_UPEC_metadata_provided!$A$2:$M$826, 9, FALSE)</f>
        <v>0</v>
      </c>
      <c r="K314">
        <f>VLOOKUP($C314, Egli_UPEC_metadata_provided!$A$2:$M$826, 10, FALSE)</f>
        <v>0</v>
      </c>
      <c r="L314" t="str">
        <f>VLOOKUP($C314, Egli_UPEC_metadata_provided!$A$2:$M$826, 11, FALSE)</f>
        <v>non-invasive</v>
      </c>
      <c r="M314">
        <f>VLOOKUP($C314, Egli_UPEC_metadata_provided!$A$2:$M$826, 12, FALSE)</f>
        <v>0</v>
      </c>
      <c r="N314">
        <f>VLOOKUP($C314, Egli_UPEC_metadata_provided!$A$2:$M$826, 13, FALSE)</f>
        <v>0</v>
      </c>
      <c r="O314">
        <f>VLOOKUP($C314, Egli_UPEC_metadata_provided!$A$2:$N$826, 14, FALSE)</f>
        <v>0</v>
      </c>
    </row>
    <row r="315" spans="1:15" x14ac:dyDescent="0.2">
      <c r="A315" t="s">
        <v>869</v>
      </c>
      <c r="B315" t="s">
        <v>4106</v>
      </c>
      <c r="C315" t="s">
        <v>4106</v>
      </c>
      <c r="D315">
        <f>VLOOKUP($C315, Egli_UPEC_metadata_provided!$A$2:$M$826, 3, FALSE)</f>
        <v>2018</v>
      </c>
      <c r="E315" t="str">
        <f>VLOOKUP($C315, Egli_UPEC_metadata_provided!$A$2:$M$826, 4, FALSE)</f>
        <v>B2-1</v>
      </c>
      <c r="F315" t="str">
        <f>VLOOKUP($C315, Egli_UPEC_metadata_provided!$A$2:$M$826, 5, FALSE)</f>
        <v>m</v>
      </c>
      <c r="G315">
        <f>VLOOKUP($C315, Egli_UPEC_metadata_provided!$A$2:$M$826, 6, FALSE)</f>
        <v>0</v>
      </c>
      <c r="H315">
        <f>VLOOKUP($C315, Egli_UPEC_metadata_provided!$A$2:$M$826, 7, FALSE)</f>
        <v>3</v>
      </c>
      <c r="I315">
        <f>VLOOKUP($C315, Egli_UPEC_metadata_provided!$A$2:$M$826, 8, FALSE)</f>
        <v>84.9924812030075</v>
      </c>
      <c r="J315" t="b">
        <f>VLOOKUP($C315, Egli_UPEC_metadata_provided!$A$2:$M$826, 9, FALSE)</f>
        <v>0</v>
      </c>
      <c r="K315">
        <f>VLOOKUP($C315, Egli_UPEC_metadata_provided!$A$2:$M$826, 10, FALSE)</f>
        <v>0</v>
      </c>
      <c r="L315" t="str">
        <f>VLOOKUP($C315, Egli_UPEC_metadata_provided!$A$2:$M$826, 11, FALSE)</f>
        <v>non-invasive</v>
      </c>
      <c r="M315">
        <f>VLOOKUP($C315, Egli_UPEC_metadata_provided!$A$2:$M$826, 12, FALSE)</f>
        <v>0</v>
      </c>
      <c r="N315">
        <f>VLOOKUP($C315, Egli_UPEC_metadata_provided!$A$2:$M$826, 13, FALSE)</f>
        <v>0</v>
      </c>
      <c r="O315">
        <f>VLOOKUP($C315, Egli_UPEC_metadata_provided!$A$2:$N$826, 14, FALSE)</f>
        <v>1</v>
      </c>
    </row>
    <row r="316" spans="1:15" x14ac:dyDescent="0.2">
      <c r="A316" t="s">
        <v>870</v>
      </c>
      <c r="B316" t="s">
        <v>4107</v>
      </c>
      <c r="C316" t="s">
        <v>4107</v>
      </c>
      <c r="D316">
        <f>VLOOKUP($C316, Egli_UPEC_metadata_provided!$A$2:$M$826, 3, FALSE)</f>
        <v>2018</v>
      </c>
      <c r="E316" t="str">
        <f>VLOOKUP($C316, Egli_UPEC_metadata_provided!$A$2:$M$826, 4, FALSE)</f>
        <v>A</v>
      </c>
      <c r="F316" t="str">
        <f>VLOOKUP($C316, Egli_UPEC_metadata_provided!$A$2:$M$826, 5, FALSE)</f>
        <v>w</v>
      </c>
      <c r="G316">
        <f>VLOOKUP($C316, Egli_UPEC_metadata_provided!$A$2:$M$826, 6, FALSE)</f>
        <v>0</v>
      </c>
      <c r="H316">
        <f>VLOOKUP($C316, Egli_UPEC_metadata_provided!$A$2:$M$826, 7, FALSE)</f>
        <v>0</v>
      </c>
      <c r="I316">
        <f>VLOOKUP($C316, Egli_UPEC_metadata_provided!$A$2:$M$826, 8, FALSE)</f>
        <v>32.166780587833202</v>
      </c>
      <c r="J316" t="b">
        <f>VLOOKUP($C316, Egli_UPEC_metadata_provided!$A$2:$M$826, 9, FALSE)</f>
        <v>0</v>
      </c>
      <c r="K316">
        <f>VLOOKUP($C316, Egli_UPEC_metadata_provided!$A$2:$M$826, 10, FALSE)</f>
        <v>0</v>
      </c>
      <c r="L316" t="str">
        <f>VLOOKUP($C316, Egli_UPEC_metadata_provided!$A$2:$M$826, 11, FALSE)</f>
        <v>non-invasive</v>
      </c>
      <c r="M316">
        <f>VLOOKUP($C316, Egli_UPEC_metadata_provided!$A$2:$M$826, 12, FALSE)</f>
        <v>0</v>
      </c>
      <c r="N316">
        <f>VLOOKUP($C316, Egli_UPEC_metadata_provided!$A$2:$M$826, 13, FALSE)</f>
        <v>0</v>
      </c>
      <c r="O316" t="str">
        <f>VLOOKUP($C316, Egli_UPEC_metadata_provided!$A$2:$N$826, 14, FALSE)</f>
        <v>NA</v>
      </c>
    </row>
    <row r="317" spans="1:15" x14ac:dyDescent="0.2">
      <c r="A317" t="s">
        <v>871</v>
      </c>
      <c r="B317" t="s">
        <v>4108</v>
      </c>
      <c r="C317" t="s">
        <v>4108</v>
      </c>
      <c r="D317">
        <f>VLOOKUP($C317, Egli_UPEC_metadata_provided!$A$2:$M$826, 3, FALSE)</f>
        <v>2018</v>
      </c>
      <c r="E317" t="str">
        <f>VLOOKUP($C317, Egli_UPEC_metadata_provided!$A$2:$M$826, 4, FALSE)</f>
        <v>B2-2</v>
      </c>
      <c r="F317" t="str">
        <f>VLOOKUP($C317, Egli_UPEC_metadata_provided!$A$2:$M$826, 5, FALSE)</f>
        <v>m</v>
      </c>
      <c r="G317">
        <f>VLOOKUP($C317, Egli_UPEC_metadata_provided!$A$2:$M$826, 6, FALSE)</f>
        <v>0</v>
      </c>
      <c r="H317">
        <f>VLOOKUP($C317, Egli_UPEC_metadata_provided!$A$2:$M$826, 7, FALSE)</f>
        <v>0</v>
      </c>
      <c r="I317">
        <f>VLOOKUP($C317, Egli_UPEC_metadata_provided!$A$2:$M$826, 8, FALSE)</f>
        <v>55.053998632945998</v>
      </c>
      <c r="J317" t="b">
        <f>VLOOKUP($C317, Egli_UPEC_metadata_provided!$A$2:$M$826, 9, FALSE)</f>
        <v>0</v>
      </c>
      <c r="K317">
        <f>VLOOKUP($C317, Egli_UPEC_metadata_provided!$A$2:$M$826, 10, FALSE)</f>
        <v>0</v>
      </c>
      <c r="L317" t="str">
        <f>VLOOKUP($C317, Egli_UPEC_metadata_provided!$A$2:$M$826, 11, FALSE)</f>
        <v>non-invasive</v>
      </c>
      <c r="M317">
        <f>VLOOKUP($C317, Egli_UPEC_metadata_provided!$A$2:$M$826, 12, FALSE)</f>
        <v>0</v>
      </c>
      <c r="N317">
        <f>VLOOKUP($C317, Egli_UPEC_metadata_provided!$A$2:$M$826, 13, FALSE)</f>
        <v>0</v>
      </c>
      <c r="O317">
        <f>VLOOKUP($C317, Egli_UPEC_metadata_provided!$A$2:$N$826, 14, FALSE)</f>
        <v>1</v>
      </c>
    </row>
    <row r="318" spans="1:15" x14ac:dyDescent="0.2">
      <c r="A318" t="s">
        <v>872</v>
      </c>
      <c r="B318" t="s">
        <v>4109</v>
      </c>
      <c r="C318" t="s">
        <v>4109</v>
      </c>
      <c r="D318">
        <f>VLOOKUP($C318, Egli_UPEC_metadata_provided!$A$2:$M$826, 3, FALSE)</f>
        <v>2018</v>
      </c>
      <c r="E318" t="str">
        <f>VLOOKUP($C318, Egli_UPEC_metadata_provided!$A$2:$M$826, 4, FALSE)</f>
        <v>B2-2</v>
      </c>
      <c r="F318" t="str">
        <f>VLOOKUP($C318, Egli_UPEC_metadata_provided!$A$2:$M$826, 5, FALSE)</f>
        <v>w</v>
      </c>
      <c r="G318">
        <f>VLOOKUP($C318, Egli_UPEC_metadata_provided!$A$2:$M$826, 6, FALSE)</f>
        <v>0</v>
      </c>
      <c r="H318">
        <f>VLOOKUP($C318, Egli_UPEC_metadata_provided!$A$2:$M$826, 7, FALSE)</f>
        <v>1</v>
      </c>
      <c r="I318">
        <f>VLOOKUP($C318, Egli_UPEC_metadata_provided!$A$2:$M$826, 8, FALSE)</f>
        <v>92.721804511278194</v>
      </c>
      <c r="J318" t="b">
        <f>VLOOKUP($C318, Egli_UPEC_metadata_provided!$A$2:$M$826, 9, FALSE)</f>
        <v>0</v>
      </c>
      <c r="K318">
        <f>VLOOKUP($C318, Egli_UPEC_metadata_provided!$A$2:$M$826, 10, FALSE)</f>
        <v>0</v>
      </c>
      <c r="L318" t="str">
        <f>VLOOKUP($C318, Egli_UPEC_metadata_provided!$A$2:$M$826, 11, FALSE)</f>
        <v>non-invasive</v>
      </c>
      <c r="M318">
        <f>VLOOKUP($C318, Egli_UPEC_metadata_provided!$A$2:$M$826, 12, FALSE)</f>
        <v>1</v>
      </c>
      <c r="N318">
        <f>VLOOKUP($C318, Egli_UPEC_metadata_provided!$A$2:$M$826, 13, FALSE)</f>
        <v>0</v>
      </c>
      <c r="O318">
        <f>VLOOKUP($C318, Egli_UPEC_metadata_provided!$A$2:$N$826, 14, FALSE)</f>
        <v>0</v>
      </c>
    </row>
    <row r="319" spans="1:15" x14ac:dyDescent="0.2">
      <c r="A319" t="s">
        <v>52</v>
      </c>
      <c r="B319" t="s">
        <v>3285</v>
      </c>
      <c r="C319" t="s">
        <v>3285</v>
      </c>
      <c r="D319">
        <f>VLOOKUP($C319, Egli_UPEC_metadata_provided!$A$2:$M$826, 3, FALSE)</f>
        <v>2019</v>
      </c>
      <c r="E319" t="str">
        <f>VLOOKUP($C319, Egli_UPEC_metadata_provided!$A$2:$M$826, 4, FALSE)</f>
        <v>B2-2</v>
      </c>
      <c r="F319" t="str">
        <f>VLOOKUP($C319, Egli_UPEC_metadata_provided!$A$2:$M$826, 5, FALSE)</f>
        <v>w</v>
      </c>
      <c r="G319">
        <f>VLOOKUP($C319, Egli_UPEC_metadata_provided!$A$2:$M$826, 6, FALSE)</f>
        <v>0</v>
      </c>
      <c r="H319">
        <f>VLOOKUP($C319, Egli_UPEC_metadata_provided!$A$2:$M$826, 7, FALSE)</f>
        <v>0</v>
      </c>
      <c r="I319">
        <f>VLOOKUP($C319, Egli_UPEC_metadata_provided!$A$2:$M$826, 8, FALSE)</f>
        <v>68.814764183185204</v>
      </c>
      <c r="J319" t="b">
        <f>VLOOKUP($C319, Egli_UPEC_metadata_provided!$A$2:$M$826, 9, FALSE)</f>
        <v>1</v>
      </c>
      <c r="K319">
        <f>VLOOKUP($C319, Egli_UPEC_metadata_provided!$A$2:$M$826, 10, FALSE)</f>
        <v>0</v>
      </c>
      <c r="L319" t="str">
        <f>VLOOKUP($C319, Egli_UPEC_metadata_provided!$A$2:$M$826, 11, FALSE)</f>
        <v>invasive</v>
      </c>
      <c r="M319">
        <f>VLOOKUP($C319, Egli_UPEC_metadata_provided!$A$2:$M$826, 12, FALSE)</f>
        <v>0</v>
      </c>
      <c r="N319">
        <f>VLOOKUP($C319, Egli_UPEC_metadata_provided!$A$2:$M$826, 13, FALSE)</f>
        <v>0</v>
      </c>
      <c r="O319">
        <f>VLOOKUP($C319, Egli_UPEC_metadata_provided!$A$2:$N$826, 14, FALSE)</f>
        <v>1</v>
      </c>
    </row>
    <row r="320" spans="1:15" x14ac:dyDescent="0.2">
      <c r="A320" t="s">
        <v>53</v>
      </c>
      <c r="B320" t="s">
        <v>3286</v>
      </c>
      <c r="C320" t="s">
        <v>3286</v>
      </c>
      <c r="D320">
        <f>VLOOKUP($C320, Egli_UPEC_metadata_provided!$A$2:$M$826, 3, FALSE)</f>
        <v>2019</v>
      </c>
      <c r="E320" t="str">
        <f>VLOOKUP($C320, Egli_UPEC_metadata_provided!$A$2:$M$826, 4, FALSE)</f>
        <v>D3</v>
      </c>
      <c r="F320" t="str">
        <f>VLOOKUP($C320, Egli_UPEC_metadata_provided!$A$2:$M$826, 5, FALSE)</f>
        <v>w</v>
      </c>
      <c r="G320">
        <f>VLOOKUP($C320, Egli_UPEC_metadata_provided!$A$2:$M$826, 6, FALSE)</f>
        <v>0</v>
      </c>
      <c r="H320">
        <f>VLOOKUP($C320, Egli_UPEC_metadata_provided!$A$2:$M$826, 7, FALSE)</f>
        <v>2</v>
      </c>
      <c r="I320">
        <f>VLOOKUP($C320, Egli_UPEC_metadata_provided!$A$2:$M$826, 8, FALSE)</f>
        <v>59.1196172248804</v>
      </c>
      <c r="J320" t="b">
        <f>VLOOKUP($C320, Egli_UPEC_metadata_provided!$A$2:$M$826, 9, FALSE)</f>
        <v>0</v>
      </c>
      <c r="K320">
        <f>VLOOKUP($C320, Egli_UPEC_metadata_provided!$A$2:$M$826, 10, FALSE)</f>
        <v>0</v>
      </c>
      <c r="L320" t="str">
        <f>VLOOKUP($C320, Egli_UPEC_metadata_provided!$A$2:$M$826, 11, FALSE)</f>
        <v>invasive</v>
      </c>
      <c r="M320">
        <f>VLOOKUP($C320, Egli_UPEC_metadata_provided!$A$2:$M$826, 12, FALSE)</f>
        <v>0</v>
      </c>
      <c r="N320">
        <f>VLOOKUP($C320, Egli_UPEC_metadata_provided!$A$2:$M$826, 13, FALSE)</f>
        <v>0</v>
      </c>
      <c r="O320">
        <f>VLOOKUP($C320, Egli_UPEC_metadata_provided!$A$2:$N$826, 14, FALSE)</f>
        <v>0</v>
      </c>
    </row>
    <row r="321" spans="1:15" x14ac:dyDescent="0.2">
      <c r="A321" t="s">
        <v>54</v>
      </c>
      <c r="B321" t="s">
        <v>3287</v>
      </c>
      <c r="C321" t="s">
        <v>3287</v>
      </c>
      <c r="D321">
        <f>VLOOKUP($C321, Egli_UPEC_metadata_provided!$A$2:$M$826, 3, FALSE)</f>
        <v>2019</v>
      </c>
      <c r="E321" t="str">
        <f>VLOOKUP($C321, Egli_UPEC_metadata_provided!$A$2:$M$826, 4, FALSE)</f>
        <v>B2-2</v>
      </c>
      <c r="F321" t="str">
        <f>VLOOKUP($C321, Egli_UPEC_metadata_provided!$A$2:$M$826, 5, FALSE)</f>
        <v>m</v>
      </c>
      <c r="G321">
        <f>VLOOKUP($C321, Egli_UPEC_metadata_provided!$A$2:$M$826, 6, FALSE)</f>
        <v>1</v>
      </c>
      <c r="H321">
        <f>VLOOKUP($C321, Egli_UPEC_metadata_provided!$A$2:$M$826, 7, FALSE)</f>
        <v>6</v>
      </c>
      <c r="I321">
        <f>VLOOKUP($C321, Egli_UPEC_metadata_provided!$A$2:$M$826, 8, FALSE)</f>
        <v>65.487354750512694</v>
      </c>
      <c r="J321" t="b">
        <f>VLOOKUP($C321, Egli_UPEC_metadata_provided!$A$2:$M$826, 9, FALSE)</f>
        <v>0</v>
      </c>
      <c r="K321">
        <f>VLOOKUP($C321, Egli_UPEC_metadata_provided!$A$2:$M$826, 10, FALSE)</f>
        <v>0</v>
      </c>
      <c r="L321" t="str">
        <f>VLOOKUP($C321, Egli_UPEC_metadata_provided!$A$2:$M$826, 11, FALSE)</f>
        <v>invasive</v>
      </c>
      <c r="M321">
        <f>VLOOKUP($C321, Egli_UPEC_metadata_provided!$A$2:$M$826, 12, FALSE)</f>
        <v>0</v>
      </c>
      <c r="N321">
        <f>VLOOKUP($C321, Egli_UPEC_metadata_provided!$A$2:$M$826, 13, FALSE)</f>
        <v>0</v>
      </c>
      <c r="O321">
        <f>VLOOKUP($C321, Egli_UPEC_metadata_provided!$A$2:$N$826, 14, FALSE)</f>
        <v>1</v>
      </c>
    </row>
    <row r="322" spans="1:15" x14ac:dyDescent="0.2">
      <c r="A322" t="s">
        <v>55</v>
      </c>
      <c r="B322" t="s">
        <v>3288</v>
      </c>
      <c r="C322" t="s">
        <v>3288</v>
      </c>
      <c r="D322">
        <f>VLOOKUP($C322, Egli_UPEC_metadata_provided!$A$2:$M$826, 3, FALSE)</f>
        <v>2019</v>
      </c>
      <c r="E322" t="str">
        <f>VLOOKUP($C322, Egli_UPEC_metadata_provided!$A$2:$M$826, 4, FALSE)</f>
        <v>B1</v>
      </c>
      <c r="F322" t="str">
        <f>VLOOKUP($C322, Egli_UPEC_metadata_provided!$A$2:$M$826, 5, FALSE)</f>
        <v>w</v>
      </c>
      <c r="G322">
        <f>VLOOKUP($C322, Egli_UPEC_metadata_provided!$A$2:$M$826, 6, FALSE)</f>
        <v>1</v>
      </c>
      <c r="H322">
        <f>VLOOKUP($C322, Egli_UPEC_metadata_provided!$A$2:$M$826, 7, FALSE)</f>
        <v>2</v>
      </c>
      <c r="I322">
        <f>VLOOKUP($C322, Egli_UPEC_metadata_provided!$A$2:$M$826, 8, FALSE)</f>
        <v>42.805194805194802</v>
      </c>
      <c r="J322" t="b">
        <f>VLOOKUP($C322, Egli_UPEC_metadata_provided!$A$2:$M$826, 9, FALSE)</f>
        <v>0</v>
      </c>
      <c r="K322">
        <f>VLOOKUP($C322, Egli_UPEC_metadata_provided!$A$2:$M$826, 10, FALSE)</f>
        <v>0</v>
      </c>
      <c r="L322" t="str">
        <f>VLOOKUP($C322, Egli_UPEC_metadata_provided!$A$2:$M$826, 11, FALSE)</f>
        <v>invasive</v>
      </c>
      <c r="M322">
        <f>VLOOKUP($C322, Egli_UPEC_metadata_provided!$A$2:$M$826, 12, FALSE)</f>
        <v>0</v>
      </c>
      <c r="N322">
        <f>VLOOKUP($C322, Egli_UPEC_metadata_provided!$A$2:$M$826, 13, FALSE)</f>
        <v>0</v>
      </c>
      <c r="O322">
        <f>VLOOKUP($C322, Egli_UPEC_metadata_provided!$A$2:$N$826, 14, FALSE)</f>
        <v>0</v>
      </c>
    </row>
    <row r="323" spans="1:15" x14ac:dyDescent="0.2">
      <c r="A323" t="s">
        <v>56</v>
      </c>
      <c r="B323" t="s">
        <v>3289</v>
      </c>
      <c r="C323" t="s">
        <v>3289</v>
      </c>
      <c r="D323">
        <f>VLOOKUP($C323, Egli_UPEC_metadata_provided!$A$2:$M$826, 3, FALSE)</f>
        <v>2019</v>
      </c>
      <c r="E323" t="str">
        <f>VLOOKUP($C323, Egli_UPEC_metadata_provided!$A$2:$M$826, 4, FALSE)</f>
        <v>B2-2</v>
      </c>
      <c r="F323" t="str">
        <f>VLOOKUP($C323, Egli_UPEC_metadata_provided!$A$2:$M$826, 5, FALSE)</f>
        <v>w</v>
      </c>
      <c r="G323">
        <f>VLOOKUP($C323, Egli_UPEC_metadata_provided!$A$2:$M$826, 6, FALSE)</f>
        <v>0</v>
      </c>
      <c r="H323">
        <f>VLOOKUP($C323, Egli_UPEC_metadata_provided!$A$2:$M$826, 7, FALSE)</f>
        <v>0</v>
      </c>
      <c r="I323">
        <f>VLOOKUP($C323, Egli_UPEC_metadata_provided!$A$2:$M$826, 8, FALSE)</f>
        <v>52.235133287764903</v>
      </c>
      <c r="J323" t="b">
        <f>VLOOKUP($C323, Egli_UPEC_metadata_provided!$A$2:$M$826, 9, FALSE)</f>
        <v>1</v>
      </c>
      <c r="K323">
        <f>VLOOKUP($C323, Egli_UPEC_metadata_provided!$A$2:$M$826, 10, FALSE)</f>
        <v>0</v>
      </c>
      <c r="L323" t="str">
        <f>VLOOKUP($C323, Egli_UPEC_metadata_provided!$A$2:$M$826, 11, FALSE)</f>
        <v>invasive</v>
      </c>
      <c r="M323">
        <f>VLOOKUP($C323, Egli_UPEC_metadata_provided!$A$2:$M$826, 12, FALSE)</f>
        <v>0</v>
      </c>
      <c r="N323">
        <f>VLOOKUP($C323, Egli_UPEC_metadata_provided!$A$2:$M$826, 13, FALSE)</f>
        <v>0</v>
      </c>
      <c r="O323">
        <f>VLOOKUP($C323, Egli_UPEC_metadata_provided!$A$2:$N$826, 14, FALSE)</f>
        <v>1</v>
      </c>
    </row>
    <row r="324" spans="1:15" x14ac:dyDescent="0.2">
      <c r="A324" t="s">
        <v>59</v>
      </c>
      <c r="B324" t="s">
        <v>3292</v>
      </c>
      <c r="C324" t="s">
        <v>3292</v>
      </c>
      <c r="D324">
        <f>VLOOKUP($C324, Egli_UPEC_metadata_provided!$A$2:$M$826, 3, FALSE)</f>
        <v>2019</v>
      </c>
      <c r="E324" t="str">
        <f>VLOOKUP($C324, Egli_UPEC_metadata_provided!$A$2:$M$826, 4, FALSE)</f>
        <v>B2-2</v>
      </c>
      <c r="F324" t="str">
        <f>VLOOKUP($C324, Egli_UPEC_metadata_provided!$A$2:$M$826, 5, FALSE)</f>
        <v>w</v>
      </c>
      <c r="G324">
        <f>VLOOKUP($C324, Egli_UPEC_metadata_provided!$A$2:$M$826, 6, FALSE)</f>
        <v>0</v>
      </c>
      <c r="H324">
        <f>VLOOKUP($C324, Egli_UPEC_metadata_provided!$A$2:$M$826, 7, FALSE)</f>
        <v>1</v>
      </c>
      <c r="I324">
        <f>VLOOKUP($C324, Egli_UPEC_metadata_provided!$A$2:$M$826, 8, FALSE)</f>
        <v>83.8004101161996</v>
      </c>
      <c r="J324" t="b">
        <f>VLOOKUP($C324, Egli_UPEC_metadata_provided!$A$2:$M$826, 9, FALSE)</f>
        <v>1</v>
      </c>
      <c r="K324" t="str">
        <f>VLOOKUP($C324, Egli_UPEC_metadata_provided!$A$2:$M$826, 10, FALSE)</f>
        <v>NA</v>
      </c>
      <c r="L324" t="str">
        <f>VLOOKUP($C324, Egli_UPEC_metadata_provided!$A$2:$M$826, 11, FALSE)</f>
        <v>invasive</v>
      </c>
      <c r="M324">
        <f>VLOOKUP($C324, Egli_UPEC_metadata_provided!$A$2:$M$826, 12, FALSE)</f>
        <v>0</v>
      </c>
      <c r="N324">
        <f>VLOOKUP($C324, Egli_UPEC_metadata_provided!$A$2:$M$826, 13, FALSE)</f>
        <v>0</v>
      </c>
      <c r="O324" t="str">
        <f>VLOOKUP($C324, Egli_UPEC_metadata_provided!$A$2:$N$826, 14, FALSE)</f>
        <v>NA</v>
      </c>
    </row>
    <row r="325" spans="1:15" x14ac:dyDescent="0.2">
      <c r="A325" t="s">
        <v>60</v>
      </c>
      <c r="B325" t="s">
        <v>3293</v>
      </c>
      <c r="C325" t="s">
        <v>3293</v>
      </c>
      <c r="D325">
        <f>VLOOKUP($C325, Egli_UPEC_metadata_provided!$A$2:$M$826, 3, FALSE)</f>
        <v>2019</v>
      </c>
      <c r="E325" t="str">
        <f>VLOOKUP($C325, Egli_UPEC_metadata_provided!$A$2:$M$826, 4, FALSE)</f>
        <v>B2-2</v>
      </c>
      <c r="F325" t="str">
        <f>VLOOKUP($C325, Egli_UPEC_metadata_provided!$A$2:$M$826, 5, FALSE)</f>
        <v>w</v>
      </c>
      <c r="G325">
        <f>VLOOKUP($C325, Egli_UPEC_metadata_provided!$A$2:$M$826, 6, FALSE)</f>
        <v>0</v>
      </c>
      <c r="H325">
        <f>VLOOKUP($C325, Egli_UPEC_metadata_provided!$A$2:$M$826, 7, FALSE)</f>
        <v>1</v>
      </c>
      <c r="I325">
        <f>VLOOKUP($C325, Egli_UPEC_metadata_provided!$A$2:$M$826, 8, FALSE)</f>
        <v>69.736158578263797</v>
      </c>
      <c r="J325" t="b">
        <f>VLOOKUP($C325, Egli_UPEC_metadata_provided!$A$2:$M$826, 9, FALSE)</f>
        <v>1</v>
      </c>
      <c r="K325">
        <f>VLOOKUP($C325, Egli_UPEC_metadata_provided!$A$2:$M$826, 10, FALSE)</f>
        <v>0</v>
      </c>
      <c r="L325" t="str">
        <f>VLOOKUP($C325, Egli_UPEC_metadata_provided!$A$2:$M$826, 11, FALSE)</f>
        <v>invasive</v>
      </c>
      <c r="M325">
        <f>VLOOKUP($C325, Egli_UPEC_metadata_provided!$A$2:$M$826, 12, FALSE)</f>
        <v>0</v>
      </c>
      <c r="N325">
        <f>VLOOKUP($C325, Egli_UPEC_metadata_provided!$A$2:$M$826, 13, FALSE)</f>
        <v>0</v>
      </c>
      <c r="O325">
        <f>VLOOKUP($C325, Egli_UPEC_metadata_provided!$A$2:$N$826, 14, FALSE)</f>
        <v>1</v>
      </c>
    </row>
    <row r="326" spans="1:15" x14ac:dyDescent="0.2">
      <c r="A326" t="s">
        <v>61</v>
      </c>
      <c r="B326" t="s">
        <v>3294</v>
      </c>
      <c r="C326" t="s">
        <v>3294</v>
      </c>
      <c r="D326">
        <f>VLOOKUP($C326, Egli_UPEC_metadata_provided!$A$2:$M$826, 3, FALSE)</f>
        <v>2019</v>
      </c>
      <c r="E326" t="str">
        <f>VLOOKUP($C326, Egli_UPEC_metadata_provided!$A$2:$M$826, 4, FALSE)</f>
        <v>B2-2</v>
      </c>
      <c r="F326" t="str">
        <f>VLOOKUP($C326, Egli_UPEC_metadata_provided!$A$2:$M$826, 5, FALSE)</f>
        <v>w</v>
      </c>
      <c r="G326">
        <f>VLOOKUP($C326, Egli_UPEC_metadata_provided!$A$2:$M$826, 6, FALSE)</f>
        <v>0</v>
      </c>
      <c r="H326">
        <f>VLOOKUP($C326, Egli_UPEC_metadata_provided!$A$2:$M$826, 7, FALSE)</f>
        <v>5</v>
      </c>
      <c r="I326">
        <f>VLOOKUP($C326, Egli_UPEC_metadata_provided!$A$2:$M$826, 8, FALSE)</f>
        <v>48.639781271360199</v>
      </c>
      <c r="J326" t="b">
        <f>VLOOKUP($C326, Egli_UPEC_metadata_provided!$A$2:$M$826, 9, FALSE)</f>
        <v>0</v>
      </c>
      <c r="K326">
        <f>VLOOKUP($C326, Egli_UPEC_metadata_provided!$A$2:$M$826, 10, FALSE)</f>
        <v>0</v>
      </c>
      <c r="L326" t="str">
        <f>VLOOKUP($C326, Egli_UPEC_metadata_provided!$A$2:$M$826, 11, FALSE)</f>
        <v>invasive</v>
      </c>
      <c r="M326">
        <f>VLOOKUP($C326, Egli_UPEC_metadata_provided!$A$2:$M$826, 12, FALSE)</f>
        <v>0</v>
      </c>
      <c r="N326">
        <f>VLOOKUP($C326, Egli_UPEC_metadata_provided!$A$2:$M$826, 13, FALSE)</f>
        <v>0</v>
      </c>
      <c r="O326">
        <f>VLOOKUP($C326, Egli_UPEC_metadata_provided!$A$2:$N$826, 14, FALSE)</f>
        <v>0</v>
      </c>
    </row>
    <row r="327" spans="1:15" x14ac:dyDescent="0.2">
      <c r="A327" t="s">
        <v>62</v>
      </c>
      <c r="B327" t="s">
        <v>3295</v>
      </c>
      <c r="C327" t="s">
        <v>3295</v>
      </c>
      <c r="D327">
        <f>VLOOKUP($C327, Egli_UPEC_metadata_provided!$A$2:$M$826, 3, FALSE)</f>
        <v>2019</v>
      </c>
      <c r="E327" t="str">
        <f>VLOOKUP($C327, Egli_UPEC_metadata_provided!$A$2:$M$826, 4, FALSE)</f>
        <v>B2-2</v>
      </c>
      <c r="F327" t="str">
        <f>VLOOKUP($C327, Egli_UPEC_metadata_provided!$A$2:$M$826, 5, FALSE)</f>
        <v>m</v>
      </c>
      <c r="G327">
        <f>VLOOKUP($C327, Egli_UPEC_metadata_provided!$A$2:$M$826, 6, FALSE)</f>
        <v>1</v>
      </c>
      <c r="H327">
        <f>VLOOKUP($C327, Egli_UPEC_metadata_provided!$A$2:$M$826, 7, FALSE)</f>
        <v>3</v>
      </c>
      <c r="I327">
        <f>VLOOKUP($C327, Egli_UPEC_metadata_provided!$A$2:$M$826, 8, FALSE)</f>
        <v>56.434723171565302</v>
      </c>
      <c r="J327" t="b">
        <f>VLOOKUP($C327, Egli_UPEC_metadata_provided!$A$2:$M$826, 9, FALSE)</f>
        <v>1</v>
      </c>
      <c r="K327">
        <f>VLOOKUP($C327, Egli_UPEC_metadata_provided!$A$2:$M$826, 10, FALSE)</f>
        <v>0</v>
      </c>
      <c r="L327" t="str">
        <f>VLOOKUP($C327, Egli_UPEC_metadata_provided!$A$2:$M$826, 11, FALSE)</f>
        <v>invasive</v>
      </c>
      <c r="M327">
        <f>VLOOKUP($C327, Egli_UPEC_metadata_provided!$A$2:$M$826, 12, FALSE)</f>
        <v>0</v>
      </c>
      <c r="N327">
        <f>VLOOKUP($C327, Egli_UPEC_metadata_provided!$A$2:$M$826, 13, FALSE)</f>
        <v>0</v>
      </c>
      <c r="O327">
        <f>VLOOKUP($C327, Egli_UPEC_metadata_provided!$A$2:$N$826, 14, FALSE)</f>
        <v>0</v>
      </c>
    </row>
    <row r="328" spans="1:15" x14ac:dyDescent="0.2">
      <c r="A328" t="s">
        <v>63</v>
      </c>
      <c r="B328" t="s">
        <v>3296</v>
      </c>
      <c r="C328" t="s">
        <v>3296</v>
      </c>
      <c r="D328">
        <f>VLOOKUP($C328, Egli_UPEC_metadata_provided!$A$2:$M$826, 3, FALSE)</f>
        <v>2019</v>
      </c>
      <c r="E328" t="str">
        <f>VLOOKUP($C328, Egli_UPEC_metadata_provided!$A$2:$M$826, 4, FALSE)</f>
        <v>C</v>
      </c>
      <c r="F328" t="str">
        <f>VLOOKUP($C328, Egli_UPEC_metadata_provided!$A$2:$M$826, 5, FALSE)</f>
        <v>w</v>
      </c>
      <c r="G328" t="str">
        <f>VLOOKUP($C328, Egli_UPEC_metadata_provided!$A$2:$M$826, 6, FALSE)</f>
        <v>NA</v>
      </c>
      <c r="H328">
        <f>VLOOKUP($C328, Egli_UPEC_metadata_provided!$A$2:$M$826, 7, FALSE)</f>
        <v>2</v>
      </c>
      <c r="I328">
        <f>VLOOKUP($C328, Egli_UPEC_metadata_provided!$A$2:$M$826, 8, FALSE)</f>
        <v>76.705399863294602</v>
      </c>
      <c r="J328" t="b">
        <f>VLOOKUP($C328, Egli_UPEC_metadata_provided!$A$2:$M$826, 9, FALSE)</f>
        <v>0</v>
      </c>
      <c r="K328">
        <f>VLOOKUP($C328, Egli_UPEC_metadata_provided!$A$2:$M$826, 10, FALSE)</f>
        <v>0</v>
      </c>
      <c r="L328" t="str">
        <f>VLOOKUP($C328, Egli_UPEC_metadata_provided!$A$2:$M$826, 11, FALSE)</f>
        <v>invasive</v>
      </c>
      <c r="M328">
        <f>VLOOKUP($C328, Egli_UPEC_metadata_provided!$A$2:$M$826, 12, FALSE)</f>
        <v>0</v>
      </c>
      <c r="N328">
        <f>VLOOKUP($C328, Egli_UPEC_metadata_provided!$A$2:$M$826, 13, FALSE)</f>
        <v>0</v>
      </c>
      <c r="O328" t="str">
        <f>VLOOKUP($C328, Egli_UPEC_metadata_provided!$A$2:$N$826, 14, FALSE)</f>
        <v>NA</v>
      </c>
    </row>
    <row r="329" spans="1:15" x14ac:dyDescent="0.2">
      <c r="A329" t="s">
        <v>67</v>
      </c>
      <c r="B329" t="s">
        <v>3300</v>
      </c>
      <c r="C329" t="s">
        <v>3300</v>
      </c>
      <c r="D329">
        <f>VLOOKUP($C329, Egli_UPEC_metadata_provided!$A$2:$M$826, 3, FALSE)</f>
        <v>2019</v>
      </c>
      <c r="E329" t="str">
        <f>VLOOKUP($C329, Egli_UPEC_metadata_provided!$A$2:$M$826, 4, FALSE)</f>
        <v>D1</v>
      </c>
      <c r="F329" t="str">
        <f>VLOOKUP($C329, Egli_UPEC_metadata_provided!$A$2:$M$826, 5, FALSE)</f>
        <v>m</v>
      </c>
      <c r="G329">
        <f>VLOOKUP($C329, Egli_UPEC_metadata_provided!$A$2:$M$826, 6, FALSE)</f>
        <v>0</v>
      </c>
      <c r="H329">
        <f>VLOOKUP($C329, Egli_UPEC_metadata_provided!$A$2:$M$826, 7, FALSE)</f>
        <v>4</v>
      </c>
      <c r="I329">
        <f>VLOOKUP($C329, Egli_UPEC_metadata_provided!$A$2:$M$826, 8, FALSE)</f>
        <v>84.713602187286398</v>
      </c>
      <c r="J329" t="b">
        <f>VLOOKUP($C329, Egli_UPEC_metadata_provided!$A$2:$M$826, 9, FALSE)</f>
        <v>0</v>
      </c>
      <c r="K329">
        <f>VLOOKUP($C329, Egli_UPEC_metadata_provided!$A$2:$M$826, 10, FALSE)</f>
        <v>0</v>
      </c>
      <c r="L329" t="str">
        <f>VLOOKUP($C329, Egli_UPEC_metadata_provided!$A$2:$M$826, 11, FALSE)</f>
        <v>invasive</v>
      </c>
      <c r="M329">
        <f>VLOOKUP($C329, Egli_UPEC_metadata_provided!$A$2:$M$826, 12, FALSE)</f>
        <v>1</v>
      </c>
      <c r="N329">
        <f>VLOOKUP($C329, Egli_UPEC_metadata_provided!$A$2:$M$826, 13, FALSE)</f>
        <v>0</v>
      </c>
      <c r="O329">
        <f>VLOOKUP($C329, Egli_UPEC_metadata_provided!$A$2:$N$826, 14, FALSE)</f>
        <v>1</v>
      </c>
    </row>
    <row r="330" spans="1:15" x14ac:dyDescent="0.2">
      <c r="A330" t="s">
        <v>68</v>
      </c>
      <c r="B330" t="s">
        <v>3301</v>
      </c>
      <c r="C330" t="s">
        <v>3301</v>
      </c>
      <c r="D330">
        <f>VLOOKUP($C330, Egli_UPEC_metadata_provided!$A$2:$M$826, 3, FALSE)</f>
        <v>2019</v>
      </c>
      <c r="E330" t="str">
        <f>VLOOKUP($C330, Egli_UPEC_metadata_provided!$A$2:$M$826, 4, FALSE)</f>
        <v>B2-1</v>
      </c>
      <c r="F330" t="str">
        <f>VLOOKUP($C330, Egli_UPEC_metadata_provided!$A$2:$M$826, 5, FALSE)</f>
        <v>m</v>
      </c>
      <c r="G330">
        <f>VLOOKUP($C330, Egli_UPEC_metadata_provided!$A$2:$M$826, 6, FALSE)</f>
        <v>1</v>
      </c>
      <c r="H330">
        <f>VLOOKUP($C330, Egli_UPEC_metadata_provided!$A$2:$M$826, 7, FALSE)</f>
        <v>3</v>
      </c>
      <c r="I330">
        <f>VLOOKUP($C330, Egli_UPEC_metadata_provided!$A$2:$M$826, 8, FALSE)</f>
        <v>31.606288448393698</v>
      </c>
      <c r="J330" t="b">
        <f>VLOOKUP($C330, Egli_UPEC_metadata_provided!$A$2:$M$826, 9, FALSE)</f>
        <v>0</v>
      </c>
      <c r="K330">
        <f>VLOOKUP($C330, Egli_UPEC_metadata_provided!$A$2:$M$826, 10, FALSE)</f>
        <v>1</v>
      </c>
      <c r="L330" t="str">
        <f>VLOOKUP($C330, Egli_UPEC_metadata_provided!$A$2:$M$826, 11, FALSE)</f>
        <v>invasive</v>
      </c>
      <c r="M330">
        <f>VLOOKUP($C330, Egli_UPEC_metadata_provided!$A$2:$M$826, 12, FALSE)</f>
        <v>1</v>
      </c>
      <c r="N330">
        <f>VLOOKUP($C330, Egli_UPEC_metadata_provided!$A$2:$M$826, 13, FALSE)</f>
        <v>0</v>
      </c>
      <c r="O330">
        <f>VLOOKUP($C330, Egli_UPEC_metadata_provided!$A$2:$N$826, 14, FALSE)</f>
        <v>0</v>
      </c>
    </row>
    <row r="331" spans="1:15" x14ac:dyDescent="0.2">
      <c r="A331" t="s">
        <v>69</v>
      </c>
      <c r="B331" t="s">
        <v>3302</v>
      </c>
      <c r="C331" t="s">
        <v>3302</v>
      </c>
      <c r="D331">
        <f>VLOOKUP($C331, Egli_UPEC_metadata_provided!$A$2:$M$826, 3, FALSE)</f>
        <v>2019</v>
      </c>
      <c r="E331" t="str">
        <f>VLOOKUP($C331, Egli_UPEC_metadata_provided!$A$2:$M$826, 4, FALSE)</f>
        <v>B1</v>
      </c>
      <c r="F331" t="str">
        <f>VLOOKUP($C331, Egli_UPEC_metadata_provided!$A$2:$M$826, 5, FALSE)</f>
        <v>w</v>
      </c>
      <c r="G331">
        <f>VLOOKUP($C331, Egli_UPEC_metadata_provided!$A$2:$M$826, 6, FALSE)</f>
        <v>0</v>
      </c>
      <c r="H331">
        <f>VLOOKUP($C331, Egli_UPEC_metadata_provided!$A$2:$M$826, 7, FALSE)</f>
        <v>1</v>
      </c>
      <c r="I331">
        <f>VLOOKUP($C331, Egli_UPEC_metadata_provided!$A$2:$M$826, 8, FALSE)</f>
        <v>75.576213260423799</v>
      </c>
      <c r="J331" t="b">
        <f>VLOOKUP($C331, Egli_UPEC_metadata_provided!$A$2:$M$826, 9, FALSE)</f>
        <v>0</v>
      </c>
      <c r="K331">
        <f>VLOOKUP($C331, Egli_UPEC_metadata_provided!$A$2:$M$826, 10, FALSE)</f>
        <v>0</v>
      </c>
      <c r="L331" t="str">
        <f>VLOOKUP($C331, Egli_UPEC_metadata_provided!$A$2:$M$826, 11, FALSE)</f>
        <v>invasive</v>
      </c>
      <c r="M331">
        <f>VLOOKUP($C331, Egli_UPEC_metadata_provided!$A$2:$M$826, 12, FALSE)</f>
        <v>0</v>
      </c>
      <c r="N331">
        <f>VLOOKUP($C331, Egli_UPEC_metadata_provided!$A$2:$M$826, 13, FALSE)</f>
        <v>0</v>
      </c>
      <c r="O331">
        <f>VLOOKUP($C331, Egli_UPEC_metadata_provided!$A$2:$N$826, 14, FALSE)</f>
        <v>1</v>
      </c>
    </row>
    <row r="332" spans="1:15" x14ac:dyDescent="0.2">
      <c r="A332" t="s">
        <v>72</v>
      </c>
      <c r="B332" t="s">
        <v>3305</v>
      </c>
      <c r="C332" t="s">
        <v>3305</v>
      </c>
      <c r="D332">
        <f>VLOOKUP($C332, Egli_UPEC_metadata_provided!$A$2:$M$826, 3, FALSE)</f>
        <v>2019</v>
      </c>
      <c r="E332" t="str">
        <f>VLOOKUP($C332, Egli_UPEC_metadata_provided!$A$2:$M$826, 4, FALSE)</f>
        <v>B2-2</v>
      </c>
      <c r="F332" t="str">
        <f>VLOOKUP($C332, Egli_UPEC_metadata_provided!$A$2:$M$826, 5, FALSE)</f>
        <v>m</v>
      </c>
      <c r="G332">
        <f>VLOOKUP($C332, Egli_UPEC_metadata_provided!$A$2:$M$826, 6, FALSE)</f>
        <v>0</v>
      </c>
      <c r="H332">
        <f>VLOOKUP($C332, Egli_UPEC_metadata_provided!$A$2:$M$826, 7, FALSE)</f>
        <v>3</v>
      </c>
      <c r="I332">
        <f>VLOOKUP($C332, Egli_UPEC_metadata_provided!$A$2:$M$826, 8, FALSE)</f>
        <v>80.172248803827799</v>
      </c>
      <c r="J332" t="b">
        <f>VLOOKUP($C332, Egli_UPEC_metadata_provided!$A$2:$M$826, 9, FALSE)</f>
        <v>1</v>
      </c>
      <c r="K332">
        <f>VLOOKUP($C332, Egli_UPEC_metadata_provided!$A$2:$M$826, 10, FALSE)</f>
        <v>1</v>
      </c>
      <c r="L332" t="str">
        <f>VLOOKUP($C332, Egli_UPEC_metadata_provided!$A$2:$M$826, 11, FALSE)</f>
        <v>invasive</v>
      </c>
      <c r="M332">
        <f>VLOOKUP($C332, Egli_UPEC_metadata_provided!$A$2:$M$826, 12, FALSE)</f>
        <v>1</v>
      </c>
      <c r="N332">
        <f>VLOOKUP($C332, Egli_UPEC_metadata_provided!$A$2:$M$826, 13, FALSE)</f>
        <v>0</v>
      </c>
      <c r="O332">
        <f>VLOOKUP($C332, Egli_UPEC_metadata_provided!$A$2:$N$826, 14, FALSE)</f>
        <v>0</v>
      </c>
    </row>
    <row r="333" spans="1:15" x14ac:dyDescent="0.2">
      <c r="A333" t="s">
        <v>73</v>
      </c>
      <c r="B333" t="s">
        <v>3306</v>
      </c>
      <c r="C333" t="s">
        <v>3306</v>
      </c>
      <c r="D333">
        <f>VLOOKUP($C333, Egli_UPEC_metadata_provided!$A$2:$M$826, 3, FALSE)</f>
        <v>2019</v>
      </c>
      <c r="E333" t="str">
        <f>VLOOKUP($C333, Egli_UPEC_metadata_provided!$A$2:$M$826, 4, FALSE)</f>
        <v>D1</v>
      </c>
      <c r="F333" t="str">
        <f>VLOOKUP($C333, Egli_UPEC_metadata_provided!$A$2:$M$826, 5, FALSE)</f>
        <v>w</v>
      </c>
      <c r="G333">
        <f>VLOOKUP($C333, Egli_UPEC_metadata_provided!$A$2:$M$826, 6, FALSE)</f>
        <v>0</v>
      </c>
      <c r="H333">
        <f>VLOOKUP($C333, Egli_UPEC_metadata_provided!$A$2:$M$826, 7, FALSE)</f>
        <v>2</v>
      </c>
      <c r="I333">
        <f>VLOOKUP($C333, Egli_UPEC_metadata_provided!$A$2:$M$826, 8, FALSE)</f>
        <v>73.405331510594706</v>
      </c>
      <c r="J333" t="b">
        <f>VLOOKUP($C333, Egli_UPEC_metadata_provided!$A$2:$M$826, 9, FALSE)</f>
        <v>0</v>
      </c>
      <c r="K333">
        <f>VLOOKUP($C333, Egli_UPEC_metadata_provided!$A$2:$M$826, 10, FALSE)</f>
        <v>0</v>
      </c>
      <c r="L333" t="str">
        <f>VLOOKUP($C333, Egli_UPEC_metadata_provided!$A$2:$M$826, 11, FALSE)</f>
        <v>invasive</v>
      </c>
      <c r="M333">
        <f>VLOOKUP($C333, Egli_UPEC_metadata_provided!$A$2:$M$826, 12, FALSE)</f>
        <v>0</v>
      </c>
      <c r="N333">
        <f>VLOOKUP($C333, Egli_UPEC_metadata_provided!$A$2:$M$826, 13, FALSE)</f>
        <v>0</v>
      </c>
      <c r="O333">
        <f>VLOOKUP($C333, Egli_UPEC_metadata_provided!$A$2:$N$826, 14, FALSE)</f>
        <v>0</v>
      </c>
    </row>
    <row r="334" spans="1:15" x14ac:dyDescent="0.2">
      <c r="A334" t="s">
        <v>75</v>
      </c>
      <c r="B334" t="s">
        <v>3308</v>
      </c>
      <c r="C334" t="s">
        <v>3308</v>
      </c>
      <c r="D334">
        <f>VLOOKUP($C334, Egli_UPEC_metadata_provided!$A$2:$M$826, 3, FALSE)</f>
        <v>2019</v>
      </c>
      <c r="E334" t="str">
        <f>VLOOKUP($C334, Egli_UPEC_metadata_provided!$A$2:$M$826, 4, FALSE)</f>
        <v>D1</v>
      </c>
      <c r="F334" t="str">
        <f>VLOOKUP($C334, Egli_UPEC_metadata_provided!$A$2:$M$826, 5, FALSE)</f>
        <v>w</v>
      </c>
      <c r="G334">
        <f>VLOOKUP($C334, Egli_UPEC_metadata_provided!$A$2:$M$826, 6, FALSE)</f>
        <v>0</v>
      </c>
      <c r="H334">
        <f>VLOOKUP($C334, Egli_UPEC_metadata_provided!$A$2:$M$826, 7, FALSE)</f>
        <v>0</v>
      </c>
      <c r="I334">
        <f>VLOOKUP($C334, Egli_UPEC_metadata_provided!$A$2:$M$826, 8, FALSE)</f>
        <v>44.0136705399863</v>
      </c>
      <c r="J334" t="b">
        <f>VLOOKUP($C334, Egli_UPEC_metadata_provided!$A$2:$M$826, 9, FALSE)</f>
        <v>0</v>
      </c>
      <c r="K334">
        <f>VLOOKUP($C334, Egli_UPEC_metadata_provided!$A$2:$M$826, 10, FALSE)</f>
        <v>0</v>
      </c>
      <c r="L334" t="str">
        <f>VLOOKUP($C334, Egli_UPEC_metadata_provided!$A$2:$M$826, 11, FALSE)</f>
        <v>invasive</v>
      </c>
      <c r="M334">
        <f>VLOOKUP($C334, Egli_UPEC_metadata_provided!$A$2:$M$826, 12, FALSE)</f>
        <v>0</v>
      </c>
      <c r="N334">
        <f>VLOOKUP($C334, Egli_UPEC_metadata_provided!$A$2:$M$826, 13, FALSE)</f>
        <v>0</v>
      </c>
      <c r="O334">
        <f>VLOOKUP($C334, Egli_UPEC_metadata_provided!$A$2:$N$826, 14, FALSE)</f>
        <v>0</v>
      </c>
    </row>
    <row r="335" spans="1:15" x14ac:dyDescent="0.2">
      <c r="A335" t="s">
        <v>76</v>
      </c>
      <c r="B335" t="s">
        <v>3309</v>
      </c>
      <c r="C335" t="s">
        <v>3309</v>
      </c>
      <c r="D335">
        <f>VLOOKUP($C335, Egli_UPEC_metadata_provided!$A$2:$M$826, 3, FALSE)</f>
        <v>2019</v>
      </c>
      <c r="E335" t="str">
        <f>VLOOKUP($C335, Egli_UPEC_metadata_provided!$A$2:$M$826, 4, FALSE)</f>
        <v>B1</v>
      </c>
      <c r="F335" t="str">
        <f>VLOOKUP($C335, Egli_UPEC_metadata_provided!$A$2:$M$826, 5, FALSE)</f>
        <v>m</v>
      </c>
      <c r="G335">
        <f>VLOOKUP($C335, Egli_UPEC_metadata_provided!$A$2:$M$826, 6, FALSE)</f>
        <v>0</v>
      </c>
      <c r="H335">
        <f>VLOOKUP($C335, Egli_UPEC_metadata_provided!$A$2:$M$826, 7, FALSE)</f>
        <v>8</v>
      </c>
      <c r="I335">
        <f>VLOOKUP($C335, Egli_UPEC_metadata_provided!$A$2:$M$826, 8, FALSE)</f>
        <v>84.0847573479152</v>
      </c>
      <c r="J335" t="b">
        <f>VLOOKUP($C335, Egli_UPEC_metadata_provided!$A$2:$M$826, 9, FALSE)</f>
        <v>0</v>
      </c>
      <c r="K335">
        <f>VLOOKUP($C335, Egli_UPEC_metadata_provided!$A$2:$M$826, 10, FALSE)</f>
        <v>0</v>
      </c>
      <c r="L335" t="str">
        <f>VLOOKUP($C335, Egli_UPEC_metadata_provided!$A$2:$M$826, 11, FALSE)</f>
        <v>invasive</v>
      </c>
      <c r="M335">
        <f>VLOOKUP($C335, Egli_UPEC_metadata_provided!$A$2:$M$826, 12, FALSE)</f>
        <v>0</v>
      </c>
      <c r="N335">
        <f>VLOOKUP($C335, Egli_UPEC_metadata_provided!$A$2:$M$826, 13, FALSE)</f>
        <v>0</v>
      </c>
      <c r="O335">
        <f>VLOOKUP($C335, Egli_UPEC_metadata_provided!$A$2:$N$826, 14, FALSE)</f>
        <v>0</v>
      </c>
    </row>
    <row r="336" spans="1:15" x14ac:dyDescent="0.2">
      <c r="A336" t="s">
        <v>77</v>
      </c>
      <c r="B336" t="s">
        <v>3310</v>
      </c>
      <c r="C336" t="s">
        <v>3310</v>
      </c>
      <c r="D336">
        <f>VLOOKUP($C336, Egli_UPEC_metadata_provided!$A$2:$M$826, 3, FALSE)</f>
        <v>2019</v>
      </c>
      <c r="E336" t="str">
        <f>VLOOKUP($C336, Egli_UPEC_metadata_provided!$A$2:$M$826, 4, FALSE)</f>
        <v>B2-2</v>
      </c>
      <c r="F336" t="str">
        <f>VLOOKUP($C336, Egli_UPEC_metadata_provided!$A$2:$M$826, 5, FALSE)</f>
        <v>w</v>
      </c>
      <c r="G336" t="str">
        <f>VLOOKUP($C336, Egli_UPEC_metadata_provided!$A$2:$M$826, 6, FALSE)</f>
        <v>NA</v>
      </c>
      <c r="H336" t="str">
        <f>VLOOKUP($C336, Egli_UPEC_metadata_provided!$A$2:$M$826, 7, FALSE)</f>
        <v>NA</v>
      </c>
      <c r="I336">
        <f>VLOOKUP($C336, Egli_UPEC_metadata_provided!$A$2:$M$826, 8, FALSE)</f>
        <v>65.837320574162703</v>
      </c>
      <c r="J336" t="b">
        <f>VLOOKUP($C336, Egli_UPEC_metadata_provided!$A$2:$M$826, 9, FALSE)</f>
        <v>1</v>
      </c>
      <c r="K336">
        <f>VLOOKUP($C336, Egli_UPEC_metadata_provided!$A$2:$M$826, 10, FALSE)</f>
        <v>0</v>
      </c>
      <c r="L336" t="str">
        <f>VLOOKUP($C336, Egli_UPEC_metadata_provided!$A$2:$M$826, 11, FALSE)</f>
        <v>invasive</v>
      </c>
      <c r="M336" t="str">
        <f>VLOOKUP($C336, Egli_UPEC_metadata_provided!$A$2:$M$826, 12, FALSE)</f>
        <v>NA</v>
      </c>
      <c r="N336" t="str">
        <f>VLOOKUP($C336, Egli_UPEC_metadata_provided!$A$2:$M$826, 13, FALSE)</f>
        <v>NA</v>
      </c>
      <c r="O336" t="str">
        <f>VLOOKUP($C336, Egli_UPEC_metadata_provided!$A$2:$N$826, 14, FALSE)</f>
        <v>NA</v>
      </c>
    </row>
    <row r="337" spans="1:15" x14ac:dyDescent="0.2">
      <c r="A337" t="s">
        <v>79</v>
      </c>
      <c r="B337" t="s">
        <v>3312</v>
      </c>
      <c r="C337" t="s">
        <v>3312</v>
      </c>
      <c r="D337">
        <f>VLOOKUP($C337, Egli_UPEC_metadata_provided!$A$2:$M$826, 3, FALSE)</f>
        <v>2019</v>
      </c>
      <c r="E337" t="str">
        <f>VLOOKUP($C337, Egli_UPEC_metadata_provided!$A$2:$M$826, 4, FALSE)</f>
        <v>B2-1</v>
      </c>
      <c r="F337" t="str">
        <f>VLOOKUP($C337, Egli_UPEC_metadata_provided!$A$2:$M$826, 5, FALSE)</f>
        <v>m</v>
      </c>
      <c r="G337">
        <f>VLOOKUP($C337, Egli_UPEC_metadata_provided!$A$2:$M$826, 6, FALSE)</f>
        <v>0</v>
      </c>
      <c r="H337">
        <f>VLOOKUP($C337, Egli_UPEC_metadata_provided!$A$2:$M$826, 7, FALSE)</f>
        <v>2</v>
      </c>
      <c r="I337">
        <f>VLOOKUP($C337, Egli_UPEC_metadata_provided!$A$2:$M$826, 8, FALSE)</f>
        <v>78.255639097744407</v>
      </c>
      <c r="J337" t="b">
        <f>VLOOKUP($C337, Egli_UPEC_metadata_provided!$A$2:$M$826, 9, FALSE)</f>
        <v>0</v>
      </c>
      <c r="K337">
        <f>VLOOKUP($C337, Egli_UPEC_metadata_provided!$A$2:$M$826, 10, FALSE)</f>
        <v>0</v>
      </c>
      <c r="L337" t="str">
        <f>VLOOKUP($C337, Egli_UPEC_metadata_provided!$A$2:$M$826, 11, FALSE)</f>
        <v>invasive</v>
      </c>
      <c r="M337">
        <f>VLOOKUP($C337, Egli_UPEC_metadata_provided!$A$2:$M$826, 12, FALSE)</f>
        <v>1</v>
      </c>
      <c r="N337">
        <f>VLOOKUP($C337, Egli_UPEC_metadata_provided!$A$2:$M$826, 13, FALSE)</f>
        <v>0</v>
      </c>
      <c r="O337">
        <f>VLOOKUP($C337, Egli_UPEC_metadata_provided!$A$2:$N$826, 14, FALSE)</f>
        <v>0</v>
      </c>
    </row>
    <row r="338" spans="1:15" x14ac:dyDescent="0.2">
      <c r="A338" t="s">
        <v>80</v>
      </c>
      <c r="B338" t="s">
        <v>3313</v>
      </c>
      <c r="C338" t="s">
        <v>3313</v>
      </c>
      <c r="D338">
        <f>VLOOKUP($C338, Egli_UPEC_metadata_provided!$A$2:$M$826, 3, FALSE)</f>
        <v>2019</v>
      </c>
      <c r="E338" t="str">
        <f>VLOOKUP($C338, Egli_UPEC_metadata_provided!$A$2:$M$826, 4, FALSE)</f>
        <v>B2-1</v>
      </c>
      <c r="F338" t="str">
        <f>VLOOKUP($C338, Egli_UPEC_metadata_provided!$A$2:$M$826, 5, FALSE)</f>
        <v>m</v>
      </c>
      <c r="G338">
        <f>VLOOKUP($C338, Egli_UPEC_metadata_provided!$A$2:$M$826, 6, FALSE)</f>
        <v>0</v>
      </c>
      <c r="H338">
        <f>VLOOKUP($C338, Egli_UPEC_metadata_provided!$A$2:$M$826, 7, FALSE)</f>
        <v>4</v>
      </c>
      <c r="I338">
        <f>VLOOKUP($C338, Egli_UPEC_metadata_provided!$A$2:$M$826, 8, FALSE)</f>
        <v>66.143540669856506</v>
      </c>
      <c r="J338" t="b">
        <f>VLOOKUP($C338, Egli_UPEC_metadata_provided!$A$2:$M$826, 9, FALSE)</f>
        <v>1</v>
      </c>
      <c r="K338">
        <f>VLOOKUP($C338, Egli_UPEC_metadata_provided!$A$2:$M$826, 10, FALSE)</f>
        <v>1</v>
      </c>
      <c r="L338" t="str">
        <f>VLOOKUP($C338, Egli_UPEC_metadata_provided!$A$2:$M$826, 11, FALSE)</f>
        <v>invasive</v>
      </c>
      <c r="M338">
        <f>VLOOKUP($C338, Egli_UPEC_metadata_provided!$A$2:$M$826, 12, FALSE)</f>
        <v>1</v>
      </c>
      <c r="N338">
        <f>VLOOKUP($C338, Egli_UPEC_metadata_provided!$A$2:$M$826, 13, FALSE)</f>
        <v>0</v>
      </c>
      <c r="O338">
        <f>VLOOKUP($C338, Egli_UPEC_metadata_provided!$A$2:$N$826, 14, FALSE)</f>
        <v>1</v>
      </c>
    </row>
    <row r="339" spans="1:15" x14ac:dyDescent="0.2">
      <c r="A339" t="s">
        <v>82</v>
      </c>
      <c r="B339" t="s">
        <v>3315</v>
      </c>
      <c r="C339" t="s">
        <v>3315</v>
      </c>
      <c r="D339">
        <f>VLOOKUP($C339, Egli_UPEC_metadata_provided!$A$2:$M$826, 3, FALSE)</f>
        <v>2019</v>
      </c>
      <c r="E339" t="str">
        <f>VLOOKUP($C339, Egli_UPEC_metadata_provided!$A$2:$M$826, 4, FALSE)</f>
        <v>B2-2</v>
      </c>
      <c r="F339" t="str">
        <f>VLOOKUP($C339, Egli_UPEC_metadata_provided!$A$2:$M$826, 5, FALSE)</f>
        <v>w</v>
      </c>
      <c r="G339">
        <f>VLOOKUP($C339, Egli_UPEC_metadata_provided!$A$2:$M$826, 6, FALSE)</f>
        <v>0</v>
      </c>
      <c r="H339">
        <f>VLOOKUP($C339, Egli_UPEC_metadata_provided!$A$2:$M$826, 7, FALSE)</f>
        <v>1</v>
      </c>
      <c r="I339">
        <f>VLOOKUP($C339, Egli_UPEC_metadata_provided!$A$2:$M$826, 8, FALSE)</f>
        <v>78.1845522898155</v>
      </c>
      <c r="J339" t="b">
        <f>VLOOKUP($C339, Egli_UPEC_metadata_provided!$A$2:$M$826, 9, FALSE)</f>
        <v>0</v>
      </c>
      <c r="K339">
        <f>VLOOKUP($C339, Egli_UPEC_metadata_provided!$A$2:$M$826, 10, FALSE)</f>
        <v>0</v>
      </c>
      <c r="L339" t="str">
        <f>VLOOKUP($C339, Egli_UPEC_metadata_provided!$A$2:$M$826, 11, FALSE)</f>
        <v>invasive</v>
      </c>
      <c r="M339">
        <f>VLOOKUP($C339, Egli_UPEC_metadata_provided!$A$2:$M$826, 12, FALSE)</f>
        <v>0</v>
      </c>
      <c r="N339">
        <f>VLOOKUP($C339, Egli_UPEC_metadata_provided!$A$2:$M$826, 13, FALSE)</f>
        <v>1</v>
      </c>
      <c r="O339">
        <f>VLOOKUP($C339, Egli_UPEC_metadata_provided!$A$2:$N$826, 14, FALSE)</f>
        <v>0</v>
      </c>
    </row>
    <row r="340" spans="1:15" x14ac:dyDescent="0.2">
      <c r="A340" t="s">
        <v>83</v>
      </c>
      <c r="B340" t="s">
        <v>3316</v>
      </c>
      <c r="C340" t="s">
        <v>3316</v>
      </c>
      <c r="D340">
        <f>VLOOKUP($C340, Egli_UPEC_metadata_provided!$A$2:$M$826, 3, FALSE)</f>
        <v>2019</v>
      </c>
      <c r="E340" t="str">
        <f>VLOOKUP($C340, Egli_UPEC_metadata_provided!$A$2:$M$826, 4, FALSE)</f>
        <v>D1</v>
      </c>
      <c r="F340" t="str">
        <f>VLOOKUP($C340, Egli_UPEC_metadata_provided!$A$2:$M$826, 5, FALSE)</f>
        <v>m</v>
      </c>
      <c r="G340">
        <f>VLOOKUP($C340, Egli_UPEC_metadata_provided!$A$2:$M$826, 6, FALSE)</f>
        <v>1</v>
      </c>
      <c r="H340">
        <f>VLOOKUP($C340, Egli_UPEC_metadata_provided!$A$2:$M$826, 7, FALSE)</f>
        <v>3</v>
      </c>
      <c r="I340">
        <f>VLOOKUP($C340, Egli_UPEC_metadata_provided!$A$2:$M$826, 8, FALSE)</f>
        <v>70.154477101845501</v>
      </c>
      <c r="J340" t="b">
        <f>VLOOKUP($C340, Egli_UPEC_metadata_provided!$A$2:$M$826, 9, FALSE)</f>
        <v>0</v>
      </c>
      <c r="K340">
        <f>VLOOKUP($C340, Egli_UPEC_metadata_provided!$A$2:$M$826, 10, FALSE)</f>
        <v>0</v>
      </c>
      <c r="L340" t="str">
        <f>VLOOKUP($C340, Egli_UPEC_metadata_provided!$A$2:$M$826, 11, FALSE)</f>
        <v>invasive</v>
      </c>
      <c r="M340">
        <f>VLOOKUP($C340, Egli_UPEC_metadata_provided!$A$2:$M$826, 12, FALSE)</f>
        <v>0</v>
      </c>
      <c r="N340">
        <f>VLOOKUP($C340, Egli_UPEC_metadata_provided!$A$2:$M$826, 13, FALSE)</f>
        <v>0</v>
      </c>
      <c r="O340">
        <f>VLOOKUP($C340, Egli_UPEC_metadata_provided!$A$2:$N$826, 14, FALSE)</f>
        <v>1</v>
      </c>
    </row>
    <row r="341" spans="1:15" x14ac:dyDescent="0.2">
      <c r="A341" t="s">
        <v>86</v>
      </c>
      <c r="B341" t="s">
        <v>3319</v>
      </c>
      <c r="C341" t="s">
        <v>3319</v>
      </c>
      <c r="D341">
        <f>VLOOKUP($C341, Egli_UPEC_metadata_provided!$A$2:$M$826, 3, FALSE)</f>
        <v>2019</v>
      </c>
      <c r="E341" t="str">
        <f>VLOOKUP($C341, Egli_UPEC_metadata_provided!$A$2:$M$826, 4, FALSE)</f>
        <v>B1</v>
      </c>
      <c r="F341" t="str">
        <f>VLOOKUP($C341, Egli_UPEC_metadata_provided!$A$2:$M$826, 5, FALSE)</f>
        <v>w</v>
      </c>
      <c r="G341" t="str">
        <f>VLOOKUP($C341, Egli_UPEC_metadata_provided!$A$2:$M$826, 6, FALSE)</f>
        <v>NA</v>
      </c>
      <c r="H341">
        <f>VLOOKUP($C341, Egli_UPEC_metadata_provided!$A$2:$M$826, 7, FALSE)</f>
        <v>0</v>
      </c>
      <c r="I341">
        <f>VLOOKUP($C341, Egli_UPEC_metadata_provided!$A$2:$M$826, 8, FALSE)</f>
        <v>37.695146958304903</v>
      </c>
      <c r="J341" t="b">
        <f>VLOOKUP($C341, Egli_UPEC_metadata_provided!$A$2:$M$826, 9, FALSE)</f>
        <v>0</v>
      </c>
      <c r="K341">
        <f>VLOOKUP($C341, Egli_UPEC_metadata_provided!$A$2:$M$826, 10, FALSE)</f>
        <v>0</v>
      </c>
      <c r="L341" t="str">
        <f>VLOOKUP($C341, Egli_UPEC_metadata_provided!$A$2:$M$826, 11, FALSE)</f>
        <v>invasive</v>
      </c>
      <c r="M341">
        <f>VLOOKUP($C341, Egli_UPEC_metadata_provided!$A$2:$M$826, 12, FALSE)</f>
        <v>0</v>
      </c>
      <c r="N341">
        <f>VLOOKUP($C341, Egli_UPEC_metadata_provided!$A$2:$M$826, 13, FALSE)</f>
        <v>1</v>
      </c>
      <c r="O341" t="str">
        <f>VLOOKUP($C341, Egli_UPEC_metadata_provided!$A$2:$N$826, 14, FALSE)</f>
        <v>NA</v>
      </c>
    </row>
    <row r="342" spans="1:15" x14ac:dyDescent="0.2">
      <c r="A342" t="s">
        <v>87</v>
      </c>
      <c r="B342" t="s">
        <v>3320</v>
      </c>
      <c r="C342" t="s">
        <v>3320</v>
      </c>
      <c r="D342">
        <f>VLOOKUP($C342, Egli_UPEC_metadata_provided!$A$2:$M$826, 3, FALSE)</f>
        <v>2019</v>
      </c>
      <c r="E342" t="str">
        <f>VLOOKUP($C342, Egli_UPEC_metadata_provided!$A$2:$M$826, 4, FALSE)</f>
        <v>A</v>
      </c>
      <c r="F342" t="str">
        <f>VLOOKUP($C342, Egli_UPEC_metadata_provided!$A$2:$M$826, 5, FALSE)</f>
        <v>m</v>
      </c>
      <c r="G342">
        <f>VLOOKUP($C342, Egli_UPEC_metadata_provided!$A$2:$M$826, 6, FALSE)</f>
        <v>0</v>
      </c>
      <c r="H342">
        <f>VLOOKUP($C342, Egli_UPEC_metadata_provided!$A$2:$M$826, 7, FALSE)</f>
        <v>2</v>
      </c>
      <c r="I342">
        <f>VLOOKUP($C342, Egli_UPEC_metadata_provided!$A$2:$M$826, 8, FALSE)</f>
        <v>78.731373889268596</v>
      </c>
      <c r="J342" t="b">
        <f>VLOOKUP($C342, Egli_UPEC_metadata_provided!$A$2:$M$826, 9, FALSE)</f>
        <v>0</v>
      </c>
      <c r="K342">
        <f>VLOOKUP($C342, Egli_UPEC_metadata_provided!$A$2:$M$826, 10, FALSE)</f>
        <v>0</v>
      </c>
      <c r="L342" t="str">
        <f>VLOOKUP($C342, Egli_UPEC_metadata_provided!$A$2:$M$826, 11, FALSE)</f>
        <v>invasive</v>
      </c>
      <c r="M342">
        <f>VLOOKUP($C342, Egli_UPEC_metadata_provided!$A$2:$M$826, 12, FALSE)</f>
        <v>0</v>
      </c>
      <c r="N342">
        <f>VLOOKUP($C342, Egli_UPEC_metadata_provided!$A$2:$M$826, 13, FALSE)</f>
        <v>0</v>
      </c>
      <c r="O342">
        <f>VLOOKUP($C342, Egli_UPEC_metadata_provided!$A$2:$N$826, 14, FALSE)</f>
        <v>0</v>
      </c>
    </row>
    <row r="343" spans="1:15" x14ac:dyDescent="0.2">
      <c r="A343" t="s">
        <v>88</v>
      </c>
      <c r="B343" t="s">
        <v>3321</v>
      </c>
      <c r="C343" t="s">
        <v>3321</v>
      </c>
      <c r="D343">
        <f>VLOOKUP($C343, Egli_UPEC_metadata_provided!$A$2:$M$826, 3, FALSE)</f>
        <v>2019</v>
      </c>
      <c r="E343" t="str">
        <f>VLOOKUP($C343, Egli_UPEC_metadata_provided!$A$2:$M$826, 4, FALSE)</f>
        <v>D1</v>
      </c>
      <c r="F343" t="str">
        <f>VLOOKUP($C343, Egli_UPEC_metadata_provided!$A$2:$M$826, 5, FALSE)</f>
        <v>m</v>
      </c>
      <c r="G343">
        <f>VLOOKUP($C343, Egli_UPEC_metadata_provided!$A$2:$M$826, 6, FALSE)</f>
        <v>1</v>
      </c>
      <c r="H343">
        <f>VLOOKUP($C343, Egli_UPEC_metadata_provided!$A$2:$M$826, 7, FALSE)</f>
        <v>1</v>
      </c>
      <c r="I343">
        <f>VLOOKUP($C343, Egli_UPEC_metadata_provided!$A$2:$M$826, 8, FALSE)</f>
        <v>54.818865345181102</v>
      </c>
      <c r="J343" t="b">
        <f>VLOOKUP($C343, Egli_UPEC_metadata_provided!$A$2:$M$826, 9, FALSE)</f>
        <v>0</v>
      </c>
      <c r="K343">
        <f>VLOOKUP($C343, Egli_UPEC_metadata_provided!$A$2:$M$826, 10, FALSE)</f>
        <v>0</v>
      </c>
      <c r="L343" t="str">
        <f>VLOOKUP($C343, Egli_UPEC_metadata_provided!$A$2:$M$826, 11, FALSE)</f>
        <v>invasive</v>
      </c>
      <c r="M343">
        <f>VLOOKUP($C343, Egli_UPEC_metadata_provided!$A$2:$M$826, 12, FALSE)</f>
        <v>0</v>
      </c>
      <c r="N343" t="str">
        <f>VLOOKUP($C343, Egli_UPEC_metadata_provided!$A$2:$M$826, 13, FALSE)</f>
        <v>NA</v>
      </c>
      <c r="O343">
        <f>VLOOKUP($C343, Egli_UPEC_metadata_provided!$A$2:$N$826, 14, FALSE)</f>
        <v>0</v>
      </c>
    </row>
    <row r="344" spans="1:15" x14ac:dyDescent="0.2">
      <c r="A344" t="s">
        <v>89</v>
      </c>
      <c r="B344" t="s">
        <v>3322</v>
      </c>
      <c r="C344" t="s">
        <v>3322</v>
      </c>
      <c r="D344">
        <f>VLOOKUP($C344, Egli_UPEC_metadata_provided!$A$2:$M$826, 3, FALSE)</f>
        <v>2019</v>
      </c>
      <c r="E344" t="str">
        <f>VLOOKUP($C344, Egli_UPEC_metadata_provided!$A$2:$M$826, 4, FALSE)</f>
        <v>B1</v>
      </c>
      <c r="F344" t="str">
        <f>VLOOKUP($C344, Egli_UPEC_metadata_provided!$A$2:$M$826, 5, FALSE)</f>
        <v>w</v>
      </c>
      <c r="G344">
        <f>VLOOKUP($C344, Egli_UPEC_metadata_provided!$A$2:$M$826, 6, FALSE)</f>
        <v>0</v>
      </c>
      <c r="H344">
        <f>VLOOKUP($C344, Egli_UPEC_metadata_provided!$A$2:$M$826, 7, FALSE)</f>
        <v>0</v>
      </c>
      <c r="I344">
        <f>VLOOKUP($C344, Egli_UPEC_metadata_provided!$A$2:$M$826, 8, FALSE)</f>
        <v>90.263841421736203</v>
      </c>
      <c r="J344" t="b">
        <f>VLOOKUP($C344, Egli_UPEC_metadata_provided!$A$2:$M$826, 9, FALSE)</f>
        <v>0</v>
      </c>
      <c r="K344">
        <f>VLOOKUP($C344, Egli_UPEC_metadata_provided!$A$2:$M$826, 10, FALSE)</f>
        <v>0</v>
      </c>
      <c r="L344" t="str">
        <f>VLOOKUP($C344, Egli_UPEC_metadata_provided!$A$2:$M$826, 11, FALSE)</f>
        <v>invasive</v>
      </c>
      <c r="M344">
        <f>VLOOKUP($C344, Egli_UPEC_metadata_provided!$A$2:$M$826, 12, FALSE)</f>
        <v>0</v>
      </c>
      <c r="N344">
        <f>VLOOKUP($C344, Egli_UPEC_metadata_provided!$A$2:$M$826, 13, FALSE)</f>
        <v>0</v>
      </c>
      <c r="O344">
        <f>VLOOKUP($C344, Egli_UPEC_metadata_provided!$A$2:$N$826, 14, FALSE)</f>
        <v>0</v>
      </c>
    </row>
    <row r="345" spans="1:15" x14ac:dyDescent="0.2">
      <c r="A345" t="s">
        <v>90</v>
      </c>
      <c r="B345" t="s">
        <v>3323</v>
      </c>
      <c r="C345" t="s">
        <v>3323</v>
      </c>
      <c r="D345">
        <f>VLOOKUP($C345, Egli_UPEC_metadata_provided!$A$2:$M$826, 3, FALSE)</f>
        <v>2019</v>
      </c>
      <c r="E345" t="str">
        <f>VLOOKUP($C345, Egli_UPEC_metadata_provided!$A$2:$M$826, 4, FALSE)</f>
        <v>B2-2</v>
      </c>
      <c r="F345" t="str">
        <f>VLOOKUP($C345, Egli_UPEC_metadata_provided!$A$2:$M$826, 5, FALSE)</f>
        <v>m</v>
      </c>
      <c r="G345">
        <f>VLOOKUP($C345, Egli_UPEC_metadata_provided!$A$2:$M$826, 6, FALSE)</f>
        <v>0</v>
      </c>
      <c r="H345">
        <f>VLOOKUP($C345, Egli_UPEC_metadata_provided!$A$2:$M$826, 7, FALSE)</f>
        <v>5</v>
      </c>
      <c r="I345">
        <f>VLOOKUP($C345, Egli_UPEC_metadata_provided!$A$2:$M$826, 8, FALSE)</f>
        <v>62.879015721121</v>
      </c>
      <c r="J345" t="b">
        <f>VLOOKUP($C345, Egli_UPEC_metadata_provided!$A$2:$M$826, 9, FALSE)</f>
        <v>0</v>
      </c>
      <c r="K345">
        <f>VLOOKUP($C345, Egli_UPEC_metadata_provided!$A$2:$M$826, 10, FALSE)</f>
        <v>0</v>
      </c>
      <c r="L345" t="str">
        <f>VLOOKUP($C345, Egli_UPEC_metadata_provided!$A$2:$M$826, 11, FALSE)</f>
        <v>invasive</v>
      </c>
      <c r="M345">
        <f>VLOOKUP($C345, Egli_UPEC_metadata_provided!$A$2:$M$826, 12, FALSE)</f>
        <v>0</v>
      </c>
      <c r="N345">
        <f>VLOOKUP($C345, Egli_UPEC_metadata_provided!$A$2:$M$826, 13, FALSE)</f>
        <v>0</v>
      </c>
      <c r="O345">
        <f>VLOOKUP($C345, Egli_UPEC_metadata_provided!$A$2:$N$826, 14, FALSE)</f>
        <v>0</v>
      </c>
    </row>
    <row r="346" spans="1:15" x14ac:dyDescent="0.2">
      <c r="A346" t="s">
        <v>91</v>
      </c>
      <c r="B346" t="s">
        <v>3324</v>
      </c>
      <c r="C346" t="s">
        <v>3324</v>
      </c>
      <c r="D346">
        <f>VLOOKUP($C346, Egli_UPEC_metadata_provided!$A$2:$M$826, 3, FALSE)</f>
        <v>2019</v>
      </c>
      <c r="E346" t="str">
        <f>VLOOKUP($C346, Egli_UPEC_metadata_provided!$A$2:$M$826, 4, FALSE)</f>
        <v>B2-2</v>
      </c>
      <c r="F346" t="str">
        <f>VLOOKUP($C346, Egli_UPEC_metadata_provided!$A$2:$M$826, 5, FALSE)</f>
        <v>m</v>
      </c>
      <c r="G346">
        <f>VLOOKUP($C346, Egli_UPEC_metadata_provided!$A$2:$M$826, 6, FALSE)</f>
        <v>0</v>
      </c>
      <c r="H346">
        <f>VLOOKUP($C346, Egli_UPEC_metadata_provided!$A$2:$M$826, 7, FALSE)</f>
        <v>0</v>
      </c>
      <c r="I346">
        <f>VLOOKUP($C346, Egli_UPEC_metadata_provided!$A$2:$M$826, 8, FALSE)</f>
        <v>71.633629528366399</v>
      </c>
      <c r="J346" t="b">
        <f>VLOOKUP($C346, Egli_UPEC_metadata_provided!$A$2:$M$826, 9, FALSE)</f>
        <v>0</v>
      </c>
      <c r="K346">
        <f>VLOOKUP($C346, Egli_UPEC_metadata_provided!$A$2:$M$826, 10, FALSE)</f>
        <v>0</v>
      </c>
      <c r="L346" t="str">
        <f>VLOOKUP($C346, Egli_UPEC_metadata_provided!$A$2:$M$826, 11, FALSE)</f>
        <v>invasive</v>
      </c>
      <c r="M346">
        <f>VLOOKUP($C346, Egli_UPEC_metadata_provided!$A$2:$M$826, 12, FALSE)</f>
        <v>0</v>
      </c>
      <c r="N346">
        <f>VLOOKUP($C346, Egli_UPEC_metadata_provided!$A$2:$M$826, 13, FALSE)</f>
        <v>0</v>
      </c>
      <c r="O346">
        <f>VLOOKUP($C346, Egli_UPEC_metadata_provided!$A$2:$N$826, 14, FALSE)</f>
        <v>1</v>
      </c>
    </row>
    <row r="347" spans="1:15" x14ac:dyDescent="0.2">
      <c r="A347" t="s">
        <v>95</v>
      </c>
      <c r="B347" t="s">
        <v>3328</v>
      </c>
      <c r="C347" t="s">
        <v>3328</v>
      </c>
      <c r="D347">
        <f>VLOOKUP($C347, Egli_UPEC_metadata_provided!$A$2:$M$826, 3, FALSE)</f>
        <v>2019</v>
      </c>
      <c r="E347" t="str">
        <f>VLOOKUP($C347, Egli_UPEC_metadata_provided!$A$2:$M$826, 4, FALSE)</f>
        <v>D1</v>
      </c>
      <c r="F347" t="str">
        <f>VLOOKUP($C347, Egli_UPEC_metadata_provided!$A$2:$M$826, 5, FALSE)</f>
        <v>w</v>
      </c>
      <c r="G347">
        <f>VLOOKUP($C347, Egli_UPEC_metadata_provided!$A$2:$M$826, 6, FALSE)</f>
        <v>0</v>
      </c>
      <c r="H347">
        <f>VLOOKUP($C347, Egli_UPEC_metadata_provided!$A$2:$M$826, 7, FALSE)</f>
        <v>0</v>
      </c>
      <c r="I347">
        <f>VLOOKUP($C347, Egli_UPEC_metadata_provided!$A$2:$M$826, 8, FALSE)</f>
        <v>76.855775803144198</v>
      </c>
      <c r="J347" t="b">
        <f>VLOOKUP($C347, Egli_UPEC_metadata_provided!$A$2:$M$826, 9, FALSE)</f>
        <v>0</v>
      </c>
      <c r="K347" t="str">
        <f>VLOOKUP($C347, Egli_UPEC_metadata_provided!$A$2:$M$826, 10, FALSE)</f>
        <v>NA</v>
      </c>
      <c r="L347" t="str">
        <f>VLOOKUP($C347, Egli_UPEC_metadata_provided!$A$2:$M$826, 11, FALSE)</f>
        <v>invasive</v>
      </c>
      <c r="M347">
        <f>VLOOKUP($C347, Egli_UPEC_metadata_provided!$A$2:$M$826, 12, FALSE)</f>
        <v>0</v>
      </c>
      <c r="N347">
        <f>VLOOKUP($C347, Egli_UPEC_metadata_provided!$A$2:$M$826, 13, FALSE)</f>
        <v>0</v>
      </c>
      <c r="O347">
        <f>VLOOKUP($C347, Egli_UPEC_metadata_provided!$A$2:$N$826, 14, FALSE)</f>
        <v>0</v>
      </c>
    </row>
    <row r="348" spans="1:15" x14ac:dyDescent="0.2">
      <c r="A348" t="s">
        <v>96</v>
      </c>
      <c r="B348" t="s">
        <v>3329</v>
      </c>
      <c r="C348" t="s">
        <v>3329</v>
      </c>
      <c r="D348">
        <f>VLOOKUP($C348, Egli_UPEC_metadata_provided!$A$2:$M$826, 3, FALSE)</f>
        <v>2019</v>
      </c>
      <c r="E348" t="str">
        <f>VLOOKUP($C348, Egli_UPEC_metadata_provided!$A$2:$M$826, 4, FALSE)</f>
        <v>D1</v>
      </c>
      <c r="F348" t="str">
        <f>VLOOKUP($C348, Egli_UPEC_metadata_provided!$A$2:$M$826, 5, FALSE)</f>
        <v>w</v>
      </c>
      <c r="G348">
        <f>VLOOKUP($C348, Egli_UPEC_metadata_provided!$A$2:$M$826, 6, FALSE)</f>
        <v>0</v>
      </c>
      <c r="H348">
        <f>VLOOKUP($C348, Egli_UPEC_metadata_provided!$A$2:$M$826, 7, FALSE)</f>
        <v>2</v>
      </c>
      <c r="I348">
        <f>VLOOKUP($C348, Egli_UPEC_metadata_provided!$A$2:$M$826, 8, FALSE)</f>
        <v>77.984962406015001</v>
      </c>
      <c r="J348" t="b">
        <f>VLOOKUP($C348, Egli_UPEC_metadata_provided!$A$2:$M$826, 9, FALSE)</f>
        <v>1</v>
      </c>
      <c r="K348">
        <f>VLOOKUP($C348, Egli_UPEC_metadata_provided!$A$2:$M$826, 10, FALSE)</f>
        <v>0</v>
      </c>
      <c r="L348" t="str">
        <f>VLOOKUP($C348, Egli_UPEC_metadata_provided!$A$2:$M$826, 11, FALSE)</f>
        <v>invasive</v>
      </c>
      <c r="M348">
        <f>VLOOKUP($C348, Egli_UPEC_metadata_provided!$A$2:$M$826, 12, FALSE)</f>
        <v>0</v>
      </c>
      <c r="N348">
        <f>VLOOKUP($C348, Egli_UPEC_metadata_provided!$A$2:$M$826, 13, FALSE)</f>
        <v>0</v>
      </c>
      <c r="O348">
        <f>VLOOKUP($C348, Egli_UPEC_metadata_provided!$A$2:$N$826, 14, FALSE)</f>
        <v>0</v>
      </c>
    </row>
    <row r="349" spans="1:15" x14ac:dyDescent="0.2">
      <c r="A349" t="s">
        <v>99</v>
      </c>
      <c r="B349" t="s">
        <v>3332</v>
      </c>
      <c r="C349" t="s">
        <v>3332</v>
      </c>
      <c r="D349">
        <f>VLOOKUP($C349, Egli_UPEC_metadata_provided!$A$2:$M$826, 3, FALSE)</f>
        <v>2019</v>
      </c>
      <c r="E349" t="str">
        <f>VLOOKUP($C349, Egli_UPEC_metadata_provided!$A$2:$M$826, 4, FALSE)</f>
        <v>D1</v>
      </c>
      <c r="F349" t="str">
        <f>VLOOKUP($C349, Egli_UPEC_metadata_provided!$A$2:$M$826, 5, FALSE)</f>
        <v>w</v>
      </c>
      <c r="G349">
        <f>VLOOKUP($C349, Egli_UPEC_metadata_provided!$A$2:$M$826, 6, FALSE)</f>
        <v>0</v>
      </c>
      <c r="H349">
        <f>VLOOKUP($C349, Egli_UPEC_metadata_provided!$A$2:$M$826, 7, FALSE)</f>
        <v>0</v>
      </c>
      <c r="I349">
        <f>VLOOKUP($C349, Egli_UPEC_metadata_provided!$A$2:$M$826, 8, FALSE)</f>
        <v>86.304853041695196</v>
      </c>
      <c r="J349" t="b">
        <f>VLOOKUP($C349, Egli_UPEC_metadata_provided!$A$2:$M$826, 9, FALSE)</f>
        <v>0</v>
      </c>
      <c r="K349">
        <f>VLOOKUP($C349, Egli_UPEC_metadata_provided!$A$2:$M$826, 10, FALSE)</f>
        <v>0</v>
      </c>
      <c r="L349" t="str">
        <f>VLOOKUP($C349, Egli_UPEC_metadata_provided!$A$2:$M$826, 11, FALSE)</f>
        <v>invasive</v>
      </c>
      <c r="M349">
        <f>VLOOKUP($C349, Egli_UPEC_metadata_provided!$A$2:$M$826, 12, FALSE)</f>
        <v>0</v>
      </c>
      <c r="N349">
        <f>VLOOKUP($C349, Egli_UPEC_metadata_provided!$A$2:$M$826, 13, FALSE)</f>
        <v>0</v>
      </c>
      <c r="O349">
        <f>VLOOKUP($C349, Egli_UPEC_metadata_provided!$A$2:$N$826, 14, FALSE)</f>
        <v>1</v>
      </c>
    </row>
    <row r="350" spans="1:15" x14ac:dyDescent="0.2">
      <c r="A350" t="s">
        <v>100</v>
      </c>
      <c r="B350" t="s">
        <v>3333</v>
      </c>
      <c r="C350" t="s">
        <v>3333</v>
      </c>
      <c r="D350">
        <f>VLOOKUP($C350, Egli_UPEC_metadata_provided!$A$2:$M$826, 3, FALSE)</f>
        <v>2019</v>
      </c>
      <c r="E350" t="str">
        <f>VLOOKUP($C350, Egli_UPEC_metadata_provided!$A$2:$M$826, 4, FALSE)</f>
        <v>B2-2</v>
      </c>
      <c r="F350" t="str">
        <f>VLOOKUP($C350, Egli_UPEC_metadata_provided!$A$2:$M$826, 5, FALSE)</f>
        <v>m</v>
      </c>
      <c r="G350">
        <f>VLOOKUP($C350, Egli_UPEC_metadata_provided!$A$2:$M$826, 6, FALSE)</f>
        <v>0</v>
      </c>
      <c r="H350">
        <f>VLOOKUP($C350, Egli_UPEC_metadata_provided!$A$2:$M$826, 7, FALSE)</f>
        <v>1</v>
      </c>
      <c r="I350">
        <f>VLOOKUP($C350, Egli_UPEC_metadata_provided!$A$2:$M$826, 8, FALSE)</f>
        <v>69.391660970608299</v>
      </c>
      <c r="J350" t="b">
        <f>VLOOKUP($C350, Egli_UPEC_metadata_provided!$A$2:$M$826, 9, FALSE)</f>
        <v>1</v>
      </c>
      <c r="K350" t="str">
        <f>VLOOKUP($C350, Egli_UPEC_metadata_provided!$A$2:$M$826, 10, FALSE)</f>
        <v>NA</v>
      </c>
      <c r="L350" t="str">
        <f>VLOOKUP($C350, Egli_UPEC_metadata_provided!$A$2:$M$826, 11, FALSE)</f>
        <v>invasive</v>
      </c>
      <c r="M350">
        <f>VLOOKUP($C350, Egli_UPEC_metadata_provided!$A$2:$M$826, 12, FALSE)</f>
        <v>1</v>
      </c>
      <c r="N350">
        <f>VLOOKUP($C350, Egli_UPEC_metadata_provided!$A$2:$M$826, 13, FALSE)</f>
        <v>0</v>
      </c>
      <c r="O350">
        <f>VLOOKUP($C350, Egli_UPEC_metadata_provided!$A$2:$N$826, 14, FALSE)</f>
        <v>0</v>
      </c>
    </row>
    <row r="351" spans="1:15" x14ac:dyDescent="0.2">
      <c r="A351" t="s">
        <v>101</v>
      </c>
      <c r="B351" t="s">
        <v>3334</v>
      </c>
      <c r="C351" t="s">
        <v>3334</v>
      </c>
      <c r="D351">
        <f>VLOOKUP($C351, Egli_UPEC_metadata_provided!$A$2:$M$826, 3, FALSE)</f>
        <v>2019</v>
      </c>
      <c r="E351" t="str">
        <f>VLOOKUP($C351, Egli_UPEC_metadata_provided!$A$2:$M$826, 4, FALSE)</f>
        <v>A</v>
      </c>
      <c r="F351" t="str">
        <f>VLOOKUP($C351, Egli_UPEC_metadata_provided!$A$2:$M$826, 5, FALSE)</f>
        <v>w</v>
      </c>
      <c r="G351">
        <f>VLOOKUP($C351, Egli_UPEC_metadata_provided!$A$2:$M$826, 6, FALSE)</f>
        <v>0</v>
      </c>
      <c r="H351">
        <f>VLOOKUP($C351, Egli_UPEC_metadata_provided!$A$2:$M$826, 7, FALSE)</f>
        <v>0</v>
      </c>
      <c r="I351">
        <f>VLOOKUP($C351, Egli_UPEC_metadata_provided!$A$2:$M$826, 8, FALSE)</f>
        <v>80.492139439507895</v>
      </c>
      <c r="J351" t="b">
        <f>VLOOKUP($C351, Egli_UPEC_metadata_provided!$A$2:$M$826, 9, FALSE)</f>
        <v>0</v>
      </c>
      <c r="K351">
        <f>VLOOKUP($C351, Egli_UPEC_metadata_provided!$A$2:$M$826, 10, FALSE)</f>
        <v>0</v>
      </c>
      <c r="L351" t="str">
        <f>VLOOKUP($C351, Egli_UPEC_metadata_provided!$A$2:$M$826, 11, FALSE)</f>
        <v>invasive</v>
      </c>
      <c r="M351">
        <f>VLOOKUP($C351, Egli_UPEC_metadata_provided!$A$2:$M$826, 12, FALSE)</f>
        <v>0</v>
      </c>
      <c r="N351">
        <f>VLOOKUP($C351, Egli_UPEC_metadata_provided!$A$2:$M$826, 13, FALSE)</f>
        <v>0</v>
      </c>
      <c r="O351">
        <f>VLOOKUP($C351, Egli_UPEC_metadata_provided!$A$2:$N$826, 14, FALSE)</f>
        <v>0</v>
      </c>
    </row>
    <row r="352" spans="1:15" x14ac:dyDescent="0.2">
      <c r="A352" t="s">
        <v>102</v>
      </c>
      <c r="B352" t="s">
        <v>3335</v>
      </c>
      <c r="C352" t="s">
        <v>3335</v>
      </c>
      <c r="D352">
        <f>VLOOKUP($C352, Egli_UPEC_metadata_provided!$A$2:$M$826, 3, FALSE)</f>
        <v>2019</v>
      </c>
      <c r="E352" t="str">
        <f>VLOOKUP($C352, Egli_UPEC_metadata_provided!$A$2:$M$826, 4, FALSE)</f>
        <v>B1</v>
      </c>
      <c r="F352" t="str">
        <f>VLOOKUP($C352, Egli_UPEC_metadata_provided!$A$2:$M$826, 5, FALSE)</f>
        <v>w</v>
      </c>
      <c r="G352">
        <f>VLOOKUP($C352, Egli_UPEC_metadata_provided!$A$2:$M$826, 6, FALSE)</f>
        <v>1</v>
      </c>
      <c r="H352">
        <f>VLOOKUP($C352, Egli_UPEC_metadata_provided!$A$2:$M$826, 7, FALSE)</f>
        <v>3</v>
      </c>
      <c r="I352">
        <f>VLOOKUP($C352, Egli_UPEC_metadata_provided!$A$2:$M$826, 8, FALSE)</f>
        <v>81.263157894736807</v>
      </c>
      <c r="J352" t="b">
        <f>VLOOKUP($C352, Egli_UPEC_metadata_provided!$A$2:$M$826, 9, FALSE)</f>
        <v>0</v>
      </c>
      <c r="K352">
        <f>VLOOKUP($C352, Egli_UPEC_metadata_provided!$A$2:$M$826, 10, FALSE)</f>
        <v>0</v>
      </c>
      <c r="L352" t="str">
        <f>VLOOKUP($C352, Egli_UPEC_metadata_provided!$A$2:$M$826, 11, FALSE)</f>
        <v>invasive</v>
      </c>
      <c r="M352">
        <f>VLOOKUP($C352, Egli_UPEC_metadata_provided!$A$2:$M$826, 12, FALSE)</f>
        <v>0</v>
      </c>
      <c r="N352">
        <f>VLOOKUP($C352, Egli_UPEC_metadata_provided!$A$2:$M$826, 13, FALSE)</f>
        <v>1</v>
      </c>
      <c r="O352">
        <f>VLOOKUP($C352, Egli_UPEC_metadata_provided!$A$2:$N$826, 14, FALSE)</f>
        <v>0</v>
      </c>
    </row>
    <row r="353" spans="1:15" x14ac:dyDescent="0.2">
      <c r="A353" t="s">
        <v>103</v>
      </c>
      <c r="B353" t="s">
        <v>3336</v>
      </c>
      <c r="C353" t="s">
        <v>3336</v>
      </c>
      <c r="D353">
        <f>VLOOKUP($C353, Egli_UPEC_metadata_provided!$A$2:$M$826, 3, FALSE)</f>
        <v>2019</v>
      </c>
      <c r="E353" t="str">
        <f>VLOOKUP($C353, Egli_UPEC_metadata_provided!$A$2:$M$826, 4, FALSE)</f>
        <v>B2-2</v>
      </c>
      <c r="F353" t="str">
        <f>VLOOKUP($C353, Egli_UPEC_metadata_provided!$A$2:$M$826, 5, FALSE)</f>
        <v>w</v>
      </c>
      <c r="G353">
        <f>VLOOKUP($C353, Egli_UPEC_metadata_provided!$A$2:$M$826, 6, FALSE)</f>
        <v>0</v>
      </c>
      <c r="H353">
        <f>VLOOKUP($C353, Egli_UPEC_metadata_provided!$A$2:$M$826, 7, FALSE)</f>
        <v>6</v>
      </c>
      <c r="I353">
        <f>VLOOKUP($C353, Egli_UPEC_metadata_provided!$A$2:$M$826, 8, FALSE)</f>
        <v>74.315789473684205</v>
      </c>
      <c r="J353" t="b">
        <f>VLOOKUP($C353, Egli_UPEC_metadata_provided!$A$2:$M$826, 9, FALSE)</f>
        <v>1</v>
      </c>
      <c r="K353">
        <f>VLOOKUP($C353, Egli_UPEC_metadata_provided!$A$2:$M$826, 10, FALSE)</f>
        <v>0</v>
      </c>
      <c r="L353" t="str">
        <f>VLOOKUP($C353, Egli_UPEC_metadata_provided!$A$2:$M$826, 11, FALSE)</f>
        <v>invasive</v>
      </c>
      <c r="M353">
        <f>VLOOKUP($C353, Egli_UPEC_metadata_provided!$A$2:$M$826, 12, FALSE)</f>
        <v>0</v>
      </c>
      <c r="N353">
        <f>VLOOKUP($C353, Egli_UPEC_metadata_provided!$A$2:$M$826, 13, FALSE)</f>
        <v>0</v>
      </c>
      <c r="O353">
        <f>VLOOKUP($C353, Egli_UPEC_metadata_provided!$A$2:$N$826, 14, FALSE)</f>
        <v>1</v>
      </c>
    </row>
    <row r="354" spans="1:15" x14ac:dyDescent="0.2">
      <c r="A354" t="s">
        <v>104</v>
      </c>
      <c r="B354" t="s">
        <v>3337</v>
      </c>
      <c r="C354" t="s">
        <v>3337</v>
      </c>
      <c r="D354">
        <f>VLOOKUP($C354, Egli_UPEC_metadata_provided!$A$2:$M$826, 3, FALSE)</f>
        <v>2019</v>
      </c>
      <c r="E354" t="str">
        <f>VLOOKUP($C354, Egli_UPEC_metadata_provided!$A$2:$M$826, 4, FALSE)</f>
        <v>B2-1</v>
      </c>
      <c r="F354" t="str">
        <f>VLOOKUP($C354, Egli_UPEC_metadata_provided!$A$2:$M$826, 5, FALSE)</f>
        <v>w</v>
      </c>
      <c r="G354">
        <f>VLOOKUP($C354, Egli_UPEC_metadata_provided!$A$2:$M$826, 6, FALSE)</f>
        <v>0</v>
      </c>
      <c r="H354">
        <f>VLOOKUP($C354, Egli_UPEC_metadata_provided!$A$2:$M$826, 7, FALSE)</f>
        <v>2</v>
      </c>
      <c r="I354">
        <f>VLOOKUP($C354, Egli_UPEC_metadata_provided!$A$2:$M$826, 8, FALSE)</f>
        <v>60.546821599453203</v>
      </c>
      <c r="J354" t="b">
        <f>VLOOKUP($C354, Egli_UPEC_metadata_provided!$A$2:$M$826, 9, FALSE)</f>
        <v>1</v>
      </c>
      <c r="K354">
        <f>VLOOKUP($C354, Egli_UPEC_metadata_provided!$A$2:$M$826, 10, FALSE)</f>
        <v>1</v>
      </c>
      <c r="L354" t="str">
        <f>VLOOKUP($C354, Egli_UPEC_metadata_provided!$A$2:$M$826, 11, FALSE)</f>
        <v>invasive</v>
      </c>
      <c r="M354">
        <f>VLOOKUP($C354, Egli_UPEC_metadata_provided!$A$2:$M$826, 12, FALSE)</f>
        <v>0</v>
      </c>
      <c r="N354">
        <f>VLOOKUP($C354, Egli_UPEC_metadata_provided!$A$2:$M$826, 13, FALSE)</f>
        <v>0</v>
      </c>
      <c r="O354">
        <f>VLOOKUP($C354, Egli_UPEC_metadata_provided!$A$2:$N$826, 14, FALSE)</f>
        <v>1</v>
      </c>
    </row>
    <row r="355" spans="1:15" x14ac:dyDescent="0.2">
      <c r="A355" t="s">
        <v>105</v>
      </c>
      <c r="B355" t="s">
        <v>3338</v>
      </c>
      <c r="C355" t="s">
        <v>3338</v>
      </c>
      <c r="D355">
        <f>VLOOKUP($C355, Egli_UPEC_metadata_provided!$A$2:$M$826, 3, FALSE)</f>
        <v>2019</v>
      </c>
      <c r="E355" t="str">
        <f>VLOOKUP($C355, Egli_UPEC_metadata_provided!$A$2:$M$826, 4, FALSE)</f>
        <v>B2-2</v>
      </c>
      <c r="F355" t="str">
        <f>VLOOKUP($C355, Egli_UPEC_metadata_provided!$A$2:$M$826, 5, FALSE)</f>
        <v>w</v>
      </c>
      <c r="G355">
        <f>VLOOKUP($C355, Egli_UPEC_metadata_provided!$A$2:$M$826, 6, FALSE)</f>
        <v>0</v>
      </c>
      <c r="H355">
        <f>VLOOKUP($C355, Egli_UPEC_metadata_provided!$A$2:$M$826, 7, FALSE)</f>
        <v>1</v>
      </c>
      <c r="I355">
        <f>VLOOKUP($C355, Egli_UPEC_metadata_provided!$A$2:$M$826, 8, FALSE)</f>
        <v>64.355434039644607</v>
      </c>
      <c r="J355" t="b">
        <f>VLOOKUP($C355, Egli_UPEC_metadata_provided!$A$2:$M$826, 9, FALSE)</f>
        <v>1</v>
      </c>
      <c r="K355">
        <f>VLOOKUP($C355, Egli_UPEC_metadata_provided!$A$2:$M$826, 10, FALSE)</f>
        <v>0</v>
      </c>
      <c r="L355" t="str">
        <f>VLOOKUP($C355, Egli_UPEC_metadata_provided!$A$2:$M$826, 11, FALSE)</f>
        <v>invasive</v>
      </c>
      <c r="M355">
        <f>VLOOKUP($C355, Egli_UPEC_metadata_provided!$A$2:$M$826, 12, FALSE)</f>
        <v>0</v>
      </c>
      <c r="N355">
        <f>VLOOKUP($C355, Egli_UPEC_metadata_provided!$A$2:$M$826, 13, FALSE)</f>
        <v>0</v>
      </c>
      <c r="O355">
        <f>VLOOKUP($C355, Egli_UPEC_metadata_provided!$A$2:$N$826, 14, FALSE)</f>
        <v>0</v>
      </c>
    </row>
    <row r="356" spans="1:15" x14ac:dyDescent="0.2">
      <c r="A356" t="s">
        <v>106</v>
      </c>
      <c r="B356" t="s">
        <v>3339</v>
      </c>
      <c r="C356" t="s">
        <v>3339</v>
      </c>
      <c r="D356">
        <f>VLOOKUP($C356, Egli_UPEC_metadata_provided!$A$2:$M$826, 3, FALSE)</f>
        <v>2019</v>
      </c>
      <c r="E356" t="str">
        <f>VLOOKUP($C356, Egli_UPEC_metadata_provided!$A$2:$M$826, 4, FALSE)</f>
        <v>B2-2</v>
      </c>
      <c r="F356" t="str">
        <f>VLOOKUP($C356, Egli_UPEC_metadata_provided!$A$2:$M$826, 5, FALSE)</f>
        <v>m</v>
      </c>
      <c r="G356">
        <f>VLOOKUP($C356, Egli_UPEC_metadata_provided!$A$2:$M$826, 6, FALSE)</f>
        <v>0</v>
      </c>
      <c r="H356">
        <f>VLOOKUP($C356, Egli_UPEC_metadata_provided!$A$2:$M$826, 7, FALSE)</f>
        <v>2</v>
      </c>
      <c r="I356">
        <f>VLOOKUP($C356, Egli_UPEC_metadata_provided!$A$2:$M$826, 8, FALSE)</f>
        <v>75.4613807245386</v>
      </c>
      <c r="J356" t="b">
        <f>VLOOKUP($C356, Egli_UPEC_metadata_provided!$A$2:$M$826, 9, FALSE)</f>
        <v>0</v>
      </c>
      <c r="K356">
        <f>VLOOKUP($C356, Egli_UPEC_metadata_provided!$A$2:$M$826, 10, FALSE)</f>
        <v>0</v>
      </c>
      <c r="L356" t="str">
        <f>VLOOKUP($C356, Egli_UPEC_metadata_provided!$A$2:$M$826, 11, FALSE)</f>
        <v>invasive</v>
      </c>
      <c r="M356">
        <f>VLOOKUP($C356, Egli_UPEC_metadata_provided!$A$2:$M$826, 12, FALSE)</f>
        <v>0</v>
      </c>
      <c r="N356">
        <f>VLOOKUP($C356, Egli_UPEC_metadata_provided!$A$2:$M$826, 13, FALSE)</f>
        <v>0</v>
      </c>
      <c r="O356">
        <f>VLOOKUP($C356, Egli_UPEC_metadata_provided!$A$2:$N$826, 14, FALSE)</f>
        <v>1</v>
      </c>
    </row>
    <row r="357" spans="1:15" x14ac:dyDescent="0.2">
      <c r="A357" t="s">
        <v>107</v>
      </c>
      <c r="B357" t="s">
        <v>3340</v>
      </c>
      <c r="C357" t="s">
        <v>3340</v>
      </c>
      <c r="D357">
        <f>VLOOKUP($C357, Egli_UPEC_metadata_provided!$A$2:$M$826, 3, FALSE)</f>
        <v>2019</v>
      </c>
      <c r="E357" t="str">
        <f>VLOOKUP($C357, Egli_UPEC_metadata_provided!$A$2:$M$826, 4, FALSE)</f>
        <v>B1</v>
      </c>
      <c r="F357" t="str">
        <f>VLOOKUP($C357, Egli_UPEC_metadata_provided!$A$2:$M$826, 5, FALSE)</f>
        <v>m</v>
      </c>
      <c r="G357">
        <f>VLOOKUP($C357, Egli_UPEC_metadata_provided!$A$2:$M$826, 6, FALSE)</f>
        <v>0</v>
      </c>
      <c r="H357">
        <f>VLOOKUP($C357, Egli_UPEC_metadata_provided!$A$2:$M$826, 7, FALSE)</f>
        <v>3</v>
      </c>
      <c r="I357">
        <f>VLOOKUP($C357, Egli_UPEC_metadata_provided!$A$2:$M$826, 8, FALSE)</f>
        <v>73.394395078605598</v>
      </c>
      <c r="J357" t="b">
        <f>VLOOKUP($C357, Egli_UPEC_metadata_provided!$A$2:$M$826, 9, FALSE)</f>
        <v>0</v>
      </c>
      <c r="K357">
        <f>VLOOKUP($C357, Egli_UPEC_metadata_provided!$A$2:$M$826, 10, FALSE)</f>
        <v>0</v>
      </c>
      <c r="L357" t="str">
        <f>VLOOKUP($C357, Egli_UPEC_metadata_provided!$A$2:$M$826, 11, FALSE)</f>
        <v>invasive</v>
      </c>
      <c r="M357">
        <f>VLOOKUP($C357, Egli_UPEC_metadata_provided!$A$2:$M$826, 12, FALSE)</f>
        <v>0</v>
      </c>
      <c r="N357">
        <f>VLOOKUP($C357, Egli_UPEC_metadata_provided!$A$2:$M$826, 13, FALSE)</f>
        <v>0</v>
      </c>
      <c r="O357">
        <f>VLOOKUP($C357, Egli_UPEC_metadata_provided!$A$2:$N$826, 14, FALSE)</f>
        <v>0</v>
      </c>
    </row>
    <row r="358" spans="1:15" x14ac:dyDescent="0.2">
      <c r="A358" t="s">
        <v>1006</v>
      </c>
      <c r="B358" t="s">
        <v>4316</v>
      </c>
      <c r="C358" t="s">
        <v>3341</v>
      </c>
      <c r="D358">
        <f>VLOOKUP($C358, Egli_UPEC_metadata_provided!$A$2:$M$826, 3, FALSE)</f>
        <v>2019</v>
      </c>
      <c r="E358" t="str">
        <f>VLOOKUP($C358, Egli_UPEC_metadata_provided!$A$2:$M$826, 4, FALSE)</f>
        <v>A</v>
      </c>
      <c r="F358" t="str">
        <f>VLOOKUP($C358, Egli_UPEC_metadata_provided!$A$2:$M$826, 5, FALSE)</f>
        <v>m</v>
      </c>
      <c r="G358">
        <f>VLOOKUP($C358, Egli_UPEC_metadata_provided!$A$2:$M$826, 6, FALSE)</f>
        <v>0</v>
      </c>
      <c r="H358">
        <f>VLOOKUP($C358, Egli_UPEC_metadata_provided!$A$2:$M$826, 7, FALSE)</f>
        <v>4</v>
      </c>
      <c r="I358">
        <f>VLOOKUP($C358, Egli_UPEC_metadata_provided!$A$2:$M$826, 8, FALSE)</f>
        <v>71.122351332877699</v>
      </c>
      <c r="J358" t="b">
        <f>VLOOKUP($C358, Egli_UPEC_metadata_provided!$A$2:$M$826, 9, FALSE)</f>
        <v>0</v>
      </c>
      <c r="K358">
        <f>VLOOKUP($C358, Egli_UPEC_metadata_provided!$A$2:$M$826, 10, FALSE)</f>
        <v>0</v>
      </c>
      <c r="L358" t="str">
        <f>VLOOKUP($C358, Egli_UPEC_metadata_provided!$A$2:$M$826, 11, FALSE)</f>
        <v>invasive</v>
      </c>
      <c r="M358">
        <f>VLOOKUP($C358, Egli_UPEC_metadata_provided!$A$2:$M$826, 12, FALSE)</f>
        <v>1</v>
      </c>
      <c r="N358">
        <f>VLOOKUP($C358, Egli_UPEC_metadata_provided!$A$2:$M$826, 13, FALSE)</f>
        <v>0</v>
      </c>
      <c r="O358">
        <f>VLOOKUP($C358, Egli_UPEC_metadata_provided!$A$2:$N$826, 14, FALSE)</f>
        <v>0</v>
      </c>
    </row>
    <row r="359" spans="1:15" x14ac:dyDescent="0.2">
      <c r="A359" t="s">
        <v>108</v>
      </c>
      <c r="B359" t="s">
        <v>4126</v>
      </c>
      <c r="C359" t="s">
        <v>3341</v>
      </c>
      <c r="D359">
        <f>VLOOKUP($C359, Egli_UPEC_metadata_provided!$A$2:$M$826, 3, FALSE)</f>
        <v>2019</v>
      </c>
      <c r="E359" t="str">
        <f>VLOOKUP($C359, Egli_UPEC_metadata_provided!$A$2:$M$826, 4, FALSE)</f>
        <v>A</v>
      </c>
      <c r="F359" t="str">
        <f>VLOOKUP($C359, Egli_UPEC_metadata_provided!$A$2:$M$826, 5, FALSE)</f>
        <v>m</v>
      </c>
      <c r="G359">
        <f>VLOOKUP($C359, Egli_UPEC_metadata_provided!$A$2:$M$826, 6, FALSE)</f>
        <v>0</v>
      </c>
      <c r="H359">
        <f>VLOOKUP($C359, Egli_UPEC_metadata_provided!$A$2:$M$826, 7, FALSE)</f>
        <v>4</v>
      </c>
      <c r="I359">
        <f>VLOOKUP($C359, Egli_UPEC_metadata_provided!$A$2:$M$826, 8, FALSE)</f>
        <v>71.122351332877699</v>
      </c>
      <c r="J359" t="b">
        <f>VLOOKUP($C359, Egli_UPEC_metadata_provided!$A$2:$M$826, 9, FALSE)</f>
        <v>0</v>
      </c>
      <c r="K359">
        <f>VLOOKUP($C359, Egli_UPEC_metadata_provided!$A$2:$M$826, 10, FALSE)</f>
        <v>0</v>
      </c>
      <c r="L359" t="str">
        <f>VLOOKUP($C359, Egli_UPEC_metadata_provided!$A$2:$M$826, 11, FALSE)</f>
        <v>invasive</v>
      </c>
      <c r="M359">
        <f>VLOOKUP($C359, Egli_UPEC_metadata_provided!$A$2:$M$826, 12, FALSE)</f>
        <v>1</v>
      </c>
      <c r="N359">
        <f>VLOOKUP($C359, Egli_UPEC_metadata_provided!$A$2:$M$826, 13, FALSE)</f>
        <v>0</v>
      </c>
      <c r="O359">
        <f>VLOOKUP($C359, Egli_UPEC_metadata_provided!$A$2:$N$826, 14, FALSE)</f>
        <v>0</v>
      </c>
    </row>
    <row r="360" spans="1:15" x14ac:dyDescent="0.2">
      <c r="A360" t="s">
        <v>109</v>
      </c>
      <c r="B360" t="s">
        <v>3342</v>
      </c>
      <c r="C360" t="s">
        <v>3342</v>
      </c>
      <c r="D360">
        <f>VLOOKUP($C360, Egli_UPEC_metadata_provided!$A$2:$M$826, 3, FALSE)</f>
        <v>2019</v>
      </c>
      <c r="E360" t="str">
        <f>VLOOKUP($C360, Egli_UPEC_metadata_provided!$A$2:$M$826, 4, FALSE)</f>
        <v>B2-2</v>
      </c>
      <c r="F360" t="str">
        <f>VLOOKUP($C360, Egli_UPEC_metadata_provided!$A$2:$M$826, 5, FALSE)</f>
        <v>w</v>
      </c>
      <c r="G360">
        <f>VLOOKUP($C360, Egli_UPEC_metadata_provided!$A$2:$M$826, 6, FALSE)</f>
        <v>0</v>
      </c>
      <c r="H360">
        <f>VLOOKUP($C360, Egli_UPEC_metadata_provided!$A$2:$M$826, 7, FALSE)</f>
        <v>2</v>
      </c>
      <c r="I360">
        <f>VLOOKUP($C360, Egli_UPEC_metadata_provided!$A$2:$M$826, 8, FALSE)</f>
        <v>85.935748462064197</v>
      </c>
      <c r="J360" t="b">
        <f>VLOOKUP($C360, Egli_UPEC_metadata_provided!$A$2:$M$826, 9, FALSE)</f>
        <v>1</v>
      </c>
      <c r="K360">
        <f>VLOOKUP($C360, Egli_UPEC_metadata_provided!$A$2:$M$826, 10, FALSE)</f>
        <v>0</v>
      </c>
      <c r="L360" t="str">
        <f>VLOOKUP($C360, Egli_UPEC_metadata_provided!$A$2:$M$826, 11, FALSE)</f>
        <v>invasive</v>
      </c>
      <c r="M360">
        <f>VLOOKUP($C360, Egli_UPEC_metadata_provided!$A$2:$M$826, 12, FALSE)</f>
        <v>0</v>
      </c>
      <c r="N360">
        <f>VLOOKUP($C360, Egli_UPEC_metadata_provided!$A$2:$M$826, 13, FALSE)</f>
        <v>0</v>
      </c>
      <c r="O360">
        <f>VLOOKUP($C360, Egli_UPEC_metadata_provided!$A$2:$N$826, 14, FALSE)</f>
        <v>1</v>
      </c>
    </row>
    <row r="361" spans="1:15" x14ac:dyDescent="0.2">
      <c r="A361" t="s">
        <v>110</v>
      </c>
      <c r="B361" t="s">
        <v>3343</v>
      </c>
      <c r="C361" t="s">
        <v>3343</v>
      </c>
      <c r="D361">
        <f>VLOOKUP($C361, Egli_UPEC_metadata_provided!$A$2:$M$826, 3, FALSE)</f>
        <v>2019</v>
      </c>
      <c r="E361" t="str">
        <f>VLOOKUP($C361, Egli_UPEC_metadata_provided!$A$2:$M$826, 4, FALSE)</f>
        <v>A</v>
      </c>
      <c r="F361" t="str">
        <f>VLOOKUP($C361, Egli_UPEC_metadata_provided!$A$2:$M$826, 5, FALSE)</f>
        <v>w</v>
      </c>
      <c r="G361">
        <f>VLOOKUP($C361, Egli_UPEC_metadata_provided!$A$2:$M$826, 6, FALSE)</f>
        <v>0</v>
      </c>
      <c r="H361">
        <f>VLOOKUP($C361, Egli_UPEC_metadata_provided!$A$2:$M$826, 7, FALSE)</f>
        <v>6</v>
      </c>
      <c r="I361">
        <f>VLOOKUP($C361, Egli_UPEC_metadata_provided!$A$2:$M$826, 8, FALSE)</f>
        <v>82.570061517429906</v>
      </c>
      <c r="J361" t="b">
        <f>VLOOKUP($C361, Egli_UPEC_metadata_provided!$A$2:$M$826, 9, FALSE)</f>
        <v>0</v>
      </c>
      <c r="K361">
        <f>VLOOKUP($C361, Egli_UPEC_metadata_provided!$A$2:$M$826, 10, FALSE)</f>
        <v>0</v>
      </c>
      <c r="L361" t="str">
        <f>VLOOKUP($C361, Egli_UPEC_metadata_provided!$A$2:$M$826, 11, FALSE)</f>
        <v>invasive</v>
      </c>
      <c r="M361">
        <f>VLOOKUP($C361, Egli_UPEC_metadata_provided!$A$2:$M$826, 12, FALSE)</f>
        <v>0</v>
      </c>
      <c r="N361">
        <f>VLOOKUP($C361, Egli_UPEC_metadata_provided!$A$2:$M$826, 13, FALSE)</f>
        <v>1</v>
      </c>
      <c r="O361">
        <f>VLOOKUP($C361, Egli_UPEC_metadata_provided!$A$2:$N$826, 14, FALSE)</f>
        <v>0</v>
      </c>
    </row>
    <row r="362" spans="1:15" x14ac:dyDescent="0.2">
      <c r="A362" t="s">
        <v>111</v>
      </c>
      <c r="B362" t="s">
        <v>3344</v>
      </c>
      <c r="C362" t="s">
        <v>3344</v>
      </c>
      <c r="D362">
        <f>VLOOKUP($C362, Egli_UPEC_metadata_provided!$A$2:$M$826, 3, FALSE)</f>
        <v>2019</v>
      </c>
      <c r="E362" t="str">
        <f>VLOOKUP($C362, Egli_UPEC_metadata_provided!$A$2:$M$826, 4, FALSE)</f>
        <v>D3</v>
      </c>
      <c r="F362" t="str">
        <f>VLOOKUP($C362, Egli_UPEC_metadata_provided!$A$2:$M$826, 5, FALSE)</f>
        <v>m</v>
      </c>
      <c r="G362">
        <f>VLOOKUP($C362, Egli_UPEC_metadata_provided!$A$2:$M$826, 6, FALSE)</f>
        <v>0</v>
      </c>
      <c r="H362">
        <f>VLOOKUP($C362, Egli_UPEC_metadata_provided!$A$2:$M$826, 7, FALSE)</f>
        <v>1</v>
      </c>
      <c r="I362">
        <f>VLOOKUP($C362, Egli_UPEC_metadata_provided!$A$2:$M$826, 8, FALSE)</f>
        <v>85.4463431305537</v>
      </c>
      <c r="J362" t="b">
        <f>VLOOKUP($C362, Egli_UPEC_metadata_provided!$A$2:$M$826, 9, FALSE)</f>
        <v>0</v>
      </c>
      <c r="K362" t="str">
        <f>VLOOKUP($C362, Egli_UPEC_metadata_provided!$A$2:$M$826, 10, FALSE)</f>
        <v>NA</v>
      </c>
      <c r="L362" t="str">
        <f>VLOOKUP($C362, Egli_UPEC_metadata_provided!$A$2:$M$826, 11, FALSE)</f>
        <v>invasive</v>
      </c>
      <c r="M362">
        <f>VLOOKUP($C362, Egli_UPEC_metadata_provided!$A$2:$M$826, 12, FALSE)</f>
        <v>1</v>
      </c>
      <c r="N362">
        <f>VLOOKUP($C362, Egli_UPEC_metadata_provided!$A$2:$M$826, 13, FALSE)</f>
        <v>0</v>
      </c>
      <c r="O362">
        <f>VLOOKUP($C362, Egli_UPEC_metadata_provided!$A$2:$N$826, 14, FALSE)</f>
        <v>0</v>
      </c>
    </row>
    <row r="363" spans="1:15" x14ac:dyDescent="0.2">
      <c r="A363" t="s">
        <v>112</v>
      </c>
      <c r="B363" t="s">
        <v>3345</v>
      </c>
      <c r="C363" t="s">
        <v>3345</v>
      </c>
      <c r="D363">
        <f>VLOOKUP($C363, Egli_UPEC_metadata_provided!$A$2:$M$826, 3, FALSE)</f>
        <v>2019</v>
      </c>
      <c r="E363" t="str">
        <f>VLOOKUP($C363, Egli_UPEC_metadata_provided!$A$2:$M$826, 4, FALSE)</f>
        <v>B2-2</v>
      </c>
      <c r="F363" t="str">
        <f>VLOOKUP($C363, Egli_UPEC_metadata_provided!$A$2:$M$826, 5, FALSE)</f>
        <v>m</v>
      </c>
      <c r="G363">
        <f>VLOOKUP($C363, Egli_UPEC_metadata_provided!$A$2:$M$826, 6, FALSE)</f>
        <v>0</v>
      </c>
      <c r="H363">
        <f>VLOOKUP($C363, Egli_UPEC_metadata_provided!$A$2:$M$826, 7, FALSE)</f>
        <v>3</v>
      </c>
      <c r="I363">
        <f>VLOOKUP($C363, Egli_UPEC_metadata_provided!$A$2:$M$826, 8, FALSE)</f>
        <v>81.580314422419704</v>
      </c>
      <c r="J363" t="b">
        <f>VLOOKUP($C363, Egli_UPEC_metadata_provided!$A$2:$M$826, 9, FALSE)</f>
        <v>1</v>
      </c>
      <c r="K363">
        <f>VLOOKUP($C363, Egli_UPEC_metadata_provided!$A$2:$M$826, 10, FALSE)</f>
        <v>0</v>
      </c>
      <c r="L363" t="str">
        <f>VLOOKUP($C363, Egli_UPEC_metadata_provided!$A$2:$M$826, 11, FALSE)</f>
        <v>invasive</v>
      </c>
      <c r="M363">
        <f>VLOOKUP($C363, Egli_UPEC_metadata_provided!$A$2:$M$826, 12, FALSE)</f>
        <v>0</v>
      </c>
      <c r="N363">
        <f>VLOOKUP($C363, Egli_UPEC_metadata_provided!$A$2:$M$826, 13, FALSE)</f>
        <v>0</v>
      </c>
      <c r="O363">
        <f>VLOOKUP($C363, Egli_UPEC_metadata_provided!$A$2:$N$826, 14, FALSE)</f>
        <v>0</v>
      </c>
    </row>
    <row r="364" spans="1:15" x14ac:dyDescent="0.2">
      <c r="A364" t="s">
        <v>119</v>
      </c>
      <c r="B364" t="s">
        <v>3352</v>
      </c>
      <c r="C364" t="s">
        <v>3352</v>
      </c>
      <c r="D364">
        <f>VLOOKUP($C364, Egli_UPEC_metadata_provided!$A$2:$M$826, 3, FALSE)</f>
        <v>2019</v>
      </c>
      <c r="E364" t="str">
        <f>VLOOKUP($C364, Egli_UPEC_metadata_provided!$A$2:$M$826, 4, FALSE)</f>
        <v>G</v>
      </c>
      <c r="F364" t="str">
        <f>VLOOKUP($C364, Egli_UPEC_metadata_provided!$A$2:$M$826, 5, FALSE)</f>
        <v>m</v>
      </c>
      <c r="G364">
        <f>VLOOKUP($C364, Egli_UPEC_metadata_provided!$A$2:$M$826, 6, FALSE)</f>
        <v>0</v>
      </c>
      <c r="H364">
        <f>VLOOKUP($C364, Egli_UPEC_metadata_provided!$A$2:$M$826, 7, FALSE)</f>
        <v>6</v>
      </c>
      <c r="I364">
        <f>VLOOKUP($C364, Egli_UPEC_metadata_provided!$A$2:$M$826, 8, FALSE)</f>
        <v>75.753930280246095</v>
      </c>
      <c r="J364" t="b">
        <f>VLOOKUP($C364, Egli_UPEC_metadata_provided!$A$2:$M$826, 9, FALSE)</f>
        <v>0</v>
      </c>
      <c r="K364">
        <f>VLOOKUP($C364, Egli_UPEC_metadata_provided!$A$2:$M$826, 10, FALSE)</f>
        <v>0</v>
      </c>
      <c r="L364" t="str">
        <f>VLOOKUP($C364, Egli_UPEC_metadata_provided!$A$2:$M$826, 11, FALSE)</f>
        <v>invasive</v>
      </c>
      <c r="M364">
        <f>VLOOKUP($C364, Egli_UPEC_metadata_provided!$A$2:$M$826, 12, FALSE)</f>
        <v>0</v>
      </c>
      <c r="N364">
        <f>VLOOKUP($C364, Egli_UPEC_metadata_provided!$A$2:$M$826, 13, FALSE)</f>
        <v>0</v>
      </c>
      <c r="O364">
        <f>VLOOKUP($C364, Egli_UPEC_metadata_provided!$A$2:$N$826, 14, FALSE)</f>
        <v>0</v>
      </c>
    </row>
    <row r="365" spans="1:15" x14ac:dyDescent="0.2">
      <c r="A365" t="s">
        <v>125</v>
      </c>
      <c r="B365" t="s">
        <v>3358</v>
      </c>
      <c r="C365" t="s">
        <v>3358</v>
      </c>
      <c r="D365">
        <f>VLOOKUP($C365, Egli_UPEC_metadata_provided!$A$2:$M$826, 3, FALSE)</f>
        <v>2019</v>
      </c>
      <c r="E365" t="str">
        <f>VLOOKUP($C365, Egli_UPEC_metadata_provided!$A$2:$M$826, 4, FALSE)</f>
        <v>D1</v>
      </c>
      <c r="F365" t="str">
        <f>VLOOKUP($C365, Egli_UPEC_metadata_provided!$A$2:$M$826, 5, FALSE)</f>
        <v>w</v>
      </c>
      <c r="G365">
        <f>VLOOKUP($C365, Egli_UPEC_metadata_provided!$A$2:$M$826, 6, FALSE)</f>
        <v>1</v>
      </c>
      <c r="H365">
        <f>VLOOKUP($C365, Egli_UPEC_metadata_provided!$A$2:$M$826, 7, FALSE)</f>
        <v>2</v>
      </c>
      <c r="I365">
        <f>VLOOKUP($C365, Egli_UPEC_metadata_provided!$A$2:$M$826, 8, FALSE)</f>
        <v>65.222146274777899</v>
      </c>
      <c r="J365" t="b">
        <f>VLOOKUP($C365, Egli_UPEC_metadata_provided!$A$2:$M$826, 9, FALSE)</f>
        <v>1</v>
      </c>
      <c r="K365">
        <f>VLOOKUP($C365, Egli_UPEC_metadata_provided!$A$2:$M$826, 10, FALSE)</f>
        <v>0</v>
      </c>
      <c r="L365" t="str">
        <f>VLOOKUP($C365, Egli_UPEC_metadata_provided!$A$2:$M$826, 11, FALSE)</f>
        <v>invasive</v>
      </c>
      <c r="M365">
        <f>VLOOKUP($C365, Egli_UPEC_metadata_provided!$A$2:$M$826, 12, FALSE)</f>
        <v>1</v>
      </c>
      <c r="N365">
        <f>VLOOKUP($C365, Egli_UPEC_metadata_provided!$A$2:$M$826, 13, FALSE)</f>
        <v>0</v>
      </c>
      <c r="O365">
        <f>VLOOKUP($C365, Egli_UPEC_metadata_provided!$A$2:$N$826, 14, FALSE)</f>
        <v>0</v>
      </c>
    </row>
    <row r="366" spans="1:15" x14ac:dyDescent="0.2">
      <c r="A366" t="s">
        <v>127</v>
      </c>
      <c r="B366" t="s">
        <v>3360</v>
      </c>
      <c r="C366" t="s">
        <v>3360</v>
      </c>
      <c r="D366">
        <f>VLOOKUP($C366, Egli_UPEC_metadata_provided!$A$2:$M$826, 3, FALSE)</f>
        <v>2019</v>
      </c>
      <c r="E366" t="str">
        <f>VLOOKUP($C366, Egli_UPEC_metadata_provided!$A$2:$M$826, 4, FALSE)</f>
        <v>B2-1</v>
      </c>
      <c r="F366" t="str">
        <f>VLOOKUP($C366, Egli_UPEC_metadata_provided!$A$2:$M$826, 5, FALSE)</f>
        <v>m</v>
      </c>
      <c r="G366">
        <f>VLOOKUP($C366, Egli_UPEC_metadata_provided!$A$2:$M$826, 6, FALSE)</f>
        <v>0</v>
      </c>
      <c r="H366">
        <f>VLOOKUP($C366, Egli_UPEC_metadata_provided!$A$2:$M$826, 7, FALSE)</f>
        <v>7</v>
      </c>
      <c r="I366">
        <f>VLOOKUP($C366, Egli_UPEC_metadata_provided!$A$2:$M$826, 8, FALSE)</f>
        <v>93.634996582365005</v>
      </c>
      <c r="J366" t="b">
        <f>VLOOKUP($C366, Egli_UPEC_metadata_provided!$A$2:$M$826, 9, FALSE)</f>
        <v>0</v>
      </c>
      <c r="K366">
        <f>VLOOKUP($C366, Egli_UPEC_metadata_provided!$A$2:$M$826, 10, FALSE)</f>
        <v>1</v>
      </c>
      <c r="L366" t="str">
        <f>VLOOKUP($C366, Egli_UPEC_metadata_provided!$A$2:$M$826, 11, FALSE)</f>
        <v>invasive</v>
      </c>
      <c r="M366">
        <f>VLOOKUP($C366, Egli_UPEC_metadata_provided!$A$2:$M$826, 12, FALSE)</f>
        <v>0</v>
      </c>
      <c r="N366">
        <f>VLOOKUP($C366, Egli_UPEC_metadata_provided!$A$2:$M$826, 13, FALSE)</f>
        <v>0</v>
      </c>
      <c r="O366">
        <f>VLOOKUP($C366, Egli_UPEC_metadata_provided!$A$2:$N$826, 14, FALSE)</f>
        <v>1</v>
      </c>
    </row>
    <row r="367" spans="1:15" x14ac:dyDescent="0.2">
      <c r="A367" t="s">
        <v>130</v>
      </c>
      <c r="B367" t="s">
        <v>3363</v>
      </c>
      <c r="C367" t="s">
        <v>3363</v>
      </c>
      <c r="D367">
        <f>VLOOKUP($C367, Egli_UPEC_metadata_provided!$A$2:$M$826, 3, FALSE)</f>
        <v>2019</v>
      </c>
      <c r="E367" t="str">
        <f>VLOOKUP($C367, Egli_UPEC_metadata_provided!$A$2:$M$826, 4, FALSE)</f>
        <v>F</v>
      </c>
      <c r="F367" t="str">
        <f>VLOOKUP($C367, Egli_UPEC_metadata_provided!$A$2:$M$826, 5, FALSE)</f>
        <v>w</v>
      </c>
      <c r="G367">
        <f>VLOOKUP($C367, Egli_UPEC_metadata_provided!$A$2:$M$826, 6, FALSE)</f>
        <v>0</v>
      </c>
      <c r="H367">
        <f>VLOOKUP($C367, Egli_UPEC_metadata_provided!$A$2:$M$826, 7, FALSE)</f>
        <v>1</v>
      </c>
      <c r="I367">
        <f>VLOOKUP($C367, Egli_UPEC_metadata_provided!$A$2:$M$826, 8, FALSE)</f>
        <v>82.561859193438195</v>
      </c>
      <c r="J367" t="b">
        <f>VLOOKUP($C367, Egli_UPEC_metadata_provided!$A$2:$M$826, 9, FALSE)</f>
        <v>0</v>
      </c>
      <c r="K367">
        <f>VLOOKUP($C367, Egli_UPEC_metadata_provided!$A$2:$M$826, 10, FALSE)</f>
        <v>0</v>
      </c>
      <c r="L367" t="str">
        <f>VLOOKUP($C367, Egli_UPEC_metadata_provided!$A$2:$M$826, 11, FALSE)</f>
        <v>invasive</v>
      </c>
      <c r="M367">
        <f>VLOOKUP($C367, Egli_UPEC_metadata_provided!$A$2:$M$826, 12, FALSE)</f>
        <v>1</v>
      </c>
      <c r="N367">
        <f>VLOOKUP($C367, Egli_UPEC_metadata_provided!$A$2:$M$826, 13, FALSE)</f>
        <v>0</v>
      </c>
      <c r="O367">
        <f>VLOOKUP($C367, Egli_UPEC_metadata_provided!$A$2:$N$826, 14, FALSE)</f>
        <v>0</v>
      </c>
    </row>
    <row r="368" spans="1:15" x14ac:dyDescent="0.2">
      <c r="A368" t="s">
        <v>134</v>
      </c>
      <c r="B368" t="s">
        <v>3367</v>
      </c>
      <c r="C368" t="s">
        <v>3367</v>
      </c>
      <c r="D368">
        <f>VLOOKUP($C368, Egli_UPEC_metadata_provided!$A$2:$M$826, 3, FALSE)</f>
        <v>2019</v>
      </c>
      <c r="E368" t="str">
        <f>VLOOKUP($C368, Egli_UPEC_metadata_provided!$A$2:$M$826, 4, FALSE)</f>
        <v>B2-2</v>
      </c>
      <c r="F368" t="str">
        <f>VLOOKUP($C368, Egli_UPEC_metadata_provided!$A$2:$M$826, 5, FALSE)</f>
        <v>m</v>
      </c>
      <c r="G368">
        <f>VLOOKUP($C368, Egli_UPEC_metadata_provided!$A$2:$M$826, 6, FALSE)</f>
        <v>0</v>
      </c>
      <c r="H368">
        <f>VLOOKUP($C368, Egli_UPEC_metadata_provided!$A$2:$M$826, 7, FALSE)</f>
        <v>0</v>
      </c>
      <c r="I368">
        <f>VLOOKUP($C368, Egli_UPEC_metadata_provided!$A$2:$M$826, 8, FALSE)</f>
        <v>32.9788106630212</v>
      </c>
      <c r="J368" t="b">
        <f>VLOOKUP($C368, Egli_UPEC_metadata_provided!$A$2:$M$826, 9, FALSE)</f>
        <v>1</v>
      </c>
      <c r="K368">
        <f>VLOOKUP($C368, Egli_UPEC_metadata_provided!$A$2:$M$826, 10, FALSE)</f>
        <v>0</v>
      </c>
      <c r="L368" t="str">
        <f>VLOOKUP($C368, Egli_UPEC_metadata_provided!$A$2:$M$826, 11, FALSE)</f>
        <v>invasive</v>
      </c>
      <c r="M368">
        <f>VLOOKUP($C368, Egli_UPEC_metadata_provided!$A$2:$M$826, 12, FALSE)</f>
        <v>1</v>
      </c>
      <c r="N368">
        <f>VLOOKUP($C368, Egli_UPEC_metadata_provided!$A$2:$M$826, 13, FALSE)</f>
        <v>0</v>
      </c>
      <c r="O368">
        <f>VLOOKUP($C368, Egli_UPEC_metadata_provided!$A$2:$N$826, 14, FALSE)</f>
        <v>0</v>
      </c>
    </row>
    <row r="369" spans="1:15" x14ac:dyDescent="0.2">
      <c r="A369" t="s">
        <v>135</v>
      </c>
      <c r="B369" t="s">
        <v>3368</v>
      </c>
      <c r="C369" t="s">
        <v>3368</v>
      </c>
      <c r="D369">
        <f>VLOOKUP($C369, Egli_UPEC_metadata_provided!$A$2:$M$826, 3, FALSE)</f>
        <v>2019</v>
      </c>
      <c r="E369" t="str">
        <f>VLOOKUP($C369, Egli_UPEC_metadata_provided!$A$2:$M$826, 4, FALSE)</f>
        <v>A</v>
      </c>
      <c r="F369" t="str">
        <f>VLOOKUP($C369, Egli_UPEC_metadata_provided!$A$2:$M$826, 5, FALSE)</f>
        <v>m</v>
      </c>
      <c r="G369">
        <f>VLOOKUP($C369, Egli_UPEC_metadata_provided!$A$2:$M$826, 6, FALSE)</f>
        <v>0</v>
      </c>
      <c r="H369">
        <f>VLOOKUP($C369, Egli_UPEC_metadata_provided!$A$2:$M$826, 7, FALSE)</f>
        <v>7</v>
      </c>
      <c r="I369">
        <f>VLOOKUP($C369, Egli_UPEC_metadata_provided!$A$2:$M$826, 8, FALSE)</f>
        <v>92.128503075871507</v>
      </c>
      <c r="J369" t="b">
        <f>VLOOKUP($C369, Egli_UPEC_metadata_provided!$A$2:$M$826, 9, FALSE)</f>
        <v>0</v>
      </c>
      <c r="K369">
        <f>VLOOKUP($C369, Egli_UPEC_metadata_provided!$A$2:$M$826, 10, FALSE)</f>
        <v>0</v>
      </c>
      <c r="L369" t="str">
        <f>VLOOKUP($C369, Egli_UPEC_metadata_provided!$A$2:$M$826, 11, FALSE)</f>
        <v>invasive</v>
      </c>
      <c r="M369">
        <f>VLOOKUP($C369, Egli_UPEC_metadata_provided!$A$2:$M$826, 12, FALSE)</f>
        <v>0</v>
      </c>
      <c r="N369">
        <f>VLOOKUP($C369, Egli_UPEC_metadata_provided!$A$2:$M$826, 13, FALSE)</f>
        <v>1</v>
      </c>
      <c r="O369">
        <f>VLOOKUP($C369, Egli_UPEC_metadata_provided!$A$2:$N$826, 14, FALSE)</f>
        <v>0</v>
      </c>
    </row>
    <row r="370" spans="1:15" x14ac:dyDescent="0.2">
      <c r="A370" t="s">
        <v>140</v>
      </c>
      <c r="B370" t="s">
        <v>3373</v>
      </c>
      <c r="C370" t="s">
        <v>3373</v>
      </c>
      <c r="D370">
        <f>VLOOKUP($C370, Egli_UPEC_metadata_provided!$A$2:$M$826, 3, FALSE)</f>
        <v>2019</v>
      </c>
      <c r="E370" t="str">
        <f>VLOOKUP($C370, Egli_UPEC_metadata_provided!$A$2:$M$826, 4, FALSE)</f>
        <v>B2-2</v>
      </c>
      <c r="F370" t="str">
        <f>VLOOKUP($C370, Egli_UPEC_metadata_provided!$A$2:$M$826, 5, FALSE)</f>
        <v>w</v>
      </c>
      <c r="G370">
        <f>VLOOKUP($C370, Egli_UPEC_metadata_provided!$A$2:$M$826, 6, FALSE)</f>
        <v>0</v>
      </c>
      <c r="H370">
        <f>VLOOKUP($C370, Egli_UPEC_metadata_provided!$A$2:$M$826, 7, FALSE)</f>
        <v>2</v>
      </c>
      <c r="I370">
        <f>VLOOKUP($C370, Egli_UPEC_metadata_provided!$A$2:$M$826, 8, FALSE)</f>
        <v>85.547505126452506</v>
      </c>
      <c r="J370" t="b">
        <f>VLOOKUP($C370, Egli_UPEC_metadata_provided!$A$2:$M$826, 9, FALSE)</f>
        <v>0</v>
      </c>
      <c r="K370">
        <f>VLOOKUP($C370, Egli_UPEC_metadata_provided!$A$2:$M$826, 10, FALSE)</f>
        <v>0</v>
      </c>
      <c r="L370" t="str">
        <f>VLOOKUP($C370, Egli_UPEC_metadata_provided!$A$2:$M$826, 11, FALSE)</f>
        <v>invasive</v>
      </c>
      <c r="M370">
        <f>VLOOKUP($C370, Egli_UPEC_metadata_provided!$A$2:$M$826, 12, FALSE)</f>
        <v>0</v>
      </c>
      <c r="N370">
        <f>VLOOKUP($C370, Egli_UPEC_metadata_provided!$A$2:$M$826, 13, FALSE)</f>
        <v>0</v>
      </c>
      <c r="O370">
        <f>VLOOKUP($C370, Egli_UPEC_metadata_provided!$A$2:$N$826, 14, FALSE)</f>
        <v>0</v>
      </c>
    </row>
    <row r="371" spans="1:15" x14ac:dyDescent="0.2">
      <c r="A371" t="s">
        <v>141</v>
      </c>
      <c r="B371" t="s">
        <v>3374</v>
      </c>
      <c r="C371" t="s">
        <v>3374</v>
      </c>
      <c r="D371">
        <f>VLOOKUP($C371, Egli_UPEC_metadata_provided!$A$2:$M$826, 3, FALSE)</f>
        <v>2019</v>
      </c>
      <c r="E371" t="str">
        <f>VLOOKUP($C371, Egli_UPEC_metadata_provided!$A$2:$M$826, 4, FALSE)</f>
        <v>B1</v>
      </c>
      <c r="F371" t="str">
        <f>VLOOKUP($C371, Egli_UPEC_metadata_provided!$A$2:$M$826, 5, FALSE)</f>
        <v>m</v>
      </c>
      <c r="G371">
        <f>VLOOKUP($C371, Egli_UPEC_metadata_provided!$A$2:$M$826, 6, FALSE)</f>
        <v>1</v>
      </c>
      <c r="H371">
        <f>VLOOKUP($C371, Egli_UPEC_metadata_provided!$A$2:$M$826, 7, FALSE)</f>
        <v>2</v>
      </c>
      <c r="I371">
        <f>VLOOKUP($C371, Egli_UPEC_metadata_provided!$A$2:$M$826, 8, FALSE)</f>
        <v>56.336295283663702</v>
      </c>
      <c r="J371" t="b">
        <f>VLOOKUP($C371, Egli_UPEC_metadata_provided!$A$2:$M$826, 9, FALSE)</f>
        <v>0</v>
      </c>
      <c r="K371">
        <f>VLOOKUP($C371, Egli_UPEC_metadata_provided!$A$2:$M$826, 10, FALSE)</f>
        <v>0</v>
      </c>
      <c r="L371" t="str">
        <f>VLOOKUP($C371, Egli_UPEC_metadata_provided!$A$2:$M$826, 11, FALSE)</f>
        <v>invasive</v>
      </c>
      <c r="M371">
        <f>VLOOKUP($C371, Egli_UPEC_metadata_provided!$A$2:$M$826, 12, FALSE)</f>
        <v>0</v>
      </c>
      <c r="N371">
        <f>VLOOKUP($C371, Egli_UPEC_metadata_provided!$A$2:$M$826, 13, FALSE)</f>
        <v>0</v>
      </c>
      <c r="O371">
        <f>VLOOKUP($C371, Egli_UPEC_metadata_provided!$A$2:$N$826, 14, FALSE)</f>
        <v>0</v>
      </c>
    </row>
    <row r="372" spans="1:15" x14ac:dyDescent="0.2">
      <c r="A372" t="s">
        <v>142</v>
      </c>
      <c r="B372" t="s">
        <v>3375</v>
      </c>
      <c r="C372" t="s">
        <v>3375</v>
      </c>
      <c r="D372">
        <f>VLOOKUP($C372, Egli_UPEC_metadata_provided!$A$2:$M$826, 3, FALSE)</f>
        <v>2019</v>
      </c>
      <c r="E372" t="str">
        <f>VLOOKUP($C372, Egli_UPEC_metadata_provided!$A$2:$M$826, 4, FALSE)</f>
        <v>A</v>
      </c>
      <c r="F372" t="str">
        <f>VLOOKUP($C372, Egli_UPEC_metadata_provided!$A$2:$M$826, 5, FALSE)</f>
        <v>m</v>
      </c>
      <c r="G372">
        <f>VLOOKUP($C372, Egli_UPEC_metadata_provided!$A$2:$M$826, 6, FALSE)</f>
        <v>0</v>
      </c>
      <c r="H372">
        <f>VLOOKUP($C372, Egli_UPEC_metadata_provided!$A$2:$M$826, 7, FALSE)</f>
        <v>3</v>
      </c>
      <c r="I372">
        <f>VLOOKUP($C372, Egli_UPEC_metadata_provided!$A$2:$M$826, 8, FALSE)</f>
        <v>48.112098427887901</v>
      </c>
      <c r="J372" t="b">
        <f>VLOOKUP($C372, Egli_UPEC_metadata_provided!$A$2:$M$826, 9, FALSE)</f>
        <v>0</v>
      </c>
      <c r="K372">
        <f>VLOOKUP($C372, Egli_UPEC_metadata_provided!$A$2:$M$826, 10, FALSE)</f>
        <v>0</v>
      </c>
      <c r="L372" t="str">
        <f>VLOOKUP($C372, Egli_UPEC_metadata_provided!$A$2:$M$826, 11, FALSE)</f>
        <v>invasive</v>
      </c>
      <c r="M372">
        <f>VLOOKUP($C372, Egli_UPEC_metadata_provided!$A$2:$M$826, 12, FALSE)</f>
        <v>1</v>
      </c>
      <c r="N372">
        <f>VLOOKUP($C372, Egli_UPEC_metadata_provided!$A$2:$M$826, 13, FALSE)</f>
        <v>0</v>
      </c>
      <c r="O372">
        <f>VLOOKUP($C372, Egli_UPEC_metadata_provided!$A$2:$N$826, 14, FALSE)</f>
        <v>0</v>
      </c>
    </row>
    <row r="373" spans="1:15" x14ac:dyDescent="0.2">
      <c r="A373" t="s">
        <v>1091</v>
      </c>
      <c r="B373" t="s">
        <v>3377</v>
      </c>
      <c r="C373" t="s">
        <v>3377</v>
      </c>
      <c r="D373">
        <f>VLOOKUP($C373, Egli_UPEC_metadata_provided!$A$2:$M$826, 3, FALSE)</f>
        <v>2019</v>
      </c>
      <c r="E373" t="str">
        <f>VLOOKUP($C373, Egli_UPEC_metadata_provided!$A$2:$M$826, 4, FALSE)</f>
        <v>D1</v>
      </c>
      <c r="F373" t="str">
        <f>VLOOKUP($C373, Egli_UPEC_metadata_provided!$A$2:$M$826, 5, FALSE)</f>
        <v>m</v>
      </c>
      <c r="G373">
        <f>VLOOKUP($C373, Egli_UPEC_metadata_provided!$A$2:$M$826, 6, FALSE)</f>
        <v>0</v>
      </c>
      <c r="H373">
        <f>VLOOKUP($C373, Egli_UPEC_metadata_provided!$A$2:$M$826, 7, FALSE)</f>
        <v>0</v>
      </c>
      <c r="I373">
        <f>VLOOKUP($C373, Egli_UPEC_metadata_provided!$A$2:$M$826, 8, FALSE)</f>
        <v>90.649350649350694</v>
      </c>
      <c r="J373" t="b">
        <f>VLOOKUP($C373, Egli_UPEC_metadata_provided!$A$2:$M$826, 9, FALSE)</f>
        <v>0</v>
      </c>
      <c r="K373">
        <f>VLOOKUP($C373, Egli_UPEC_metadata_provided!$A$2:$M$826, 10, FALSE)</f>
        <v>0</v>
      </c>
      <c r="L373" t="str">
        <f>VLOOKUP($C373, Egli_UPEC_metadata_provided!$A$2:$M$826, 11, FALSE)</f>
        <v>invasive</v>
      </c>
      <c r="M373">
        <f>VLOOKUP($C373, Egli_UPEC_metadata_provided!$A$2:$M$826, 12, FALSE)</f>
        <v>0</v>
      </c>
      <c r="N373">
        <f>VLOOKUP($C373, Egli_UPEC_metadata_provided!$A$2:$M$826, 13, FALSE)</f>
        <v>0</v>
      </c>
      <c r="O373">
        <f>VLOOKUP($C373, Egli_UPEC_metadata_provided!$A$2:$N$826, 14, FALSE)</f>
        <v>0</v>
      </c>
    </row>
    <row r="374" spans="1:15" x14ac:dyDescent="0.2">
      <c r="A374" t="s">
        <v>144</v>
      </c>
      <c r="B374" t="s">
        <v>3378</v>
      </c>
      <c r="C374" t="s">
        <v>3378</v>
      </c>
      <c r="D374">
        <f>VLOOKUP($C374, Egli_UPEC_metadata_provided!$A$2:$M$826, 3, FALSE)</f>
        <v>2019</v>
      </c>
      <c r="E374" t="str">
        <f>VLOOKUP($C374, Egli_UPEC_metadata_provided!$A$2:$M$826, 4, FALSE)</f>
        <v>B2-2</v>
      </c>
      <c r="F374" t="str">
        <f>VLOOKUP($C374, Egli_UPEC_metadata_provided!$A$2:$M$826, 5, FALSE)</f>
        <v>m</v>
      </c>
      <c r="G374">
        <f>VLOOKUP($C374, Egli_UPEC_metadata_provided!$A$2:$M$826, 6, FALSE)</f>
        <v>0</v>
      </c>
      <c r="H374">
        <f>VLOOKUP($C374, Egli_UPEC_metadata_provided!$A$2:$M$826, 7, FALSE)</f>
        <v>3</v>
      </c>
      <c r="I374">
        <f>VLOOKUP($C374, Egli_UPEC_metadata_provided!$A$2:$M$826, 8, FALSE)</f>
        <v>75.762132604237905</v>
      </c>
      <c r="J374" t="b">
        <f>VLOOKUP($C374, Egli_UPEC_metadata_provided!$A$2:$M$826, 9, FALSE)</f>
        <v>0</v>
      </c>
      <c r="K374">
        <f>VLOOKUP($C374, Egli_UPEC_metadata_provided!$A$2:$M$826, 10, FALSE)</f>
        <v>0</v>
      </c>
      <c r="L374" t="str">
        <f>VLOOKUP($C374, Egli_UPEC_metadata_provided!$A$2:$M$826, 11, FALSE)</f>
        <v>invasive</v>
      </c>
      <c r="M374">
        <f>VLOOKUP($C374, Egli_UPEC_metadata_provided!$A$2:$M$826, 12, FALSE)</f>
        <v>0</v>
      </c>
      <c r="N374">
        <f>VLOOKUP($C374, Egli_UPEC_metadata_provided!$A$2:$M$826, 13, FALSE)</f>
        <v>0</v>
      </c>
      <c r="O374">
        <f>VLOOKUP($C374, Egli_UPEC_metadata_provided!$A$2:$N$826, 14, FALSE)</f>
        <v>1</v>
      </c>
    </row>
    <row r="375" spans="1:15" x14ac:dyDescent="0.2">
      <c r="A375" t="s">
        <v>145</v>
      </c>
      <c r="B375" t="s">
        <v>3379</v>
      </c>
      <c r="C375" t="s">
        <v>3379</v>
      </c>
      <c r="D375">
        <f>VLOOKUP($C375, Egli_UPEC_metadata_provided!$A$2:$M$826, 3, FALSE)</f>
        <v>2019</v>
      </c>
      <c r="E375" t="str">
        <f>VLOOKUP($C375, Egli_UPEC_metadata_provided!$A$2:$M$826, 4, FALSE)</f>
        <v>A</v>
      </c>
      <c r="F375" t="str">
        <f>VLOOKUP($C375, Egli_UPEC_metadata_provided!$A$2:$M$826, 5, FALSE)</f>
        <v>m</v>
      </c>
      <c r="G375">
        <f>VLOOKUP($C375, Egli_UPEC_metadata_provided!$A$2:$M$826, 6, FALSE)</f>
        <v>0</v>
      </c>
      <c r="H375">
        <f>VLOOKUP($C375, Egli_UPEC_metadata_provided!$A$2:$M$826, 7, FALSE)</f>
        <v>1</v>
      </c>
      <c r="I375">
        <f>VLOOKUP($C375, Egli_UPEC_metadata_provided!$A$2:$M$826, 8, FALSE)</f>
        <v>72.8803827751196</v>
      </c>
      <c r="J375" t="b">
        <f>VLOOKUP($C375, Egli_UPEC_metadata_provided!$A$2:$M$826, 9, FALSE)</f>
        <v>0</v>
      </c>
      <c r="K375">
        <f>VLOOKUP($C375, Egli_UPEC_metadata_provided!$A$2:$M$826, 10, FALSE)</f>
        <v>0</v>
      </c>
      <c r="L375" t="str">
        <f>VLOOKUP($C375, Egli_UPEC_metadata_provided!$A$2:$M$826, 11, FALSE)</f>
        <v>invasive</v>
      </c>
      <c r="M375">
        <f>VLOOKUP($C375, Egli_UPEC_metadata_provided!$A$2:$M$826, 12, FALSE)</f>
        <v>0</v>
      </c>
      <c r="N375">
        <f>VLOOKUP($C375, Egli_UPEC_metadata_provided!$A$2:$M$826, 13, FALSE)</f>
        <v>0</v>
      </c>
      <c r="O375">
        <f>VLOOKUP($C375, Egli_UPEC_metadata_provided!$A$2:$N$826, 14, FALSE)</f>
        <v>0</v>
      </c>
    </row>
    <row r="376" spans="1:15" x14ac:dyDescent="0.2">
      <c r="A376" t="s">
        <v>151</v>
      </c>
      <c r="B376" t="s">
        <v>3385</v>
      </c>
      <c r="C376" t="s">
        <v>3385</v>
      </c>
      <c r="D376">
        <f>VLOOKUP($C376, Egli_UPEC_metadata_provided!$A$2:$M$826, 3, FALSE)</f>
        <v>2019</v>
      </c>
      <c r="E376" t="str">
        <f>VLOOKUP($C376, Egli_UPEC_metadata_provided!$A$2:$M$826, 4, FALSE)</f>
        <v>B2-2</v>
      </c>
      <c r="F376" t="str">
        <f>VLOOKUP($C376, Egli_UPEC_metadata_provided!$A$2:$M$826, 5, FALSE)</f>
        <v>w</v>
      </c>
      <c r="G376">
        <f>VLOOKUP($C376, Egli_UPEC_metadata_provided!$A$2:$M$826, 6, FALSE)</f>
        <v>0</v>
      </c>
      <c r="H376">
        <f>VLOOKUP($C376, Egli_UPEC_metadata_provided!$A$2:$M$826, 7, FALSE)</f>
        <v>0</v>
      </c>
      <c r="I376">
        <f>VLOOKUP($C376, Egli_UPEC_metadata_provided!$A$2:$M$826, 8, FALSE)</f>
        <v>34.351332877648701</v>
      </c>
      <c r="J376" t="b">
        <f>VLOOKUP($C376, Egli_UPEC_metadata_provided!$A$2:$M$826, 9, FALSE)</f>
        <v>1</v>
      </c>
      <c r="K376">
        <f>VLOOKUP($C376, Egli_UPEC_metadata_provided!$A$2:$M$826, 10, FALSE)</f>
        <v>0</v>
      </c>
      <c r="L376" t="str">
        <f>VLOOKUP($C376, Egli_UPEC_metadata_provided!$A$2:$M$826, 11, FALSE)</f>
        <v>invasive</v>
      </c>
      <c r="M376">
        <f>VLOOKUP($C376, Egli_UPEC_metadata_provided!$A$2:$M$826, 12, FALSE)</f>
        <v>0</v>
      </c>
      <c r="N376">
        <f>VLOOKUP($C376, Egli_UPEC_metadata_provided!$A$2:$M$826, 13, FALSE)</f>
        <v>0</v>
      </c>
      <c r="O376">
        <f>VLOOKUP($C376, Egli_UPEC_metadata_provided!$A$2:$N$826, 14, FALSE)</f>
        <v>0</v>
      </c>
    </row>
    <row r="377" spans="1:15" x14ac:dyDescent="0.2">
      <c r="A377" t="s">
        <v>154</v>
      </c>
      <c r="B377" t="s">
        <v>3388</v>
      </c>
      <c r="C377" t="s">
        <v>3388</v>
      </c>
      <c r="D377">
        <f>VLOOKUP($C377, Egli_UPEC_metadata_provided!$A$2:$M$826, 3, FALSE)</f>
        <v>2019</v>
      </c>
      <c r="E377" t="str">
        <f>VLOOKUP($C377, Egli_UPEC_metadata_provided!$A$2:$M$826, 4, FALSE)</f>
        <v>B2-2</v>
      </c>
      <c r="F377" t="str">
        <f>VLOOKUP($C377, Egli_UPEC_metadata_provided!$A$2:$M$826, 5, FALSE)</f>
        <v>m</v>
      </c>
      <c r="G377">
        <f>VLOOKUP($C377, Egli_UPEC_metadata_provided!$A$2:$M$826, 6, FALSE)</f>
        <v>0</v>
      </c>
      <c r="H377">
        <f>VLOOKUP($C377, Egli_UPEC_metadata_provided!$A$2:$M$826, 7, FALSE)</f>
        <v>0</v>
      </c>
      <c r="I377">
        <f>VLOOKUP($C377, Egli_UPEC_metadata_provided!$A$2:$M$826, 8, FALSE)</f>
        <v>69.438140806561904</v>
      </c>
      <c r="J377" t="b">
        <f>VLOOKUP($C377, Egli_UPEC_metadata_provided!$A$2:$M$826, 9, FALSE)</f>
        <v>0</v>
      </c>
      <c r="K377" t="str">
        <f>VLOOKUP($C377, Egli_UPEC_metadata_provided!$A$2:$M$826, 10, FALSE)</f>
        <v>NA</v>
      </c>
      <c r="L377" t="str">
        <f>VLOOKUP($C377, Egli_UPEC_metadata_provided!$A$2:$M$826, 11, FALSE)</f>
        <v>invasive</v>
      </c>
      <c r="M377">
        <f>VLOOKUP($C377, Egli_UPEC_metadata_provided!$A$2:$M$826, 12, FALSE)</f>
        <v>1</v>
      </c>
      <c r="N377">
        <f>VLOOKUP($C377, Egli_UPEC_metadata_provided!$A$2:$M$826, 13, FALSE)</f>
        <v>0</v>
      </c>
      <c r="O377">
        <f>VLOOKUP($C377, Egli_UPEC_metadata_provided!$A$2:$N$826, 14, FALSE)</f>
        <v>0</v>
      </c>
    </row>
    <row r="378" spans="1:15" x14ac:dyDescent="0.2">
      <c r="A378" t="s">
        <v>160</v>
      </c>
      <c r="B378" t="s">
        <v>3394</v>
      </c>
      <c r="C378" t="s">
        <v>3394</v>
      </c>
      <c r="D378">
        <f>VLOOKUP($C378, Egli_UPEC_metadata_provided!$A$2:$M$826, 3, FALSE)</f>
        <v>2019</v>
      </c>
      <c r="E378" t="str">
        <f>VLOOKUP($C378, Egli_UPEC_metadata_provided!$A$2:$M$826, 4, FALSE)</f>
        <v>B2-2</v>
      </c>
      <c r="F378" t="str">
        <f>VLOOKUP($C378, Egli_UPEC_metadata_provided!$A$2:$M$826, 5, FALSE)</f>
        <v>w</v>
      </c>
      <c r="G378">
        <f>VLOOKUP($C378, Egli_UPEC_metadata_provided!$A$2:$M$826, 6, FALSE)</f>
        <v>1</v>
      </c>
      <c r="H378">
        <f>VLOOKUP($C378, Egli_UPEC_metadata_provided!$A$2:$M$826, 7, FALSE)</f>
        <v>3</v>
      </c>
      <c r="I378">
        <f>VLOOKUP($C378, Egli_UPEC_metadata_provided!$A$2:$M$826, 8, FALSE)</f>
        <v>83.548872180451099</v>
      </c>
      <c r="J378" t="b">
        <f>VLOOKUP($C378, Egli_UPEC_metadata_provided!$A$2:$M$826, 9, FALSE)</f>
        <v>0</v>
      </c>
      <c r="K378">
        <f>VLOOKUP($C378, Egli_UPEC_metadata_provided!$A$2:$M$826, 10, FALSE)</f>
        <v>0</v>
      </c>
      <c r="L378" t="str">
        <f>VLOOKUP($C378, Egli_UPEC_metadata_provided!$A$2:$M$826, 11, FALSE)</f>
        <v>invasive</v>
      </c>
      <c r="M378">
        <f>VLOOKUP($C378, Egli_UPEC_metadata_provided!$A$2:$M$826, 12, FALSE)</f>
        <v>0</v>
      </c>
      <c r="N378">
        <f>VLOOKUP($C378, Egli_UPEC_metadata_provided!$A$2:$M$826, 13, FALSE)</f>
        <v>1</v>
      </c>
      <c r="O378">
        <f>VLOOKUP($C378, Egli_UPEC_metadata_provided!$A$2:$N$826, 14, FALSE)</f>
        <v>0</v>
      </c>
    </row>
    <row r="379" spans="1:15" x14ac:dyDescent="0.2">
      <c r="A379" t="s">
        <v>161</v>
      </c>
      <c r="B379" t="s">
        <v>3395</v>
      </c>
      <c r="C379" t="s">
        <v>3395</v>
      </c>
      <c r="D379">
        <f>VLOOKUP($C379, Egli_UPEC_metadata_provided!$A$2:$M$826, 3, FALSE)</f>
        <v>2019</v>
      </c>
      <c r="E379" t="str">
        <f>VLOOKUP($C379, Egli_UPEC_metadata_provided!$A$2:$M$826, 4, FALSE)</f>
        <v>B2-2</v>
      </c>
      <c r="F379" t="str">
        <f>VLOOKUP($C379, Egli_UPEC_metadata_provided!$A$2:$M$826, 5, FALSE)</f>
        <v>w</v>
      </c>
      <c r="G379">
        <f>VLOOKUP($C379, Egli_UPEC_metadata_provided!$A$2:$M$826, 6, FALSE)</f>
        <v>0</v>
      </c>
      <c r="H379">
        <f>VLOOKUP($C379, Egli_UPEC_metadata_provided!$A$2:$M$826, 7, FALSE)</f>
        <v>1</v>
      </c>
      <c r="I379">
        <f>VLOOKUP($C379, Egli_UPEC_metadata_provided!$A$2:$M$826, 8, FALSE)</f>
        <v>88.658920027341097</v>
      </c>
      <c r="J379" t="b">
        <f>VLOOKUP($C379, Egli_UPEC_metadata_provided!$A$2:$M$826, 9, FALSE)</f>
        <v>1</v>
      </c>
      <c r="K379" t="str">
        <f>VLOOKUP($C379, Egli_UPEC_metadata_provided!$A$2:$M$826, 10, FALSE)</f>
        <v>NA</v>
      </c>
      <c r="L379" t="str">
        <f>VLOOKUP($C379, Egli_UPEC_metadata_provided!$A$2:$M$826, 11, FALSE)</f>
        <v>invasive</v>
      </c>
      <c r="M379">
        <f>VLOOKUP($C379, Egli_UPEC_metadata_provided!$A$2:$M$826, 12, FALSE)</f>
        <v>0</v>
      </c>
      <c r="N379">
        <f>VLOOKUP($C379, Egli_UPEC_metadata_provided!$A$2:$M$826, 13, FALSE)</f>
        <v>0</v>
      </c>
      <c r="O379">
        <f>VLOOKUP($C379, Egli_UPEC_metadata_provided!$A$2:$N$826, 14, FALSE)</f>
        <v>0</v>
      </c>
    </row>
    <row r="380" spans="1:15" x14ac:dyDescent="0.2">
      <c r="A380" t="s">
        <v>166</v>
      </c>
      <c r="B380" t="s">
        <v>3400</v>
      </c>
      <c r="C380" t="s">
        <v>3400</v>
      </c>
      <c r="D380">
        <f>VLOOKUP($C380, Egli_UPEC_metadata_provided!$A$2:$M$826, 3, FALSE)</f>
        <v>2019</v>
      </c>
      <c r="E380" t="str">
        <f>VLOOKUP($C380, Egli_UPEC_metadata_provided!$A$2:$M$826, 4, FALSE)</f>
        <v>B2-2</v>
      </c>
      <c r="F380" t="str">
        <f>VLOOKUP($C380, Egli_UPEC_metadata_provided!$A$2:$M$826, 5, FALSE)</f>
        <v>m</v>
      </c>
      <c r="G380">
        <f>VLOOKUP($C380, Egli_UPEC_metadata_provided!$A$2:$M$826, 6, FALSE)</f>
        <v>0</v>
      </c>
      <c r="H380">
        <f>VLOOKUP($C380, Egli_UPEC_metadata_provided!$A$2:$M$826, 7, FALSE)</f>
        <v>2</v>
      </c>
      <c r="I380">
        <f>VLOOKUP($C380, Egli_UPEC_metadata_provided!$A$2:$M$826, 8, FALSE)</f>
        <v>89.719753930280206</v>
      </c>
      <c r="J380" t="b">
        <f>VLOOKUP($C380, Egli_UPEC_metadata_provided!$A$2:$M$826, 9, FALSE)</f>
        <v>0</v>
      </c>
      <c r="K380">
        <f>VLOOKUP($C380, Egli_UPEC_metadata_provided!$A$2:$M$826, 10, FALSE)</f>
        <v>0</v>
      </c>
      <c r="L380" t="str">
        <f>VLOOKUP($C380, Egli_UPEC_metadata_provided!$A$2:$M$826, 11, FALSE)</f>
        <v>invasive</v>
      </c>
      <c r="M380">
        <f>VLOOKUP($C380, Egli_UPEC_metadata_provided!$A$2:$M$826, 12, FALSE)</f>
        <v>0</v>
      </c>
      <c r="N380">
        <f>VLOOKUP($C380, Egli_UPEC_metadata_provided!$A$2:$M$826, 13, FALSE)</f>
        <v>0</v>
      </c>
      <c r="O380">
        <f>VLOOKUP($C380, Egli_UPEC_metadata_provided!$A$2:$N$826, 14, FALSE)</f>
        <v>0</v>
      </c>
    </row>
    <row r="381" spans="1:15" x14ac:dyDescent="0.2">
      <c r="A381" t="s">
        <v>171</v>
      </c>
      <c r="B381" t="s">
        <v>3405</v>
      </c>
      <c r="C381" t="s">
        <v>3405</v>
      </c>
      <c r="D381">
        <f>VLOOKUP($C381, Egli_UPEC_metadata_provided!$A$2:$M$826, 3, FALSE)</f>
        <v>2019</v>
      </c>
      <c r="E381" t="str">
        <f>VLOOKUP($C381, Egli_UPEC_metadata_provided!$A$2:$M$826, 4, FALSE)</f>
        <v>B2-2</v>
      </c>
      <c r="F381" t="str">
        <f>VLOOKUP($C381, Egli_UPEC_metadata_provided!$A$2:$M$826, 5, FALSE)</f>
        <v>m</v>
      </c>
      <c r="G381">
        <f>VLOOKUP($C381, Egli_UPEC_metadata_provided!$A$2:$M$826, 6, FALSE)</f>
        <v>0</v>
      </c>
      <c r="H381">
        <f>VLOOKUP($C381, Egli_UPEC_metadata_provided!$A$2:$M$826, 7, FALSE)</f>
        <v>2</v>
      </c>
      <c r="I381">
        <f>VLOOKUP($C381, Egli_UPEC_metadata_provided!$A$2:$M$826, 8, FALSE)</f>
        <v>37.093643198906399</v>
      </c>
      <c r="J381" t="b">
        <f>VLOOKUP($C381, Egli_UPEC_metadata_provided!$A$2:$M$826, 9, FALSE)</f>
        <v>0</v>
      </c>
      <c r="K381">
        <f>VLOOKUP($C381, Egli_UPEC_metadata_provided!$A$2:$M$826, 10, FALSE)</f>
        <v>1</v>
      </c>
      <c r="L381" t="str">
        <f>VLOOKUP($C381, Egli_UPEC_metadata_provided!$A$2:$M$826, 11, FALSE)</f>
        <v>invasive</v>
      </c>
      <c r="M381">
        <f>VLOOKUP($C381, Egli_UPEC_metadata_provided!$A$2:$M$826, 12, FALSE)</f>
        <v>1</v>
      </c>
      <c r="N381">
        <f>VLOOKUP($C381, Egli_UPEC_metadata_provided!$A$2:$M$826, 13, FALSE)</f>
        <v>0</v>
      </c>
      <c r="O381">
        <f>VLOOKUP($C381, Egli_UPEC_metadata_provided!$A$2:$N$826, 14, FALSE)</f>
        <v>0</v>
      </c>
    </row>
    <row r="382" spans="1:15" x14ac:dyDescent="0.2">
      <c r="A382" t="s">
        <v>180</v>
      </c>
      <c r="B382" t="s">
        <v>3414</v>
      </c>
      <c r="C382" t="s">
        <v>3414</v>
      </c>
      <c r="D382">
        <f>VLOOKUP($C382, Egli_UPEC_metadata_provided!$A$2:$M$826, 3, FALSE)</f>
        <v>2019</v>
      </c>
      <c r="E382" t="str">
        <f>VLOOKUP($C382, Egli_UPEC_metadata_provided!$A$2:$M$826, 4, FALSE)</f>
        <v>D1</v>
      </c>
      <c r="F382" t="str">
        <f>VLOOKUP($C382, Egli_UPEC_metadata_provided!$A$2:$M$826, 5, FALSE)</f>
        <v>w</v>
      </c>
      <c r="G382">
        <f>VLOOKUP($C382, Egli_UPEC_metadata_provided!$A$2:$M$826, 6, FALSE)</f>
        <v>0</v>
      </c>
      <c r="H382">
        <f>VLOOKUP($C382, Egli_UPEC_metadata_provided!$A$2:$M$826, 7, FALSE)</f>
        <v>2</v>
      </c>
      <c r="I382">
        <f>VLOOKUP($C382, Egli_UPEC_metadata_provided!$A$2:$M$826, 8, FALSE)</f>
        <v>69.151059466848906</v>
      </c>
      <c r="J382" t="b">
        <f>VLOOKUP($C382, Egli_UPEC_metadata_provided!$A$2:$M$826, 9, FALSE)</f>
        <v>0</v>
      </c>
      <c r="K382" t="str">
        <f>VLOOKUP($C382, Egli_UPEC_metadata_provided!$A$2:$M$826, 10, FALSE)</f>
        <v>NA</v>
      </c>
      <c r="L382" t="str">
        <f>VLOOKUP($C382, Egli_UPEC_metadata_provided!$A$2:$M$826, 11, FALSE)</f>
        <v>invasive</v>
      </c>
      <c r="M382">
        <f>VLOOKUP($C382, Egli_UPEC_metadata_provided!$A$2:$M$826, 12, FALSE)</f>
        <v>0</v>
      </c>
      <c r="N382">
        <f>VLOOKUP($C382, Egli_UPEC_metadata_provided!$A$2:$M$826, 13, FALSE)</f>
        <v>0</v>
      </c>
      <c r="O382">
        <f>VLOOKUP($C382, Egli_UPEC_metadata_provided!$A$2:$N$826, 14, FALSE)</f>
        <v>0</v>
      </c>
    </row>
    <row r="383" spans="1:15" x14ac:dyDescent="0.2">
      <c r="A383" t="s">
        <v>182</v>
      </c>
      <c r="B383" t="s">
        <v>3416</v>
      </c>
      <c r="C383" t="s">
        <v>3416</v>
      </c>
      <c r="D383">
        <f>VLOOKUP($C383, Egli_UPEC_metadata_provided!$A$2:$M$826, 3, FALSE)</f>
        <v>2019</v>
      </c>
      <c r="E383" t="str">
        <f>VLOOKUP($C383, Egli_UPEC_metadata_provided!$A$2:$M$826, 4, FALSE)</f>
        <v>B2-2</v>
      </c>
      <c r="F383" t="str">
        <f>VLOOKUP($C383, Egli_UPEC_metadata_provided!$A$2:$M$826, 5, FALSE)</f>
        <v>w</v>
      </c>
      <c r="G383">
        <f>VLOOKUP($C383, Egli_UPEC_metadata_provided!$A$2:$M$826, 6, FALSE)</f>
        <v>0</v>
      </c>
      <c r="H383">
        <f>VLOOKUP($C383, Egli_UPEC_metadata_provided!$A$2:$M$826, 7, FALSE)</f>
        <v>3</v>
      </c>
      <c r="I383">
        <f>VLOOKUP($C383, Egli_UPEC_metadata_provided!$A$2:$M$826, 8, FALSE)</f>
        <v>80.743677375256297</v>
      </c>
      <c r="J383" t="b">
        <f>VLOOKUP($C383, Egli_UPEC_metadata_provided!$A$2:$M$826, 9, FALSE)</f>
        <v>0</v>
      </c>
      <c r="K383">
        <f>VLOOKUP($C383, Egli_UPEC_metadata_provided!$A$2:$M$826, 10, FALSE)</f>
        <v>0</v>
      </c>
      <c r="L383" t="str">
        <f>VLOOKUP($C383, Egli_UPEC_metadata_provided!$A$2:$M$826, 11, FALSE)</f>
        <v>invasive</v>
      </c>
      <c r="M383">
        <f>VLOOKUP($C383, Egli_UPEC_metadata_provided!$A$2:$M$826, 12, FALSE)</f>
        <v>0</v>
      </c>
      <c r="N383" t="str">
        <f>VLOOKUP($C383, Egli_UPEC_metadata_provided!$A$2:$M$826, 13, FALSE)</f>
        <v>NA</v>
      </c>
      <c r="O383">
        <f>VLOOKUP($C383, Egli_UPEC_metadata_provided!$A$2:$N$826, 14, FALSE)</f>
        <v>1</v>
      </c>
    </row>
    <row r="384" spans="1:15" x14ac:dyDescent="0.2">
      <c r="A384" t="s">
        <v>184</v>
      </c>
      <c r="B384" t="s">
        <v>3418</v>
      </c>
      <c r="C384" t="s">
        <v>3418</v>
      </c>
      <c r="D384">
        <f>VLOOKUP($C384, Egli_UPEC_metadata_provided!$A$2:$M$826, 3, FALSE)</f>
        <v>2019</v>
      </c>
      <c r="E384" t="str">
        <f>VLOOKUP($C384, Egli_UPEC_metadata_provided!$A$2:$M$826, 4, FALSE)</f>
        <v>C</v>
      </c>
      <c r="F384" t="str">
        <f>VLOOKUP($C384, Egli_UPEC_metadata_provided!$A$2:$M$826, 5, FALSE)</f>
        <v>m</v>
      </c>
      <c r="G384">
        <f>VLOOKUP($C384, Egli_UPEC_metadata_provided!$A$2:$M$826, 6, FALSE)</f>
        <v>0</v>
      </c>
      <c r="H384">
        <f>VLOOKUP($C384, Egli_UPEC_metadata_provided!$A$2:$M$826, 7, FALSE)</f>
        <v>4</v>
      </c>
      <c r="I384">
        <f>VLOOKUP($C384, Egli_UPEC_metadata_provided!$A$2:$M$826, 8, FALSE)</f>
        <v>75.182501708817497</v>
      </c>
      <c r="J384" t="b">
        <f>VLOOKUP($C384, Egli_UPEC_metadata_provided!$A$2:$M$826, 9, FALSE)</f>
        <v>0</v>
      </c>
      <c r="K384" t="str">
        <f>VLOOKUP($C384, Egli_UPEC_metadata_provided!$A$2:$M$826, 10, FALSE)</f>
        <v>NA</v>
      </c>
      <c r="L384" t="str">
        <f>VLOOKUP($C384, Egli_UPEC_metadata_provided!$A$2:$M$826, 11, FALSE)</f>
        <v>invasive</v>
      </c>
      <c r="M384">
        <f>VLOOKUP($C384, Egli_UPEC_metadata_provided!$A$2:$M$826, 12, FALSE)</f>
        <v>1</v>
      </c>
      <c r="N384">
        <f>VLOOKUP($C384, Egli_UPEC_metadata_provided!$A$2:$M$826, 13, FALSE)</f>
        <v>0</v>
      </c>
      <c r="O384">
        <f>VLOOKUP($C384, Egli_UPEC_metadata_provided!$A$2:$N$826, 14, FALSE)</f>
        <v>1</v>
      </c>
    </row>
    <row r="385" spans="1:15" x14ac:dyDescent="0.2">
      <c r="A385" t="s">
        <v>191</v>
      </c>
      <c r="B385" t="s">
        <v>3425</v>
      </c>
      <c r="C385" t="s">
        <v>3425</v>
      </c>
      <c r="D385">
        <f>VLOOKUP($C385, Egli_UPEC_metadata_provided!$A$2:$M$826, 3, FALSE)</f>
        <v>2019</v>
      </c>
      <c r="E385" t="str">
        <f>VLOOKUP($C385, Egli_UPEC_metadata_provided!$A$2:$M$826, 4, FALSE)</f>
        <v>D1</v>
      </c>
      <c r="F385" t="str">
        <f>VLOOKUP($C385, Egli_UPEC_metadata_provided!$A$2:$M$826, 5, FALSE)</f>
        <v>m</v>
      </c>
      <c r="G385">
        <f>VLOOKUP($C385, Egli_UPEC_metadata_provided!$A$2:$M$826, 6, FALSE)</f>
        <v>0</v>
      </c>
      <c r="H385">
        <f>VLOOKUP($C385, Egli_UPEC_metadata_provided!$A$2:$M$826, 7, FALSE)</f>
        <v>2</v>
      </c>
      <c r="I385">
        <f>VLOOKUP($C385, Egli_UPEC_metadata_provided!$A$2:$M$826, 8, FALSE)</f>
        <v>53.766233766233803</v>
      </c>
      <c r="J385" t="b">
        <f>VLOOKUP($C385, Egli_UPEC_metadata_provided!$A$2:$M$826, 9, FALSE)</f>
        <v>1</v>
      </c>
      <c r="K385">
        <f>VLOOKUP($C385, Egli_UPEC_metadata_provided!$A$2:$M$826, 10, FALSE)</f>
        <v>0</v>
      </c>
      <c r="L385" t="str">
        <f>VLOOKUP($C385, Egli_UPEC_metadata_provided!$A$2:$M$826, 11, FALSE)</f>
        <v>invasive</v>
      </c>
      <c r="M385">
        <f>VLOOKUP($C385, Egli_UPEC_metadata_provided!$A$2:$M$826, 12, FALSE)</f>
        <v>0</v>
      </c>
      <c r="N385">
        <f>VLOOKUP($C385, Egli_UPEC_metadata_provided!$A$2:$M$826, 13, FALSE)</f>
        <v>0</v>
      </c>
      <c r="O385">
        <f>VLOOKUP($C385, Egli_UPEC_metadata_provided!$A$2:$N$826, 14, FALSE)</f>
        <v>0</v>
      </c>
    </row>
    <row r="386" spans="1:15" x14ac:dyDescent="0.2">
      <c r="A386" t="s">
        <v>192</v>
      </c>
      <c r="B386" t="s">
        <v>3426</v>
      </c>
      <c r="C386" t="s">
        <v>3426</v>
      </c>
      <c r="D386">
        <f>VLOOKUP($C386, Egli_UPEC_metadata_provided!$A$2:$M$826, 3, FALSE)</f>
        <v>2019</v>
      </c>
      <c r="E386" t="str">
        <f>VLOOKUP($C386, Egli_UPEC_metadata_provided!$A$2:$M$826, 4, FALSE)</f>
        <v>B1</v>
      </c>
      <c r="F386" t="str">
        <f>VLOOKUP($C386, Egli_UPEC_metadata_provided!$A$2:$M$826, 5, FALSE)</f>
        <v>w</v>
      </c>
      <c r="G386">
        <f>VLOOKUP($C386, Egli_UPEC_metadata_provided!$A$2:$M$826, 6, FALSE)</f>
        <v>0</v>
      </c>
      <c r="H386">
        <f>VLOOKUP($C386, Egli_UPEC_metadata_provided!$A$2:$M$826, 7, FALSE)</f>
        <v>1</v>
      </c>
      <c r="I386">
        <f>VLOOKUP($C386, Egli_UPEC_metadata_provided!$A$2:$M$826, 8, FALSE)</f>
        <v>83.324675324675297</v>
      </c>
      <c r="J386" t="b">
        <f>VLOOKUP($C386, Egli_UPEC_metadata_provided!$A$2:$M$826, 9, FALSE)</f>
        <v>0</v>
      </c>
      <c r="K386">
        <f>VLOOKUP($C386, Egli_UPEC_metadata_provided!$A$2:$M$826, 10, FALSE)</f>
        <v>0</v>
      </c>
      <c r="L386" t="str">
        <f>VLOOKUP($C386, Egli_UPEC_metadata_provided!$A$2:$M$826, 11, FALSE)</f>
        <v>invasive</v>
      </c>
      <c r="M386">
        <f>VLOOKUP($C386, Egli_UPEC_metadata_provided!$A$2:$M$826, 12, FALSE)</f>
        <v>0</v>
      </c>
      <c r="N386">
        <f>VLOOKUP($C386, Egli_UPEC_metadata_provided!$A$2:$M$826, 13, FALSE)</f>
        <v>0</v>
      </c>
      <c r="O386">
        <f>VLOOKUP($C386, Egli_UPEC_metadata_provided!$A$2:$N$826, 14, FALSE)</f>
        <v>0</v>
      </c>
    </row>
    <row r="387" spans="1:15" x14ac:dyDescent="0.2">
      <c r="A387" t="s">
        <v>195</v>
      </c>
      <c r="B387" t="s">
        <v>3429</v>
      </c>
      <c r="C387" t="s">
        <v>3429</v>
      </c>
      <c r="D387">
        <f>VLOOKUP($C387, Egli_UPEC_metadata_provided!$A$2:$M$826, 3, FALSE)</f>
        <v>2019</v>
      </c>
      <c r="E387" t="str">
        <f>VLOOKUP($C387, Egli_UPEC_metadata_provided!$A$2:$M$826, 4, FALSE)</f>
        <v>B2-2</v>
      </c>
      <c r="F387" t="str">
        <f>VLOOKUP($C387, Egli_UPEC_metadata_provided!$A$2:$M$826, 5, FALSE)</f>
        <v>w</v>
      </c>
      <c r="G387">
        <f>VLOOKUP($C387, Egli_UPEC_metadata_provided!$A$2:$M$826, 6, FALSE)</f>
        <v>0</v>
      </c>
      <c r="H387">
        <f>VLOOKUP($C387, Egli_UPEC_metadata_provided!$A$2:$M$826, 7, FALSE)</f>
        <v>1</v>
      </c>
      <c r="I387">
        <f>VLOOKUP($C387, Egli_UPEC_metadata_provided!$A$2:$M$826, 8, FALSE)</f>
        <v>88.358168147641805</v>
      </c>
      <c r="J387" t="b">
        <f>VLOOKUP($C387, Egli_UPEC_metadata_provided!$A$2:$M$826, 9, FALSE)</f>
        <v>1</v>
      </c>
      <c r="K387">
        <f>VLOOKUP($C387, Egli_UPEC_metadata_provided!$A$2:$M$826, 10, FALSE)</f>
        <v>0</v>
      </c>
      <c r="L387" t="str">
        <f>VLOOKUP($C387, Egli_UPEC_metadata_provided!$A$2:$M$826, 11, FALSE)</f>
        <v>invasive</v>
      </c>
      <c r="M387">
        <f>VLOOKUP($C387, Egli_UPEC_metadata_provided!$A$2:$M$826, 12, FALSE)</f>
        <v>0</v>
      </c>
      <c r="N387">
        <f>VLOOKUP($C387, Egli_UPEC_metadata_provided!$A$2:$M$826, 13, FALSE)</f>
        <v>0</v>
      </c>
      <c r="O387">
        <f>VLOOKUP($C387, Egli_UPEC_metadata_provided!$A$2:$N$826, 14, FALSE)</f>
        <v>0</v>
      </c>
    </row>
    <row r="388" spans="1:15" x14ac:dyDescent="0.2">
      <c r="A388" t="s">
        <v>198</v>
      </c>
      <c r="B388" t="s">
        <v>3432</v>
      </c>
      <c r="C388" t="s">
        <v>3432</v>
      </c>
      <c r="D388">
        <f>VLOOKUP($C388, Egli_UPEC_metadata_provided!$A$2:$M$826, 3, FALSE)</f>
        <v>2019</v>
      </c>
      <c r="E388" t="str">
        <f>VLOOKUP($C388, Egli_UPEC_metadata_provided!$A$2:$M$826, 4, FALSE)</f>
        <v>D1</v>
      </c>
      <c r="F388" t="str">
        <f>VLOOKUP($C388, Egli_UPEC_metadata_provided!$A$2:$M$826, 5, FALSE)</f>
        <v>w</v>
      </c>
      <c r="G388">
        <f>VLOOKUP($C388, Egli_UPEC_metadata_provided!$A$2:$M$826, 6, FALSE)</f>
        <v>1</v>
      </c>
      <c r="H388">
        <f>VLOOKUP($C388, Egli_UPEC_metadata_provided!$A$2:$M$826, 7, FALSE)</f>
        <v>2</v>
      </c>
      <c r="I388">
        <f>VLOOKUP($C388, Egli_UPEC_metadata_provided!$A$2:$M$826, 8, FALSE)</f>
        <v>82.291182501708803</v>
      </c>
      <c r="J388" t="b">
        <f>VLOOKUP($C388, Egli_UPEC_metadata_provided!$A$2:$M$826, 9, FALSE)</f>
        <v>1</v>
      </c>
      <c r="K388" t="str">
        <f>VLOOKUP($C388, Egli_UPEC_metadata_provided!$A$2:$M$826, 10, FALSE)</f>
        <v>NA</v>
      </c>
      <c r="L388" t="str">
        <f>VLOOKUP($C388, Egli_UPEC_metadata_provided!$A$2:$M$826, 11, FALSE)</f>
        <v>invasive</v>
      </c>
      <c r="M388">
        <f>VLOOKUP($C388, Egli_UPEC_metadata_provided!$A$2:$M$826, 12, FALSE)</f>
        <v>1</v>
      </c>
      <c r="N388">
        <f>VLOOKUP($C388, Egli_UPEC_metadata_provided!$A$2:$M$826, 13, FALSE)</f>
        <v>0</v>
      </c>
      <c r="O388">
        <f>VLOOKUP($C388, Egli_UPEC_metadata_provided!$A$2:$N$826, 14, FALSE)</f>
        <v>1</v>
      </c>
    </row>
    <row r="389" spans="1:15" x14ac:dyDescent="0.2">
      <c r="A389" t="s">
        <v>201</v>
      </c>
      <c r="B389" t="s">
        <v>3435</v>
      </c>
      <c r="C389" t="s">
        <v>3435</v>
      </c>
      <c r="D389">
        <f>VLOOKUP($C389, Egli_UPEC_metadata_provided!$A$2:$M$826, 3, FALSE)</f>
        <v>2019</v>
      </c>
      <c r="E389" t="str">
        <f>VLOOKUP($C389, Egli_UPEC_metadata_provided!$A$2:$M$826, 4, FALSE)</f>
        <v>B2-2</v>
      </c>
      <c r="F389" t="str">
        <f>VLOOKUP($C389, Egli_UPEC_metadata_provided!$A$2:$M$826, 5, FALSE)</f>
        <v>w</v>
      </c>
      <c r="G389">
        <f>VLOOKUP($C389, Egli_UPEC_metadata_provided!$A$2:$M$826, 6, FALSE)</f>
        <v>0</v>
      </c>
      <c r="H389">
        <f>VLOOKUP($C389, Egli_UPEC_metadata_provided!$A$2:$M$826, 7, FALSE)</f>
        <v>0</v>
      </c>
      <c r="I389">
        <f>VLOOKUP($C389, Egli_UPEC_metadata_provided!$A$2:$M$826, 8, FALSE)</f>
        <v>31.980861244019099</v>
      </c>
      <c r="J389" t="b">
        <f>VLOOKUP($C389, Egli_UPEC_metadata_provided!$A$2:$M$826, 9, FALSE)</f>
        <v>0</v>
      </c>
      <c r="K389" t="str">
        <f>VLOOKUP($C389, Egli_UPEC_metadata_provided!$A$2:$M$826, 10, FALSE)</f>
        <v>NA</v>
      </c>
      <c r="L389" t="str">
        <f>VLOOKUP($C389, Egli_UPEC_metadata_provided!$A$2:$M$826, 11, FALSE)</f>
        <v>invasive</v>
      </c>
      <c r="M389">
        <f>VLOOKUP($C389, Egli_UPEC_metadata_provided!$A$2:$M$826, 12, FALSE)</f>
        <v>1</v>
      </c>
      <c r="N389">
        <f>VLOOKUP($C389, Egli_UPEC_metadata_provided!$A$2:$M$826, 13, FALSE)</f>
        <v>1</v>
      </c>
      <c r="O389">
        <f>VLOOKUP($C389, Egli_UPEC_metadata_provided!$A$2:$N$826, 14, FALSE)</f>
        <v>0</v>
      </c>
    </row>
    <row r="390" spans="1:15" x14ac:dyDescent="0.2">
      <c r="A390" t="s">
        <v>202</v>
      </c>
      <c r="B390" t="s">
        <v>3436</v>
      </c>
      <c r="C390" t="s">
        <v>3436</v>
      </c>
      <c r="D390">
        <f>VLOOKUP($C390, Egli_UPEC_metadata_provided!$A$2:$M$826, 3, FALSE)</f>
        <v>2019</v>
      </c>
      <c r="E390" t="str">
        <f>VLOOKUP($C390, Egli_UPEC_metadata_provided!$A$2:$M$826, 4, FALSE)</f>
        <v>C</v>
      </c>
      <c r="F390" t="str">
        <f>VLOOKUP($C390, Egli_UPEC_metadata_provided!$A$2:$M$826, 5, FALSE)</f>
        <v>m</v>
      </c>
      <c r="G390">
        <f>VLOOKUP($C390, Egli_UPEC_metadata_provided!$A$2:$M$826, 6, FALSE)</f>
        <v>1</v>
      </c>
      <c r="H390">
        <f>VLOOKUP($C390, Egli_UPEC_metadata_provided!$A$2:$M$826, 7, FALSE)</f>
        <v>2</v>
      </c>
      <c r="I390">
        <f>VLOOKUP($C390, Egli_UPEC_metadata_provided!$A$2:$M$826, 8, FALSE)</f>
        <v>54.395078605604901</v>
      </c>
      <c r="J390" t="b">
        <f>VLOOKUP($C390, Egli_UPEC_metadata_provided!$A$2:$M$826, 9, FALSE)</f>
        <v>0</v>
      </c>
      <c r="K390">
        <f>VLOOKUP($C390, Egli_UPEC_metadata_provided!$A$2:$M$826, 10, FALSE)</f>
        <v>0</v>
      </c>
      <c r="L390" t="str">
        <f>VLOOKUP($C390, Egli_UPEC_metadata_provided!$A$2:$M$826, 11, FALSE)</f>
        <v>invasive</v>
      </c>
      <c r="M390">
        <f>VLOOKUP($C390, Egli_UPEC_metadata_provided!$A$2:$M$826, 12, FALSE)</f>
        <v>0</v>
      </c>
      <c r="N390">
        <f>VLOOKUP($C390, Egli_UPEC_metadata_provided!$A$2:$M$826, 13, FALSE)</f>
        <v>0</v>
      </c>
      <c r="O390">
        <f>VLOOKUP($C390, Egli_UPEC_metadata_provided!$A$2:$N$826, 14, FALSE)</f>
        <v>0</v>
      </c>
    </row>
    <row r="391" spans="1:15" x14ac:dyDescent="0.2">
      <c r="A391" t="s">
        <v>1234</v>
      </c>
      <c r="B391" t="s">
        <v>4168</v>
      </c>
      <c r="C391" t="s">
        <v>3441</v>
      </c>
      <c r="D391">
        <f>VLOOKUP($C391, Egli_UPEC_metadata_provided!$A$2:$M$826, 3, FALSE)</f>
        <v>2019</v>
      </c>
      <c r="E391" t="str">
        <f>VLOOKUP($C391, Egli_UPEC_metadata_provided!$A$2:$M$826, 4, FALSE)</f>
        <v>B2-2</v>
      </c>
      <c r="F391" t="str">
        <f>VLOOKUP($C391, Egli_UPEC_metadata_provided!$A$2:$M$826, 5, FALSE)</f>
        <v>w</v>
      </c>
      <c r="G391">
        <f>VLOOKUP($C391, Egli_UPEC_metadata_provided!$A$2:$M$826, 6, FALSE)</f>
        <v>0</v>
      </c>
      <c r="H391">
        <f>VLOOKUP($C391, Egli_UPEC_metadata_provided!$A$2:$M$826, 7, FALSE)</f>
        <v>2</v>
      </c>
      <c r="I391">
        <f>VLOOKUP($C391, Egli_UPEC_metadata_provided!$A$2:$M$826, 8, FALSE)</f>
        <v>89.233082706766893</v>
      </c>
      <c r="J391" t="b">
        <f>VLOOKUP($C391, Egli_UPEC_metadata_provided!$A$2:$M$826, 9, FALSE)</f>
        <v>1</v>
      </c>
      <c r="K391">
        <f>VLOOKUP($C391, Egli_UPEC_metadata_provided!$A$2:$M$826, 10, FALSE)</f>
        <v>0</v>
      </c>
      <c r="L391" t="str">
        <f>VLOOKUP($C391, Egli_UPEC_metadata_provided!$A$2:$M$826, 11, FALSE)</f>
        <v>invasive</v>
      </c>
      <c r="M391">
        <f>VLOOKUP($C391, Egli_UPEC_metadata_provided!$A$2:$M$826, 12, FALSE)</f>
        <v>1</v>
      </c>
      <c r="N391">
        <f>VLOOKUP($C391, Egli_UPEC_metadata_provided!$A$2:$M$826, 13, FALSE)</f>
        <v>0</v>
      </c>
      <c r="O391">
        <f>VLOOKUP($C391, Egli_UPEC_metadata_provided!$A$2:$N$826, 14, FALSE)</f>
        <v>0</v>
      </c>
    </row>
    <row r="392" spans="1:15" x14ac:dyDescent="0.2">
      <c r="A392" t="s">
        <v>1246</v>
      </c>
      <c r="B392" t="s">
        <v>4319</v>
      </c>
      <c r="C392" t="s">
        <v>3441</v>
      </c>
      <c r="D392">
        <f>VLOOKUP($C392, Egli_UPEC_metadata_provided!$A$2:$M$826, 3, FALSE)</f>
        <v>2019</v>
      </c>
      <c r="E392" t="str">
        <f>VLOOKUP($C392, Egli_UPEC_metadata_provided!$A$2:$M$826, 4, FALSE)</f>
        <v>B2-2</v>
      </c>
      <c r="F392" t="str">
        <f>VLOOKUP($C392, Egli_UPEC_metadata_provided!$A$2:$M$826, 5, FALSE)</f>
        <v>w</v>
      </c>
      <c r="G392">
        <f>VLOOKUP($C392, Egli_UPEC_metadata_provided!$A$2:$M$826, 6, FALSE)</f>
        <v>0</v>
      </c>
      <c r="H392">
        <f>VLOOKUP($C392, Egli_UPEC_metadata_provided!$A$2:$M$826, 7, FALSE)</f>
        <v>2</v>
      </c>
      <c r="I392">
        <f>VLOOKUP($C392, Egli_UPEC_metadata_provided!$A$2:$M$826, 8, FALSE)</f>
        <v>89.233082706766893</v>
      </c>
      <c r="J392" t="b">
        <f>VLOOKUP($C392, Egli_UPEC_metadata_provided!$A$2:$M$826, 9, FALSE)</f>
        <v>1</v>
      </c>
      <c r="K392">
        <f>VLOOKUP($C392, Egli_UPEC_metadata_provided!$A$2:$M$826, 10, FALSE)</f>
        <v>0</v>
      </c>
      <c r="L392" t="str">
        <f>VLOOKUP($C392, Egli_UPEC_metadata_provided!$A$2:$M$826, 11, FALSE)</f>
        <v>invasive</v>
      </c>
      <c r="M392">
        <f>VLOOKUP($C392, Egli_UPEC_metadata_provided!$A$2:$M$826, 12, FALSE)</f>
        <v>1</v>
      </c>
      <c r="N392">
        <f>VLOOKUP($C392, Egli_UPEC_metadata_provided!$A$2:$M$826, 13, FALSE)</f>
        <v>0</v>
      </c>
      <c r="O392">
        <f>VLOOKUP($C392, Egli_UPEC_metadata_provided!$A$2:$N$826, 14, FALSE)</f>
        <v>0</v>
      </c>
    </row>
    <row r="393" spans="1:15" x14ac:dyDescent="0.2">
      <c r="A393" t="s">
        <v>1237</v>
      </c>
      <c r="B393" t="s">
        <v>4169</v>
      </c>
      <c r="C393" t="s">
        <v>3441</v>
      </c>
      <c r="D393">
        <f>VLOOKUP($C393, Egli_UPEC_metadata_provided!$A$2:$M$826, 3, FALSE)</f>
        <v>2019</v>
      </c>
      <c r="E393" t="str">
        <f>VLOOKUP($C393, Egli_UPEC_metadata_provided!$A$2:$M$826, 4, FALSE)</f>
        <v>B2-2</v>
      </c>
      <c r="F393" t="str">
        <f>VLOOKUP($C393, Egli_UPEC_metadata_provided!$A$2:$M$826, 5, FALSE)</f>
        <v>w</v>
      </c>
      <c r="G393">
        <f>VLOOKUP($C393, Egli_UPEC_metadata_provided!$A$2:$M$826, 6, FALSE)</f>
        <v>0</v>
      </c>
      <c r="H393">
        <f>VLOOKUP($C393, Egli_UPEC_metadata_provided!$A$2:$M$826, 7, FALSE)</f>
        <v>2</v>
      </c>
      <c r="I393">
        <f>VLOOKUP($C393, Egli_UPEC_metadata_provided!$A$2:$M$826, 8, FALSE)</f>
        <v>89.233082706766893</v>
      </c>
      <c r="J393" t="b">
        <f>VLOOKUP($C393, Egli_UPEC_metadata_provided!$A$2:$M$826, 9, FALSE)</f>
        <v>1</v>
      </c>
      <c r="K393">
        <f>VLOOKUP($C393, Egli_UPEC_metadata_provided!$A$2:$M$826, 10, FALSE)</f>
        <v>0</v>
      </c>
      <c r="L393" t="str">
        <f>VLOOKUP($C393, Egli_UPEC_metadata_provided!$A$2:$M$826, 11, FALSE)</f>
        <v>invasive</v>
      </c>
      <c r="M393">
        <f>VLOOKUP($C393, Egli_UPEC_metadata_provided!$A$2:$M$826, 12, FALSE)</f>
        <v>1</v>
      </c>
      <c r="N393">
        <f>VLOOKUP($C393, Egli_UPEC_metadata_provided!$A$2:$M$826, 13, FALSE)</f>
        <v>0</v>
      </c>
      <c r="O393">
        <f>VLOOKUP($C393, Egli_UPEC_metadata_provided!$A$2:$N$826, 14, FALSE)</f>
        <v>0</v>
      </c>
    </row>
    <row r="394" spans="1:15" x14ac:dyDescent="0.2">
      <c r="A394" t="s">
        <v>1240</v>
      </c>
      <c r="B394" t="s">
        <v>4170</v>
      </c>
      <c r="C394" t="s">
        <v>3441</v>
      </c>
      <c r="D394">
        <f>VLOOKUP($C394, Egli_UPEC_metadata_provided!$A$2:$M$826, 3, FALSE)</f>
        <v>2019</v>
      </c>
      <c r="E394" t="str">
        <f>VLOOKUP($C394, Egli_UPEC_metadata_provided!$A$2:$M$826, 4, FALSE)</f>
        <v>B2-2</v>
      </c>
      <c r="F394" t="str">
        <f>VLOOKUP($C394, Egli_UPEC_metadata_provided!$A$2:$M$826, 5, FALSE)</f>
        <v>w</v>
      </c>
      <c r="G394">
        <f>VLOOKUP($C394, Egli_UPEC_metadata_provided!$A$2:$M$826, 6, FALSE)</f>
        <v>0</v>
      </c>
      <c r="H394">
        <f>VLOOKUP($C394, Egli_UPEC_metadata_provided!$A$2:$M$826, 7, FALSE)</f>
        <v>2</v>
      </c>
      <c r="I394">
        <f>VLOOKUP($C394, Egli_UPEC_metadata_provided!$A$2:$M$826, 8, FALSE)</f>
        <v>89.233082706766893</v>
      </c>
      <c r="J394" t="b">
        <f>VLOOKUP($C394, Egli_UPEC_metadata_provided!$A$2:$M$826, 9, FALSE)</f>
        <v>1</v>
      </c>
      <c r="K394">
        <f>VLOOKUP($C394, Egli_UPEC_metadata_provided!$A$2:$M$826, 10, FALSE)</f>
        <v>0</v>
      </c>
      <c r="L394" t="str">
        <f>VLOOKUP($C394, Egli_UPEC_metadata_provided!$A$2:$M$826, 11, FALSE)</f>
        <v>invasive</v>
      </c>
      <c r="M394">
        <f>VLOOKUP($C394, Egli_UPEC_metadata_provided!$A$2:$M$826, 12, FALSE)</f>
        <v>1</v>
      </c>
      <c r="N394">
        <f>VLOOKUP($C394, Egli_UPEC_metadata_provided!$A$2:$M$826, 13, FALSE)</f>
        <v>0</v>
      </c>
      <c r="O394">
        <f>VLOOKUP($C394, Egli_UPEC_metadata_provided!$A$2:$N$826, 14, FALSE)</f>
        <v>0</v>
      </c>
    </row>
    <row r="395" spans="1:15" x14ac:dyDescent="0.2">
      <c r="A395" t="s">
        <v>207</v>
      </c>
      <c r="B395" t="s">
        <v>4131</v>
      </c>
      <c r="C395" t="s">
        <v>3441</v>
      </c>
      <c r="D395">
        <f>VLOOKUP($C395, Egli_UPEC_metadata_provided!$A$2:$M$826, 3, FALSE)</f>
        <v>2019</v>
      </c>
      <c r="E395" t="str">
        <f>VLOOKUP($C395, Egli_UPEC_metadata_provided!$A$2:$M$826, 4, FALSE)</f>
        <v>B2-2</v>
      </c>
      <c r="F395" t="str">
        <f>VLOOKUP($C395, Egli_UPEC_metadata_provided!$A$2:$M$826, 5, FALSE)</f>
        <v>w</v>
      </c>
      <c r="G395">
        <f>VLOOKUP($C395, Egli_UPEC_metadata_provided!$A$2:$M$826, 6, FALSE)</f>
        <v>0</v>
      </c>
      <c r="H395">
        <f>VLOOKUP($C395, Egli_UPEC_metadata_provided!$A$2:$M$826, 7, FALSE)</f>
        <v>2</v>
      </c>
      <c r="I395">
        <f>VLOOKUP($C395, Egli_UPEC_metadata_provided!$A$2:$M$826, 8, FALSE)</f>
        <v>89.233082706766893</v>
      </c>
      <c r="J395" t="b">
        <f>VLOOKUP($C395, Egli_UPEC_metadata_provided!$A$2:$M$826, 9, FALSE)</f>
        <v>1</v>
      </c>
      <c r="K395">
        <f>VLOOKUP($C395, Egli_UPEC_metadata_provided!$A$2:$M$826, 10, FALSE)</f>
        <v>0</v>
      </c>
      <c r="L395" t="str">
        <f>VLOOKUP($C395, Egli_UPEC_metadata_provided!$A$2:$M$826, 11, FALSE)</f>
        <v>invasive</v>
      </c>
      <c r="M395">
        <f>VLOOKUP($C395, Egli_UPEC_metadata_provided!$A$2:$M$826, 12, FALSE)</f>
        <v>1</v>
      </c>
      <c r="N395">
        <f>VLOOKUP($C395, Egli_UPEC_metadata_provided!$A$2:$M$826, 13, FALSE)</f>
        <v>0</v>
      </c>
      <c r="O395">
        <f>VLOOKUP($C395, Egli_UPEC_metadata_provided!$A$2:$N$826, 14, FALSE)</f>
        <v>0</v>
      </c>
    </row>
    <row r="396" spans="1:15" x14ac:dyDescent="0.2">
      <c r="A396" t="s">
        <v>1243</v>
      </c>
      <c r="B396" t="s">
        <v>4173</v>
      </c>
      <c r="C396" t="s">
        <v>3441</v>
      </c>
      <c r="D396">
        <f>VLOOKUP($C396, Egli_UPEC_metadata_provided!$A$2:$M$826, 3, FALSE)</f>
        <v>2019</v>
      </c>
      <c r="E396" t="str">
        <f>VLOOKUP($C396, Egli_UPEC_metadata_provided!$A$2:$M$826, 4, FALSE)</f>
        <v>B2-2</v>
      </c>
      <c r="F396" t="str">
        <f>VLOOKUP($C396, Egli_UPEC_metadata_provided!$A$2:$M$826, 5, FALSE)</f>
        <v>w</v>
      </c>
      <c r="G396">
        <f>VLOOKUP($C396, Egli_UPEC_metadata_provided!$A$2:$M$826, 6, FALSE)</f>
        <v>0</v>
      </c>
      <c r="H396">
        <f>VLOOKUP($C396, Egli_UPEC_metadata_provided!$A$2:$M$826, 7, FALSE)</f>
        <v>2</v>
      </c>
      <c r="I396">
        <f>VLOOKUP($C396, Egli_UPEC_metadata_provided!$A$2:$M$826, 8, FALSE)</f>
        <v>89.233082706766893</v>
      </c>
      <c r="J396" t="b">
        <f>VLOOKUP($C396, Egli_UPEC_metadata_provided!$A$2:$M$826, 9, FALSE)</f>
        <v>1</v>
      </c>
      <c r="K396">
        <f>VLOOKUP($C396, Egli_UPEC_metadata_provided!$A$2:$M$826, 10, FALSE)</f>
        <v>0</v>
      </c>
      <c r="L396" t="str">
        <f>VLOOKUP($C396, Egli_UPEC_metadata_provided!$A$2:$M$826, 11, FALSE)</f>
        <v>invasive</v>
      </c>
      <c r="M396">
        <f>VLOOKUP($C396, Egli_UPEC_metadata_provided!$A$2:$M$826, 12, FALSE)</f>
        <v>1</v>
      </c>
      <c r="N396">
        <f>VLOOKUP($C396, Egli_UPEC_metadata_provided!$A$2:$M$826, 13, FALSE)</f>
        <v>0</v>
      </c>
      <c r="O396">
        <f>VLOOKUP($C396, Egli_UPEC_metadata_provided!$A$2:$N$826, 14, FALSE)</f>
        <v>0</v>
      </c>
    </row>
    <row r="397" spans="1:15" x14ac:dyDescent="0.2">
      <c r="A397" t="s">
        <v>1249</v>
      </c>
      <c r="B397" t="s">
        <v>4320</v>
      </c>
      <c r="C397" t="s">
        <v>3441</v>
      </c>
      <c r="D397">
        <f>VLOOKUP($C397, Egli_UPEC_metadata_provided!$A$2:$M$826, 3, FALSE)</f>
        <v>2019</v>
      </c>
      <c r="E397" t="str">
        <f>VLOOKUP($C397, Egli_UPEC_metadata_provided!$A$2:$M$826, 4, FALSE)</f>
        <v>B2-2</v>
      </c>
      <c r="F397" t="str">
        <f>VLOOKUP($C397, Egli_UPEC_metadata_provided!$A$2:$M$826, 5, FALSE)</f>
        <v>w</v>
      </c>
      <c r="G397">
        <f>VLOOKUP($C397, Egli_UPEC_metadata_provided!$A$2:$M$826, 6, FALSE)</f>
        <v>0</v>
      </c>
      <c r="H397">
        <f>VLOOKUP($C397, Egli_UPEC_metadata_provided!$A$2:$M$826, 7, FALSE)</f>
        <v>2</v>
      </c>
      <c r="I397">
        <f>VLOOKUP($C397, Egli_UPEC_metadata_provided!$A$2:$M$826, 8, FALSE)</f>
        <v>89.233082706766893</v>
      </c>
      <c r="J397" t="b">
        <f>VLOOKUP($C397, Egli_UPEC_metadata_provided!$A$2:$M$826, 9, FALSE)</f>
        <v>1</v>
      </c>
      <c r="K397">
        <f>VLOOKUP($C397, Egli_UPEC_metadata_provided!$A$2:$M$826, 10, FALSE)</f>
        <v>0</v>
      </c>
      <c r="L397" t="str">
        <f>VLOOKUP($C397, Egli_UPEC_metadata_provided!$A$2:$M$826, 11, FALSE)</f>
        <v>invasive</v>
      </c>
      <c r="M397">
        <f>VLOOKUP($C397, Egli_UPEC_metadata_provided!$A$2:$M$826, 12, FALSE)</f>
        <v>1</v>
      </c>
      <c r="N397">
        <f>VLOOKUP($C397, Egli_UPEC_metadata_provided!$A$2:$M$826, 13, FALSE)</f>
        <v>0</v>
      </c>
      <c r="O397">
        <f>VLOOKUP($C397, Egli_UPEC_metadata_provided!$A$2:$N$826, 14, FALSE)</f>
        <v>0</v>
      </c>
    </row>
    <row r="398" spans="1:15" x14ac:dyDescent="0.2">
      <c r="A398" t="s">
        <v>1231</v>
      </c>
      <c r="B398" t="s">
        <v>4132</v>
      </c>
      <c r="C398" t="s">
        <v>3441</v>
      </c>
      <c r="D398">
        <f>VLOOKUP($C398, Egli_UPEC_metadata_provided!$A$2:$M$826, 3, FALSE)</f>
        <v>2019</v>
      </c>
      <c r="E398" t="str">
        <f>VLOOKUP($C398, Egli_UPEC_metadata_provided!$A$2:$M$826, 4, FALSE)</f>
        <v>B2-2</v>
      </c>
      <c r="F398" t="str">
        <f>VLOOKUP($C398, Egli_UPEC_metadata_provided!$A$2:$M$826, 5, FALSE)</f>
        <v>w</v>
      </c>
      <c r="G398">
        <f>VLOOKUP($C398, Egli_UPEC_metadata_provided!$A$2:$M$826, 6, FALSE)</f>
        <v>0</v>
      </c>
      <c r="H398">
        <f>VLOOKUP($C398, Egli_UPEC_metadata_provided!$A$2:$M$826, 7, FALSE)</f>
        <v>2</v>
      </c>
      <c r="I398">
        <f>VLOOKUP($C398, Egli_UPEC_metadata_provided!$A$2:$M$826, 8, FALSE)</f>
        <v>89.233082706766893</v>
      </c>
      <c r="J398" t="b">
        <f>VLOOKUP($C398, Egli_UPEC_metadata_provided!$A$2:$M$826, 9, FALSE)</f>
        <v>1</v>
      </c>
      <c r="K398">
        <f>VLOOKUP($C398, Egli_UPEC_metadata_provided!$A$2:$M$826, 10, FALSE)</f>
        <v>0</v>
      </c>
      <c r="L398" t="str">
        <f>VLOOKUP($C398, Egli_UPEC_metadata_provided!$A$2:$M$826, 11, FALSE)</f>
        <v>invasive</v>
      </c>
      <c r="M398">
        <f>VLOOKUP($C398, Egli_UPEC_metadata_provided!$A$2:$M$826, 12, FALSE)</f>
        <v>1</v>
      </c>
      <c r="N398">
        <f>VLOOKUP($C398, Egli_UPEC_metadata_provided!$A$2:$M$826, 13, FALSE)</f>
        <v>0</v>
      </c>
      <c r="O398">
        <f>VLOOKUP($C398, Egli_UPEC_metadata_provided!$A$2:$N$826, 14, FALSE)</f>
        <v>0</v>
      </c>
    </row>
    <row r="399" spans="1:15" x14ac:dyDescent="0.2">
      <c r="A399" t="s">
        <v>1252</v>
      </c>
      <c r="B399" t="s">
        <v>4321</v>
      </c>
      <c r="C399" t="s">
        <v>3441</v>
      </c>
      <c r="D399">
        <f>VLOOKUP($C399, Egli_UPEC_metadata_provided!$A$2:$M$826, 3, FALSE)</f>
        <v>2019</v>
      </c>
      <c r="E399" t="str">
        <f>VLOOKUP($C399, Egli_UPEC_metadata_provided!$A$2:$M$826, 4, FALSE)</f>
        <v>B2-2</v>
      </c>
      <c r="F399" t="str">
        <f>VLOOKUP($C399, Egli_UPEC_metadata_provided!$A$2:$M$826, 5, FALSE)</f>
        <v>w</v>
      </c>
      <c r="G399">
        <f>VLOOKUP($C399, Egli_UPEC_metadata_provided!$A$2:$M$826, 6, FALSE)</f>
        <v>0</v>
      </c>
      <c r="H399">
        <f>VLOOKUP($C399, Egli_UPEC_metadata_provided!$A$2:$M$826, 7, FALSE)</f>
        <v>2</v>
      </c>
      <c r="I399">
        <f>VLOOKUP($C399, Egli_UPEC_metadata_provided!$A$2:$M$826, 8, FALSE)</f>
        <v>89.233082706766893</v>
      </c>
      <c r="J399" t="b">
        <f>VLOOKUP($C399, Egli_UPEC_metadata_provided!$A$2:$M$826, 9, FALSE)</f>
        <v>1</v>
      </c>
      <c r="K399">
        <f>VLOOKUP($C399, Egli_UPEC_metadata_provided!$A$2:$M$826, 10, FALSE)</f>
        <v>0</v>
      </c>
      <c r="L399" t="str">
        <f>VLOOKUP($C399, Egli_UPEC_metadata_provided!$A$2:$M$826, 11, FALSE)</f>
        <v>invasive</v>
      </c>
      <c r="M399">
        <f>VLOOKUP($C399, Egli_UPEC_metadata_provided!$A$2:$M$826, 12, FALSE)</f>
        <v>1</v>
      </c>
      <c r="N399">
        <f>VLOOKUP($C399, Egli_UPEC_metadata_provided!$A$2:$M$826, 13, FALSE)</f>
        <v>0</v>
      </c>
      <c r="O399">
        <f>VLOOKUP($C399, Egli_UPEC_metadata_provided!$A$2:$N$826, 14, FALSE)</f>
        <v>0</v>
      </c>
    </row>
    <row r="400" spans="1:15" x14ac:dyDescent="0.2">
      <c r="A400" t="s">
        <v>3281</v>
      </c>
      <c r="B400" t="s">
        <v>4322</v>
      </c>
      <c r="C400" t="s">
        <v>3441</v>
      </c>
      <c r="D400">
        <f>VLOOKUP($C400, Egli_UPEC_metadata_provided!$A$2:$M$826, 3, FALSE)</f>
        <v>2019</v>
      </c>
      <c r="E400" t="str">
        <f>VLOOKUP($C400, Egli_UPEC_metadata_provided!$A$2:$M$826, 4, FALSE)</f>
        <v>B2-2</v>
      </c>
      <c r="F400" t="str">
        <f>VLOOKUP($C400, Egli_UPEC_metadata_provided!$A$2:$M$826, 5, FALSE)</f>
        <v>w</v>
      </c>
      <c r="G400">
        <f>VLOOKUP($C400, Egli_UPEC_metadata_provided!$A$2:$M$826, 6, FALSE)</f>
        <v>0</v>
      </c>
      <c r="H400">
        <f>VLOOKUP($C400, Egli_UPEC_metadata_provided!$A$2:$M$826, 7, FALSE)</f>
        <v>2</v>
      </c>
      <c r="I400">
        <f>VLOOKUP($C400, Egli_UPEC_metadata_provided!$A$2:$M$826, 8, FALSE)</f>
        <v>89.233082706766893</v>
      </c>
      <c r="J400" t="b">
        <f>VLOOKUP($C400, Egli_UPEC_metadata_provided!$A$2:$M$826, 9, FALSE)</f>
        <v>1</v>
      </c>
      <c r="K400">
        <f>VLOOKUP($C400, Egli_UPEC_metadata_provided!$A$2:$M$826, 10, FALSE)</f>
        <v>0</v>
      </c>
      <c r="L400" t="str">
        <f>VLOOKUP($C400, Egli_UPEC_metadata_provided!$A$2:$M$826, 11, FALSE)</f>
        <v>invasive</v>
      </c>
      <c r="M400">
        <f>VLOOKUP($C400, Egli_UPEC_metadata_provided!$A$2:$M$826, 12, FALSE)</f>
        <v>1</v>
      </c>
      <c r="N400">
        <f>VLOOKUP($C400, Egli_UPEC_metadata_provided!$A$2:$M$826, 13, FALSE)</f>
        <v>0</v>
      </c>
      <c r="O400">
        <f>VLOOKUP($C400, Egli_UPEC_metadata_provided!$A$2:$N$826, 14, FALSE)</f>
        <v>0</v>
      </c>
    </row>
    <row r="401" spans="1:15" x14ac:dyDescent="0.2">
      <c r="A401" t="s">
        <v>210</v>
      </c>
      <c r="B401" t="s">
        <v>3444</v>
      </c>
      <c r="C401" t="s">
        <v>3444</v>
      </c>
      <c r="D401">
        <f>VLOOKUP($C401, Egli_UPEC_metadata_provided!$A$2:$M$826, 3, FALSE)</f>
        <v>2019</v>
      </c>
      <c r="E401" t="str">
        <f>VLOOKUP($C401, Egli_UPEC_metadata_provided!$A$2:$M$826, 4, FALSE)</f>
        <v>B1</v>
      </c>
      <c r="F401" t="str">
        <f>VLOOKUP($C401, Egli_UPEC_metadata_provided!$A$2:$M$826, 5, FALSE)</f>
        <v>m</v>
      </c>
      <c r="G401">
        <f>VLOOKUP($C401, Egli_UPEC_metadata_provided!$A$2:$M$826, 6, FALSE)</f>
        <v>1</v>
      </c>
      <c r="H401">
        <f>VLOOKUP($C401, Egli_UPEC_metadata_provided!$A$2:$M$826, 7, FALSE)</f>
        <v>6</v>
      </c>
      <c r="I401">
        <f>VLOOKUP($C401, Egli_UPEC_metadata_provided!$A$2:$M$826, 8, FALSE)</f>
        <v>54.023239917976802</v>
      </c>
      <c r="J401" t="b">
        <f>VLOOKUP($C401, Egli_UPEC_metadata_provided!$A$2:$M$826, 9, FALSE)</f>
        <v>0</v>
      </c>
      <c r="K401">
        <f>VLOOKUP($C401, Egli_UPEC_metadata_provided!$A$2:$M$826, 10, FALSE)</f>
        <v>0</v>
      </c>
      <c r="L401" t="str">
        <f>VLOOKUP($C401, Egli_UPEC_metadata_provided!$A$2:$M$826, 11, FALSE)</f>
        <v>invasive</v>
      </c>
      <c r="M401">
        <f>VLOOKUP($C401, Egli_UPEC_metadata_provided!$A$2:$M$826, 12, FALSE)</f>
        <v>1</v>
      </c>
      <c r="N401">
        <f>VLOOKUP($C401, Egli_UPEC_metadata_provided!$A$2:$M$826, 13, FALSE)</f>
        <v>1</v>
      </c>
      <c r="O401">
        <f>VLOOKUP($C401, Egli_UPEC_metadata_provided!$A$2:$N$826, 14, FALSE)</f>
        <v>0</v>
      </c>
    </row>
    <row r="402" spans="1:15" x14ac:dyDescent="0.2">
      <c r="A402" t="s">
        <v>215</v>
      </c>
      <c r="B402" t="s">
        <v>3449</v>
      </c>
      <c r="C402" t="s">
        <v>3449</v>
      </c>
      <c r="D402">
        <f>VLOOKUP($C402, Egli_UPEC_metadata_provided!$A$2:$M$826, 3, FALSE)</f>
        <v>2019</v>
      </c>
      <c r="E402" t="str">
        <f>VLOOKUP($C402, Egli_UPEC_metadata_provided!$A$2:$M$826, 4, FALSE)</f>
        <v>B1</v>
      </c>
      <c r="F402" t="str">
        <f>VLOOKUP($C402, Egli_UPEC_metadata_provided!$A$2:$M$826, 5, FALSE)</f>
        <v>w</v>
      </c>
      <c r="G402">
        <f>VLOOKUP($C402, Egli_UPEC_metadata_provided!$A$2:$M$826, 6, FALSE)</f>
        <v>0</v>
      </c>
      <c r="H402">
        <f>VLOOKUP($C402, Egli_UPEC_metadata_provided!$A$2:$M$826, 7, FALSE)</f>
        <v>3</v>
      </c>
      <c r="I402">
        <f>VLOOKUP($C402, Egli_UPEC_metadata_provided!$A$2:$M$826, 8, FALSE)</f>
        <v>72.401913875598098</v>
      </c>
      <c r="J402" t="b">
        <f>VLOOKUP($C402, Egli_UPEC_metadata_provided!$A$2:$M$826, 9, FALSE)</f>
        <v>0</v>
      </c>
      <c r="K402" t="str">
        <f>VLOOKUP($C402, Egli_UPEC_metadata_provided!$A$2:$M$826, 10, FALSE)</f>
        <v>NA</v>
      </c>
      <c r="L402" t="str">
        <f>VLOOKUP($C402, Egli_UPEC_metadata_provided!$A$2:$M$826, 11, FALSE)</f>
        <v>invasive</v>
      </c>
      <c r="M402">
        <f>VLOOKUP($C402, Egli_UPEC_metadata_provided!$A$2:$M$826, 12, FALSE)</f>
        <v>1</v>
      </c>
      <c r="N402">
        <f>VLOOKUP($C402, Egli_UPEC_metadata_provided!$A$2:$M$826, 13, FALSE)</f>
        <v>0</v>
      </c>
      <c r="O402">
        <f>VLOOKUP($C402, Egli_UPEC_metadata_provided!$A$2:$N$826, 14, FALSE)</f>
        <v>0</v>
      </c>
    </row>
    <row r="403" spans="1:15" x14ac:dyDescent="0.2">
      <c r="A403" t="s">
        <v>1310</v>
      </c>
      <c r="B403" t="s">
        <v>4323</v>
      </c>
      <c r="C403" t="s">
        <v>3455</v>
      </c>
      <c r="D403">
        <f>VLOOKUP($C403, Egli_UPEC_metadata_provided!$A$2:$M$826, 3, FALSE)</f>
        <v>2019</v>
      </c>
      <c r="E403" t="str">
        <f>VLOOKUP($C403, Egli_UPEC_metadata_provided!$A$2:$M$826, 4, FALSE)</f>
        <v>B2-1</v>
      </c>
      <c r="F403" t="str">
        <f>VLOOKUP($C403, Egli_UPEC_metadata_provided!$A$2:$M$826, 5, FALSE)</f>
        <v>w</v>
      </c>
      <c r="G403">
        <f>VLOOKUP($C403, Egli_UPEC_metadata_provided!$A$2:$M$826, 6, FALSE)</f>
        <v>0</v>
      </c>
      <c r="H403">
        <f>VLOOKUP($C403, Egli_UPEC_metadata_provided!$A$2:$M$826, 7, FALSE)</f>
        <v>0</v>
      </c>
      <c r="I403">
        <f>VLOOKUP($C403, Egli_UPEC_metadata_provided!$A$2:$M$826, 8, FALSE)</f>
        <v>84.265208475734795</v>
      </c>
      <c r="J403" t="b">
        <f>VLOOKUP($C403, Egli_UPEC_metadata_provided!$A$2:$M$826, 9, FALSE)</f>
        <v>1</v>
      </c>
      <c r="K403" t="str">
        <f>VLOOKUP($C403, Egli_UPEC_metadata_provided!$A$2:$M$826, 10, FALSE)</f>
        <v>NA</v>
      </c>
      <c r="L403" t="str">
        <f>VLOOKUP($C403, Egli_UPEC_metadata_provided!$A$2:$M$826, 11, FALSE)</f>
        <v>invasive</v>
      </c>
      <c r="M403">
        <f>VLOOKUP($C403, Egli_UPEC_metadata_provided!$A$2:$M$826, 12, FALSE)</f>
        <v>0</v>
      </c>
      <c r="N403">
        <f>VLOOKUP($C403, Egli_UPEC_metadata_provided!$A$2:$M$826, 13, FALSE)</f>
        <v>0</v>
      </c>
      <c r="O403">
        <f>VLOOKUP($C403, Egli_UPEC_metadata_provided!$A$2:$N$826, 14, FALSE)</f>
        <v>0</v>
      </c>
    </row>
    <row r="404" spans="1:15" x14ac:dyDescent="0.2">
      <c r="A404" t="s">
        <v>221</v>
      </c>
      <c r="B404" t="s">
        <v>4141</v>
      </c>
      <c r="C404" t="s">
        <v>3455</v>
      </c>
      <c r="D404">
        <f>VLOOKUP($C404, Egli_UPEC_metadata_provided!$A$2:$M$826, 3, FALSE)</f>
        <v>2019</v>
      </c>
      <c r="E404" t="str">
        <f>VLOOKUP($C404, Egli_UPEC_metadata_provided!$A$2:$M$826, 4, FALSE)</f>
        <v>B2-1</v>
      </c>
      <c r="F404" t="str">
        <f>VLOOKUP($C404, Egli_UPEC_metadata_provided!$A$2:$M$826, 5, FALSE)</f>
        <v>w</v>
      </c>
      <c r="G404">
        <f>VLOOKUP($C404, Egli_UPEC_metadata_provided!$A$2:$M$826, 6, FALSE)</f>
        <v>0</v>
      </c>
      <c r="H404">
        <f>VLOOKUP($C404, Egli_UPEC_metadata_provided!$A$2:$M$826, 7, FALSE)</f>
        <v>0</v>
      </c>
      <c r="I404">
        <f>VLOOKUP($C404, Egli_UPEC_metadata_provided!$A$2:$M$826, 8, FALSE)</f>
        <v>84.265208475734795</v>
      </c>
      <c r="J404" t="b">
        <f>VLOOKUP($C404, Egli_UPEC_metadata_provided!$A$2:$M$826, 9, FALSE)</f>
        <v>1</v>
      </c>
      <c r="K404" t="str">
        <f>VLOOKUP($C404, Egli_UPEC_metadata_provided!$A$2:$M$826, 10, FALSE)</f>
        <v>NA</v>
      </c>
      <c r="L404" t="str">
        <f>VLOOKUP($C404, Egli_UPEC_metadata_provided!$A$2:$M$826, 11, FALSE)</f>
        <v>invasive</v>
      </c>
      <c r="M404">
        <f>VLOOKUP($C404, Egli_UPEC_metadata_provided!$A$2:$M$826, 12, FALSE)</f>
        <v>0</v>
      </c>
      <c r="N404">
        <f>VLOOKUP($C404, Egli_UPEC_metadata_provided!$A$2:$M$826, 13, FALSE)</f>
        <v>0</v>
      </c>
      <c r="O404">
        <f>VLOOKUP($C404, Egli_UPEC_metadata_provided!$A$2:$N$826, 14, FALSE)</f>
        <v>0</v>
      </c>
    </row>
    <row r="405" spans="1:15" x14ac:dyDescent="0.2">
      <c r="A405" t="s">
        <v>1313</v>
      </c>
      <c r="B405" t="s">
        <v>4324</v>
      </c>
      <c r="C405" t="s">
        <v>3455</v>
      </c>
      <c r="D405">
        <f>VLOOKUP($C405, Egli_UPEC_metadata_provided!$A$2:$M$826, 3, FALSE)</f>
        <v>2019</v>
      </c>
      <c r="E405" t="str">
        <f>VLOOKUP($C405, Egli_UPEC_metadata_provided!$A$2:$M$826, 4, FALSE)</f>
        <v>B2-1</v>
      </c>
      <c r="F405" t="str">
        <f>VLOOKUP($C405, Egli_UPEC_metadata_provided!$A$2:$M$826, 5, FALSE)</f>
        <v>w</v>
      </c>
      <c r="G405">
        <f>VLOOKUP($C405, Egli_UPEC_metadata_provided!$A$2:$M$826, 6, FALSE)</f>
        <v>0</v>
      </c>
      <c r="H405">
        <f>VLOOKUP($C405, Egli_UPEC_metadata_provided!$A$2:$M$826, 7, FALSE)</f>
        <v>0</v>
      </c>
      <c r="I405">
        <f>VLOOKUP($C405, Egli_UPEC_metadata_provided!$A$2:$M$826, 8, FALSE)</f>
        <v>84.265208475734795</v>
      </c>
      <c r="J405" t="b">
        <f>VLOOKUP($C405, Egli_UPEC_metadata_provided!$A$2:$M$826, 9, FALSE)</f>
        <v>1</v>
      </c>
      <c r="K405" t="str">
        <f>VLOOKUP($C405, Egli_UPEC_metadata_provided!$A$2:$M$826, 10, FALSE)</f>
        <v>NA</v>
      </c>
      <c r="L405" t="str">
        <f>VLOOKUP($C405, Egli_UPEC_metadata_provided!$A$2:$M$826, 11, FALSE)</f>
        <v>invasive</v>
      </c>
      <c r="M405">
        <f>VLOOKUP($C405, Egli_UPEC_metadata_provided!$A$2:$M$826, 12, FALSE)</f>
        <v>0</v>
      </c>
      <c r="N405">
        <f>VLOOKUP($C405, Egli_UPEC_metadata_provided!$A$2:$M$826, 13, FALSE)</f>
        <v>0</v>
      </c>
      <c r="O405">
        <f>VLOOKUP($C405, Egli_UPEC_metadata_provided!$A$2:$N$826, 14, FALSE)</f>
        <v>0</v>
      </c>
    </row>
    <row r="406" spans="1:15" x14ac:dyDescent="0.2">
      <c r="A406" t="s">
        <v>1289</v>
      </c>
      <c r="B406" t="s">
        <v>4142</v>
      </c>
      <c r="C406" t="s">
        <v>3455</v>
      </c>
      <c r="D406">
        <f>VLOOKUP($C406, Egli_UPEC_metadata_provided!$A$2:$M$826, 3, FALSE)</f>
        <v>2019</v>
      </c>
      <c r="E406" t="str">
        <f>VLOOKUP($C406, Egli_UPEC_metadata_provided!$A$2:$M$826, 4, FALSE)</f>
        <v>B2-1</v>
      </c>
      <c r="F406" t="str">
        <f>VLOOKUP($C406, Egli_UPEC_metadata_provided!$A$2:$M$826, 5, FALSE)</f>
        <v>w</v>
      </c>
      <c r="G406">
        <f>VLOOKUP($C406, Egli_UPEC_metadata_provided!$A$2:$M$826, 6, FALSE)</f>
        <v>0</v>
      </c>
      <c r="H406">
        <f>VLOOKUP($C406, Egli_UPEC_metadata_provided!$A$2:$M$826, 7, FALSE)</f>
        <v>0</v>
      </c>
      <c r="I406">
        <f>VLOOKUP($C406, Egli_UPEC_metadata_provided!$A$2:$M$826, 8, FALSE)</f>
        <v>84.265208475734795</v>
      </c>
      <c r="J406" t="b">
        <f>VLOOKUP($C406, Egli_UPEC_metadata_provided!$A$2:$M$826, 9, FALSE)</f>
        <v>1</v>
      </c>
      <c r="K406" t="str">
        <f>VLOOKUP($C406, Egli_UPEC_metadata_provided!$A$2:$M$826, 10, FALSE)</f>
        <v>NA</v>
      </c>
      <c r="L406" t="str">
        <f>VLOOKUP($C406, Egli_UPEC_metadata_provided!$A$2:$M$826, 11, FALSE)</f>
        <v>invasive</v>
      </c>
      <c r="M406">
        <f>VLOOKUP($C406, Egli_UPEC_metadata_provided!$A$2:$M$826, 12, FALSE)</f>
        <v>0</v>
      </c>
      <c r="N406">
        <f>VLOOKUP($C406, Egli_UPEC_metadata_provided!$A$2:$M$826, 13, FALSE)</f>
        <v>0</v>
      </c>
      <c r="O406">
        <f>VLOOKUP($C406, Egli_UPEC_metadata_provided!$A$2:$N$826, 14, FALSE)</f>
        <v>0</v>
      </c>
    </row>
    <row r="407" spans="1:15" x14ac:dyDescent="0.2">
      <c r="A407" t="s">
        <v>1301</v>
      </c>
      <c r="B407" t="s">
        <v>4181</v>
      </c>
      <c r="C407" t="s">
        <v>3455</v>
      </c>
      <c r="D407">
        <f>VLOOKUP($C407, Egli_UPEC_metadata_provided!$A$2:$M$826, 3, FALSE)</f>
        <v>2019</v>
      </c>
      <c r="E407" t="str">
        <f>VLOOKUP($C407, Egli_UPEC_metadata_provided!$A$2:$M$826, 4, FALSE)</f>
        <v>B2-1</v>
      </c>
      <c r="F407" t="str">
        <f>VLOOKUP($C407, Egli_UPEC_metadata_provided!$A$2:$M$826, 5, FALSE)</f>
        <v>w</v>
      </c>
      <c r="G407">
        <f>VLOOKUP($C407, Egli_UPEC_metadata_provided!$A$2:$M$826, 6, FALSE)</f>
        <v>0</v>
      </c>
      <c r="H407">
        <f>VLOOKUP($C407, Egli_UPEC_metadata_provided!$A$2:$M$826, 7, FALSE)</f>
        <v>0</v>
      </c>
      <c r="I407">
        <f>VLOOKUP($C407, Egli_UPEC_metadata_provided!$A$2:$M$826, 8, FALSE)</f>
        <v>84.265208475734795</v>
      </c>
      <c r="J407" t="b">
        <f>VLOOKUP($C407, Egli_UPEC_metadata_provided!$A$2:$M$826, 9, FALSE)</f>
        <v>1</v>
      </c>
      <c r="K407" t="str">
        <f>VLOOKUP($C407, Egli_UPEC_metadata_provided!$A$2:$M$826, 10, FALSE)</f>
        <v>NA</v>
      </c>
      <c r="L407" t="str">
        <f>VLOOKUP($C407, Egli_UPEC_metadata_provided!$A$2:$M$826, 11, FALSE)</f>
        <v>invasive</v>
      </c>
      <c r="M407">
        <f>VLOOKUP($C407, Egli_UPEC_metadata_provided!$A$2:$M$826, 12, FALSE)</f>
        <v>0</v>
      </c>
      <c r="N407">
        <f>VLOOKUP($C407, Egli_UPEC_metadata_provided!$A$2:$M$826, 13, FALSE)</f>
        <v>0</v>
      </c>
      <c r="O407">
        <f>VLOOKUP($C407, Egli_UPEC_metadata_provided!$A$2:$N$826, 14, FALSE)</f>
        <v>0</v>
      </c>
    </row>
    <row r="408" spans="1:15" x14ac:dyDescent="0.2">
      <c r="A408" t="s">
        <v>1292</v>
      </c>
      <c r="B408" t="s">
        <v>4143</v>
      </c>
      <c r="C408" t="s">
        <v>3455</v>
      </c>
      <c r="D408">
        <f>VLOOKUP($C408, Egli_UPEC_metadata_provided!$A$2:$M$826, 3, FALSE)</f>
        <v>2019</v>
      </c>
      <c r="E408" t="str">
        <f>VLOOKUP($C408, Egli_UPEC_metadata_provided!$A$2:$M$826, 4, FALSE)</f>
        <v>B2-1</v>
      </c>
      <c r="F408" t="str">
        <f>VLOOKUP($C408, Egli_UPEC_metadata_provided!$A$2:$M$826, 5, FALSE)</f>
        <v>w</v>
      </c>
      <c r="G408">
        <f>VLOOKUP($C408, Egli_UPEC_metadata_provided!$A$2:$M$826, 6, FALSE)</f>
        <v>0</v>
      </c>
      <c r="H408">
        <f>VLOOKUP($C408, Egli_UPEC_metadata_provided!$A$2:$M$826, 7, FALSE)</f>
        <v>0</v>
      </c>
      <c r="I408">
        <f>VLOOKUP($C408, Egli_UPEC_metadata_provided!$A$2:$M$826, 8, FALSE)</f>
        <v>84.265208475734795</v>
      </c>
      <c r="J408" t="b">
        <f>VLOOKUP($C408, Egli_UPEC_metadata_provided!$A$2:$M$826, 9, FALSE)</f>
        <v>1</v>
      </c>
      <c r="K408" t="str">
        <f>VLOOKUP($C408, Egli_UPEC_metadata_provided!$A$2:$M$826, 10, FALSE)</f>
        <v>NA</v>
      </c>
      <c r="L408" t="str">
        <f>VLOOKUP($C408, Egli_UPEC_metadata_provided!$A$2:$M$826, 11, FALSE)</f>
        <v>invasive</v>
      </c>
      <c r="M408">
        <f>VLOOKUP($C408, Egli_UPEC_metadata_provided!$A$2:$M$826, 12, FALSE)</f>
        <v>0</v>
      </c>
      <c r="N408">
        <f>VLOOKUP($C408, Egli_UPEC_metadata_provided!$A$2:$M$826, 13, FALSE)</f>
        <v>0</v>
      </c>
      <c r="O408">
        <f>VLOOKUP($C408, Egli_UPEC_metadata_provided!$A$2:$N$826, 14, FALSE)</f>
        <v>0</v>
      </c>
    </row>
    <row r="409" spans="1:15" x14ac:dyDescent="0.2">
      <c r="A409" t="s">
        <v>1295</v>
      </c>
      <c r="B409" t="s">
        <v>4144</v>
      </c>
      <c r="C409" t="s">
        <v>3455</v>
      </c>
      <c r="D409">
        <f>VLOOKUP($C409, Egli_UPEC_metadata_provided!$A$2:$M$826, 3, FALSE)</f>
        <v>2019</v>
      </c>
      <c r="E409" t="str">
        <f>VLOOKUP($C409, Egli_UPEC_metadata_provided!$A$2:$M$826, 4, FALSE)</f>
        <v>B2-1</v>
      </c>
      <c r="F409" t="str">
        <f>VLOOKUP($C409, Egli_UPEC_metadata_provided!$A$2:$M$826, 5, FALSE)</f>
        <v>w</v>
      </c>
      <c r="G409">
        <f>VLOOKUP($C409, Egli_UPEC_metadata_provided!$A$2:$M$826, 6, FALSE)</f>
        <v>0</v>
      </c>
      <c r="H409">
        <f>VLOOKUP($C409, Egli_UPEC_metadata_provided!$A$2:$M$826, 7, FALSE)</f>
        <v>0</v>
      </c>
      <c r="I409">
        <f>VLOOKUP($C409, Egli_UPEC_metadata_provided!$A$2:$M$826, 8, FALSE)</f>
        <v>84.265208475734795</v>
      </c>
      <c r="J409" t="b">
        <f>VLOOKUP($C409, Egli_UPEC_metadata_provided!$A$2:$M$826, 9, FALSE)</f>
        <v>1</v>
      </c>
      <c r="K409" t="str">
        <f>VLOOKUP($C409, Egli_UPEC_metadata_provided!$A$2:$M$826, 10, FALSE)</f>
        <v>NA</v>
      </c>
      <c r="L409" t="str">
        <f>VLOOKUP($C409, Egli_UPEC_metadata_provided!$A$2:$M$826, 11, FALSE)</f>
        <v>invasive</v>
      </c>
      <c r="M409">
        <f>VLOOKUP($C409, Egli_UPEC_metadata_provided!$A$2:$M$826, 12, FALSE)</f>
        <v>0</v>
      </c>
      <c r="N409">
        <f>VLOOKUP($C409, Egli_UPEC_metadata_provided!$A$2:$M$826, 13, FALSE)</f>
        <v>0</v>
      </c>
      <c r="O409">
        <f>VLOOKUP($C409, Egli_UPEC_metadata_provided!$A$2:$N$826, 14, FALSE)</f>
        <v>0</v>
      </c>
    </row>
    <row r="410" spans="1:15" x14ac:dyDescent="0.2">
      <c r="A410" t="s">
        <v>1304</v>
      </c>
      <c r="B410" t="s">
        <v>4182</v>
      </c>
      <c r="C410" t="s">
        <v>3455</v>
      </c>
      <c r="D410">
        <f>VLOOKUP($C410, Egli_UPEC_metadata_provided!$A$2:$M$826, 3, FALSE)</f>
        <v>2019</v>
      </c>
      <c r="E410" t="str">
        <f>VLOOKUP($C410, Egli_UPEC_metadata_provided!$A$2:$M$826, 4, FALSE)</f>
        <v>B2-1</v>
      </c>
      <c r="F410" t="str">
        <f>VLOOKUP($C410, Egli_UPEC_metadata_provided!$A$2:$M$826, 5, FALSE)</f>
        <v>w</v>
      </c>
      <c r="G410">
        <f>VLOOKUP($C410, Egli_UPEC_metadata_provided!$A$2:$M$826, 6, FALSE)</f>
        <v>0</v>
      </c>
      <c r="H410">
        <f>VLOOKUP($C410, Egli_UPEC_metadata_provided!$A$2:$M$826, 7, FALSE)</f>
        <v>0</v>
      </c>
      <c r="I410">
        <f>VLOOKUP($C410, Egli_UPEC_metadata_provided!$A$2:$M$826, 8, FALSE)</f>
        <v>84.265208475734795</v>
      </c>
      <c r="J410" t="b">
        <f>VLOOKUP($C410, Egli_UPEC_metadata_provided!$A$2:$M$826, 9, FALSE)</f>
        <v>1</v>
      </c>
      <c r="K410" t="str">
        <f>VLOOKUP($C410, Egli_UPEC_metadata_provided!$A$2:$M$826, 10, FALSE)</f>
        <v>NA</v>
      </c>
      <c r="L410" t="str">
        <f>VLOOKUP($C410, Egli_UPEC_metadata_provided!$A$2:$M$826, 11, FALSE)</f>
        <v>invasive</v>
      </c>
      <c r="M410">
        <f>VLOOKUP($C410, Egli_UPEC_metadata_provided!$A$2:$M$826, 12, FALSE)</f>
        <v>0</v>
      </c>
      <c r="N410">
        <f>VLOOKUP($C410, Egli_UPEC_metadata_provided!$A$2:$M$826, 13, FALSE)</f>
        <v>0</v>
      </c>
      <c r="O410">
        <f>VLOOKUP($C410, Egli_UPEC_metadata_provided!$A$2:$N$826, 14, FALSE)</f>
        <v>0</v>
      </c>
    </row>
    <row r="411" spans="1:15" x14ac:dyDescent="0.2">
      <c r="A411" t="s">
        <v>1307</v>
      </c>
      <c r="B411" t="s">
        <v>4183</v>
      </c>
      <c r="C411" t="s">
        <v>3455</v>
      </c>
      <c r="D411">
        <f>VLOOKUP($C411, Egli_UPEC_metadata_provided!$A$2:$M$826, 3, FALSE)</f>
        <v>2019</v>
      </c>
      <c r="E411" t="str">
        <f>VLOOKUP($C411, Egli_UPEC_metadata_provided!$A$2:$M$826, 4, FALSE)</f>
        <v>B2-1</v>
      </c>
      <c r="F411" t="str">
        <f>VLOOKUP($C411, Egli_UPEC_metadata_provided!$A$2:$M$826, 5, FALSE)</f>
        <v>w</v>
      </c>
      <c r="G411">
        <f>VLOOKUP($C411, Egli_UPEC_metadata_provided!$A$2:$M$826, 6, FALSE)</f>
        <v>0</v>
      </c>
      <c r="H411">
        <f>VLOOKUP($C411, Egli_UPEC_metadata_provided!$A$2:$M$826, 7, FALSE)</f>
        <v>0</v>
      </c>
      <c r="I411">
        <f>VLOOKUP($C411, Egli_UPEC_metadata_provided!$A$2:$M$826, 8, FALSE)</f>
        <v>84.265208475734795</v>
      </c>
      <c r="J411" t="b">
        <f>VLOOKUP($C411, Egli_UPEC_metadata_provided!$A$2:$M$826, 9, FALSE)</f>
        <v>1</v>
      </c>
      <c r="K411" t="str">
        <f>VLOOKUP($C411, Egli_UPEC_metadata_provided!$A$2:$M$826, 10, FALSE)</f>
        <v>NA</v>
      </c>
      <c r="L411" t="str">
        <f>VLOOKUP($C411, Egli_UPEC_metadata_provided!$A$2:$M$826, 11, FALSE)</f>
        <v>invasive</v>
      </c>
      <c r="M411">
        <f>VLOOKUP($C411, Egli_UPEC_metadata_provided!$A$2:$M$826, 12, FALSE)</f>
        <v>0</v>
      </c>
      <c r="N411">
        <f>VLOOKUP($C411, Egli_UPEC_metadata_provided!$A$2:$M$826, 13, FALSE)</f>
        <v>0</v>
      </c>
      <c r="O411">
        <f>VLOOKUP($C411, Egli_UPEC_metadata_provided!$A$2:$N$826, 14, FALSE)</f>
        <v>0</v>
      </c>
    </row>
    <row r="412" spans="1:15" x14ac:dyDescent="0.2">
      <c r="A412" t="s">
        <v>1298</v>
      </c>
      <c r="B412" t="s">
        <v>4146</v>
      </c>
      <c r="C412" t="s">
        <v>3455</v>
      </c>
      <c r="D412">
        <f>VLOOKUP($C412, Egli_UPEC_metadata_provided!$A$2:$M$826, 3, FALSE)</f>
        <v>2019</v>
      </c>
      <c r="E412" t="str">
        <f>VLOOKUP($C412, Egli_UPEC_metadata_provided!$A$2:$M$826, 4, FALSE)</f>
        <v>B2-1</v>
      </c>
      <c r="F412" t="str">
        <f>VLOOKUP($C412, Egli_UPEC_metadata_provided!$A$2:$M$826, 5, FALSE)</f>
        <v>w</v>
      </c>
      <c r="G412">
        <f>VLOOKUP($C412, Egli_UPEC_metadata_provided!$A$2:$M$826, 6, FALSE)</f>
        <v>0</v>
      </c>
      <c r="H412">
        <f>VLOOKUP($C412, Egli_UPEC_metadata_provided!$A$2:$M$826, 7, FALSE)</f>
        <v>0</v>
      </c>
      <c r="I412">
        <f>VLOOKUP($C412, Egli_UPEC_metadata_provided!$A$2:$M$826, 8, FALSE)</f>
        <v>84.265208475734795</v>
      </c>
      <c r="J412" t="b">
        <f>VLOOKUP($C412, Egli_UPEC_metadata_provided!$A$2:$M$826, 9, FALSE)</f>
        <v>1</v>
      </c>
      <c r="K412" t="str">
        <f>VLOOKUP($C412, Egli_UPEC_metadata_provided!$A$2:$M$826, 10, FALSE)</f>
        <v>NA</v>
      </c>
      <c r="L412" t="str">
        <f>VLOOKUP($C412, Egli_UPEC_metadata_provided!$A$2:$M$826, 11, FALSE)</f>
        <v>invasive</v>
      </c>
      <c r="M412">
        <f>VLOOKUP($C412, Egli_UPEC_metadata_provided!$A$2:$M$826, 12, FALSE)</f>
        <v>0</v>
      </c>
      <c r="N412">
        <f>VLOOKUP($C412, Egli_UPEC_metadata_provided!$A$2:$M$826, 13, FALSE)</f>
        <v>0</v>
      </c>
      <c r="O412">
        <f>VLOOKUP($C412, Egli_UPEC_metadata_provided!$A$2:$N$826, 14, FALSE)</f>
        <v>0</v>
      </c>
    </row>
    <row r="413" spans="1:15" x14ac:dyDescent="0.2">
      <c r="A413" t="s">
        <v>224</v>
      </c>
      <c r="B413" t="s">
        <v>3458</v>
      </c>
      <c r="C413" t="s">
        <v>3458</v>
      </c>
      <c r="D413">
        <f>VLOOKUP($C413, Egli_UPEC_metadata_provided!$A$2:$M$826, 3, FALSE)</f>
        <v>2019</v>
      </c>
      <c r="E413" t="str">
        <f>VLOOKUP($C413, Egli_UPEC_metadata_provided!$A$2:$M$826, 4, FALSE)</f>
        <v>B1</v>
      </c>
      <c r="F413" t="str">
        <f>VLOOKUP($C413, Egli_UPEC_metadata_provided!$A$2:$M$826, 5, FALSE)</f>
        <v>m</v>
      </c>
      <c r="G413">
        <f>VLOOKUP($C413, Egli_UPEC_metadata_provided!$A$2:$M$826, 6, FALSE)</f>
        <v>1</v>
      </c>
      <c r="H413">
        <f>VLOOKUP($C413, Egli_UPEC_metadata_provided!$A$2:$M$826, 7, FALSE)</f>
        <v>2</v>
      </c>
      <c r="I413">
        <f>VLOOKUP($C413, Egli_UPEC_metadata_provided!$A$2:$M$826, 8, FALSE)</f>
        <v>64.240601503759393</v>
      </c>
      <c r="J413" t="b">
        <f>VLOOKUP($C413, Egli_UPEC_metadata_provided!$A$2:$M$826, 9, FALSE)</f>
        <v>0</v>
      </c>
      <c r="K413">
        <f>VLOOKUP($C413, Egli_UPEC_metadata_provided!$A$2:$M$826, 10, FALSE)</f>
        <v>0</v>
      </c>
      <c r="L413" t="str">
        <f>VLOOKUP($C413, Egli_UPEC_metadata_provided!$A$2:$M$826, 11, FALSE)</f>
        <v>invasive</v>
      </c>
      <c r="M413">
        <f>VLOOKUP($C413, Egli_UPEC_metadata_provided!$A$2:$M$826, 12, FALSE)</f>
        <v>0</v>
      </c>
      <c r="N413">
        <f>VLOOKUP($C413, Egli_UPEC_metadata_provided!$A$2:$M$826, 13, FALSE)</f>
        <v>0</v>
      </c>
      <c r="O413">
        <f>VLOOKUP($C413, Egli_UPEC_metadata_provided!$A$2:$N$826, 14, FALSE)</f>
        <v>0</v>
      </c>
    </row>
    <row r="414" spans="1:15" x14ac:dyDescent="0.2">
      <c r="A414" t="s">
        <v>225</v>
      </c>
      <c r="B414" t="s">
        <v>3459</v>
      </c>
      <c r="C414" t="s">
        <v>3459</v>
      </c>
      <c r="D414">
        <f>VLOOKUP($C414, Egli_UPEC_metadata_provided!$A$2:$M$826, 3, FALSE)</f>
        <v>2019</v>
      </c>
      <c r="E414" t="str">
        <f>VLOOKUP($C414, Egli_UPEC_metadata_provided!$A$2:$M$826, 4, FALSE)</f>
        <v>D3</v>
      </c>
      <c r="F414" t="str">
        <f>VLOOKUP($C414, Egli_UPEC_metadata_provided!$A$2:$M$826, 5, FALSE)</f>
        <v>w</v>
      </c>
      <c r="G414">
        <f>VLOOKUP($C414, Egli_UPEC_metadata_provided!$A$2:$M$826, 6, FALSE)</f>
        <v>1</v>
      </c>
      <c r="H414">
        <f>VLOOKUP($C414, Egli_UPEC_metadata_provided!$A$2:$M$826, 7, FALSE)</f>
        <v>2</v>
      </c>
      <c r="I414">
        <f>VLOOKUP($C414, Egli_UPEC_metadata_provided!$A$2:$M$826, 8, FALSE)</f>
        <v>53.5174299384826</v>
      </c>
      <c r="J414" t="b">
        <f>VLOOKUP($C414, Egli_UPEC_metadata_provided!$A$2:$M$826, 9, FALSE)</f>
        <v>0</v>
      </c>
      <c r="K414" t="str">
        <f>VLOOKUP($C414, Egli_UPEC_metadata_provided!$A$2:$M$826, 10, FALSE)</f>
        <v>NA</v>
      </c>
      <c r="L414" t="str">
        <f>VLOOKUP($C414, Egli_UPEC_metadata_provided!$A$2:$M$826, 11, FALSE)</f>
        <v>invasive</v>
      </c>
      <c r="M414">
        <f>VLOOKUP($C414, Egli_UPEC_metadata_provided!$A$2:$M$826, 12, FALSE)</f>
        <v>0</v>
      </c>
      <c r="N414">
        <f>VLOOKUP($C414, Egli_UPEC_metadata_provided!$A$2:$M$826, 13, FALSE)</f>
        <v>0</v>
      </c>
      <c r="O414">
        <f>VLOOKUP($C414, Egli_UPEC_metadata_provided!$A$2:$N$826, 14, FALSE)</f>
        <v>0</v>
      </c>
    </row>
    <row r="415" spans="1:15" x14ac:dyDescent="0.2">
      <c r="A415" t="s">
        <v>230</v>
      </c>
      <c r="B415" t="s">
        <v>3464</v>
      </c>
      <c r="C415" t="s">
        <v>3464</v>
      </c>
      <c r="D415">
        <f>VLOOKUP($C415, Egli_UPEC_metadata_provided!$A$2:$M$826, 3, FALSE)</f>
        <v>2019</v>
      </c>
      <c r="E415" t="str">
        <f>VLOOKUP($C415, Egli_UPEC_metadata_provided!$A$2:$M$826, 4, FALSE)</f>
        <v>C</v>
      </c>
      <c r="F415" t="str">
        <f>VLOOKUP($C415, Egli_UPEC_metadata_provided!$A$2:$M$826, 5, FALSE)</f>
        <v>m</v>
      </c>
      <c r="G415">
        <f>VLOOKUP($C415, Egli_UPEC_metadata_provided!$A$2:$M$826, 6, FALSE)</f>
        <v>0</v>
      </c>
      <c r="H415">
        <f>VLOOKUP($C415, Egli_UPEC_metadata_provided!$A$2:$M$826, 7, FALSE)</f>
        <v>2</v>
      </c>
      <c r="I415">
        <f>VLOOKUP($C415, Egli_UPEC_metadata_provided!$A$2:$M$826, 8, FALSE)</f>
        <v>78.425153793574793</v>
      </c>
      <c r="J415" t="b">
        <f>VLOOKUP($C415, Egli_UPEC_metadata_provided!$A$2:$M$826, 9, FALSE)</f>
        <v>0</v>
      </c>
      <c r="K415">
        <f>VLOOKUP($C415, Egli_UPEC_metadata_provided!$A$2:$M$826, 10, FALSE)</f>
        <v>0</v>
      </c>
      <c r="L415" t="str">
        <f>VLOOKUP($C415, Egli_UPEC_metadata_provided!$A$2:$M$826, 11, FALSE)</f>
        <v>invasive</v>
      </c>
      <c r="M415">
        <f>VLOOKUP($C415, Egli_UPEC_metadata_provided!$A$2:$M$826, 12, FALSE)</f>
        <v>1</v>
      </c>
      <c r="N415">
        <f>VLOOKUP($C415, Egli_UPEC_metadata_provided!$A$2:$M$826, 13, FALSE)</f>
        <v>0</v>
      </c>
      <c r="O415">
        <f>VLOOKUP($C415, Egli_UPEC_metadata_provided!$A$2:$N$826, 14, FALSE)</f>
        <v>0</v>
      </c>
    </row>
    <row r="416" spans="1:15" x14ac:dyDescent="0.2">
      <c r="A416" t="s">
        <v>231</v>
      </c>
      <c r="B416" t="s">
        <v>3465</v>
      </c>
      <c r="C416" t="s">
        <v>3465</v>
      </c>
      <c r="D416">
        <f>VLOOKUP($C416, Egli_UPEC_metadata_provided!$A$2:$M$826, 3, FALSE)</f>
        <v>2019</v>
      </c>
      <c r="E416" t="str">
        <f>VLOOKUP($C416, Egli_UPEC_metadata_provided!$A$2:$M$826, 4, FALSE)</f>
        <v>B1</v>
      </c>
      <c r="F416" t="str">
        <f>VLOOKUP($C416, Egli_UPEC_metadata_provided!$A$2:$M$826, 5, FALSE)</f>
        <v>w</v>
      </c>
      <c r="G416">
        <f>VLOOKUP($C416, Egli_UPEC_metadata_provided!$A$2:$M$826, 6, FALSE)</f>
        <v>1</v>
      </c>
      <c r="H416">
        <f>VLOOKUP($C416, Egli_UPEC_metadata_provided!$A$2:$M$826, 7, FALSE)</f>
        <v>2</v>
      </c>
      <c r="I416">
        <f>VLOOKUP($C416, Egli_UPEC_metadata_provided!$A$2:$M$826, 8, FALSE)</f>
        <v>56.407382091592602</v>
      </c>
      <c r="J416" t="b">
        <f>VLOOKUP($C416, Egli_UPEC_metadata_provided!$A$2:$M$826, 9, FALSE)</f>
        <v>0</v>
      </c>
      <c r="K416">
        <f>VLOOKUP($C416, Egli_UPEC_metadata_provided!$A$2:$M$826, 10, FALSE)</f>
        <v>0</v>
      </c>
      <c r="L416" t="str">
        <f>VLOOKUP($C416, Egli_UPEC_metadata_provided!$A$2:$M$826, 11, FALSE)</f>
        <v>invasive</v>
      </c>
      <c r="M416">
        <f>VLOOKUP($C416, Egli_UPEC_metadata_provided!$A$2:$M$826, 12, FALSE)</f>
        <v>0</v>
      </c>
      <c r="N416">
        <f>VLOOKUP($C416, Egli_UPEC_metadata_provided!$A$2:$M$826, 13, FALSE)</f>
        <v>0</v>
      </c>
      <c r="O416">
        <f>VLOOKUP($C416, Egli_UPEC_metadata_provided!$A$2:$N$826, 14, FALSE)</f>
        <v>0</v>
      </c>
    </row>
    <row r="417" spans="1:15" x14ac:dyDescent="0.2">
      <c r="A417" t="s">
        <v>232</v>
      </c>
      <c r="B417" t="s">
        <v>3466</v>
      </c>
      <c r="C417" t="s">
        <v>3466</v>
      </c>
      <c r="D417">
        <f>VLOOKUP($C417, Egli_UPEC_metadata_provided!$A$2:$M$826, 3, FALSE)</f>
        <v>2019</v>
      </c>
      <c r="E417" t="str">
        <f>VLOOKUP($C417, Egli_UPEC_metadata_provided!$A$2:$M$826, 4, FALSE)</f>
        <v>B2-1</v>
      </c>
      <c r="F417" t="str">
        <f>VLOOKUP($C417, Egli_UPEC_metadata_provided!$A$2:$M$826, 5, FALSE)</f>
        <v>w</v>
      </c>
      <c r="G417">
        <f>VLOOKUP($C417, Egli_UPEC_metadata_provided!$A$2:$M$826, 6, FALSE)</f>
        <v>0</v>
      </c>
      <c r="H417">
        <f>VLOOKUP($C417, Egli_UPEC_metadata_provided!$A$2:$M$826, 7, FALSE)</f>
        <v>1</v>
      </c>
      <c r="I417">
        <f>VLOOKUP($C417, Egli_UPEC_metadata_provided!$A$2:$M$826, 8, FALSE)</f>
        <v>79.100478468899496</v>
      </c>
      <c r="J417" t="b">
        <f>VLOOKUP($C417, Egli_UPEC_metadata_provided!$A$2:$M$826, 9, FALSE)</f>
        <v>0</v>
      </c>
      <c r="K417" t="str">
        <f>VLOOKUP($C417, Egli_UPEC_metadata_provided!$A$2:$M$826, 10, FALSE)</f>
        <v>NA</v>
      </c>
      <c r="L417" t="str">
        <f>VLOOKUP($C417, Egli_UPEC_metadata_provided!$A$2:$M$826, 11, FALSE)</f>
        <v>invasive</v>
      </c>
      <c r="M417">
        <f>VLOOKUP($C417, Egli_UPEC_metadata_provided!$A$2:$M$826, 12, FALSE)</f>
        <v>0</v>
      </c>
      <c r="N417">
        <f>VLOOKUP($C417, Egli_UPEC_metadata_provided!$A$2:$M$826, 13, FALSE)</f>
        <v>0</v>
      </c>
      <c r="O417">
        <f>VLOOKUP($C417, Egli_UPEC_metadata_provided!$A$2:$N$826, 14, FALSE)</f>
        <v>1</v>
      </c>
    </row>
    <row r="418" spans="1:15" x14ac:dyDescent="0.2">
      <c r="A418" t="s">
        <v>236</v>
      </c>
      <c r="B418" t="s">
        <v>3470</v>
      </c>
      <c r="C418" t="s">
        <v>3470</v>
      </c>
      <c r="D418">
        <f>VLOOKUP($C418, Egli_UPEC_metadata_provided!$A$2:$M$826, 3, FALSE)</f>
        <v>2019</v>
      </c>
      <c r="E418" t="str">
        <f>VLOOKUP($C418, Egli_UPEC_metadata_provided!$A$2:$M$826, 4, FALSE)</f>
        <v>B2-1</v>
      </c>
      <c r="F418" t="str">
        <f>VLOOKUP($C418, Egli_UPEC_metadata_provided!$A$2:$M$826, 5, FALSE)</f>
        <v>w</v>
      </c>
      <c r="G418">
        <f>VLOOKUP($C418, Egli_UPEC_metadata_provided!$A$2:$M$826, 6, FALSE)</f>
        <v>0</v>
      </c>
      <c r="H418">
        <f>VLOOKUP($C418, Egli_UPEC_metadata_provided!$A$2:$M$826, 7, FALSE)</f>
        <v>0</v>
      </c>
      <c r="I418">
        <f>VLOOKUP($C418, Egli_UPEC_metadata_provided!$A$2:$M$826, 8, FALSE)</f>
        <v>84.3116883116883</v>
      </c>
      <c r="J418" t="b">
        <f>VLOOKUP($C418, Egli_UPEC_metadata_provided!$A$2:$M$826, 9, FALSE)</f>
        <v>1</v>
      </c>
      <c r="K418">
        <f>VLOOKUP($C418, Egli_UPEC_metadata_provided!$A$2:$M$826, 10, FALSE)</f>
        <v>1</v>
      </c>
      <c r="L418" t="str">
        <f>VLOOKUP($C418, Egli_UPEC_metadata_provided!$A$2:$M$826, 11, FALSE)</f>
        <v>invasive</v>
      </c>
      <c r="M418">
        <f>VLOOKUP($C418, Egli_UPEC_metadata_provided!$A$2:$M$826, 12, FALSE)</f>
        <v>0</v>
      </c>
      <c r="N418">
        <f>VLOOKUP($C418, Egli_UPEC_metadata_provided!$A$2:$M$826, 13, FALSE)</f>
        <v>0</v>
      </c>
      <c r="O418">
        <f>VLOOKUP($C418, Egli_UPEC_metadata_provided!$A$2:$N$826, 14, FALSE)</f>
        <v>0</v>
      </c>
    </row>
    <row r="419" spans="1:15" x14ac:dyDescent="0.2">
      <c r="A419" t="s">
        <v>237</v>
      </c>
      <c r="B419" t="s">
        <v>3471</v>
      </c>
      <c r="C419" t="s">
        <v>3471</v>
      </c>
      <c r="D419">
        <f>VLOOKUP($C419, Egli_UPEC_metadata_provided!$A$2:$M$826, 3, FALSE)</f>
        <v>2019</v>
      </c>
      <c r="E419" t="str">
        <f>VLOOKUP($C419, Egli_UPEC_metadata_provided!$A$2:$M$826, 4, FALSE)</f>
        <v>B2-1</v>
      </c>
      <c r="F419" t="str">
        <f>VLOOKUP($C419, Egli_UPEC_metadata_provided!$A$2:$M$826, 5, FALSE)</f>
        <v>m</v>
      </c>
      <c r="G419">
        <f>VLOOKUP($C419, Egli_UPEC_metadata_provided!$A$2:$M$826, 6, FALSE)</f>
        <v>0</v>
      </c>
      <c r="H419">
        <f>VLOOKUP($C419, Egli_UPEC_metadata_provided!$A$2:$M$826, 7, FALSE)</f>
        <v>4</v>
      </c>
      <c r="I419">
        <f>VLOOKUP($C419, Egli_UPEC_metadata_provided!$A$2:$M$826, 8, FALSE)</f>
        <v>85.008885850991106</v>
      </c>
      <c r="J419" t="b">
        <f>VLOOKUP($C419, Egli_UPEC_metadata_provided!$A$2:$M$826, 9, FALSE)</f>
        <v>0</v>
      </c>
      <c r="K419">
        <f>VLOOKUP($C419, Egli_UPEC_metadata_provided!$A$2:$M$826, 10, FALSE)</f>
        <v>1</v>
      </c>
      <c r="L419" t="str">
        <f>VLOOKUP($C419, Egli_UPEC_metadata_provided!$A$2:$M$826, 11, FALSE)</f>
        <v>invasive</v>
      </c>
      <c r="M419">
        <f>VLOOKUP($C419, Egli_UPEC_metadata_provided!$A$2:$M$826, 12, FALSE)</f>
        <v>0</v>
      </c>
      <c r="N419">
        <f>VLOOKUP($C419, Egli_UPEC_metadata_provided!$A$2:$M$826, 13, FALSE)</f>
        <v>0</v>
      </c>
      <c r="O419">
        <f>VLOOKUP($C419, Egli_UPEC_metadata_provided!$A$2:$N$826, 14, FALSE)</f>
        <v>0</v>
      </c>
    </row>
    <row r="420" spans="1:15" x14ac:dyDescent="0.2">
      <c r="A420" t="s">
        <v>239</v>
      </c>
      <c r="B420" t="s">
        <v>3473</v>
      </c>
      <c r="C420" t="s">
        <v>3473</v>
      </c>
      <c r="D420">
        <f>VLOOKUP($C420, Egli_UPEC_metadata_provided!$A$2:$M$826, 3, FALSE)</f>
        <v>2019</v>
      </c>
      <c r="E420" t="str">
        <f>VLOOKUP($C420, Egli_UPEC_metadata_provided!$A$2:$M$826, 4, FALSE)</f>
        <v>D1</v>
      </c>
      <c r="F420" t="str">
        <f>VLOOKUP($C420, Egli_UPEC_metadata_provided!$A$2:$M$826, 5, FALSE)</f>
        <v>m</v>
      </c>
      <c r="G420">
        <f>VLOOKUP($C420, Egli_UPEC_metadata_provided!$A$2:$M$826, 6, FALSE)</f>
        <v>1</v>
      </c>
      <c r="H420">
        <f>VLOOKUP($C420, Egli_UPEC_metadata_provided!$A$2:$M$826, 7, FALSE)</f>
        <v>3</v>
      </c>
      <c r="I420">
        <f>VLOOKUP($C420, Egli_UPEC_metadata_provided!$A$2:$M$826, 8, FALSE)</f>
        <v>79.543403964456601</v>
      </c>
      <c r="J420" t="b">
        <f>VLOOKUP($C420, Egli_UPEC_metadata_provided!$A$2:$M$826, 9, FALSE)</f>
        <v>0</v>
      </c>
      <c r="K420" t="str">
        <f>VLOOKUP($C420, Egli_UPEC_metadata_provided!$A$2:$M$826, 10, FALSE)</f>
        <v>NA</v>
      </c>
      <c r="L420" t="str">
        <f>VLOOKUP($C420, Egli_UPEC_metadata_provided!$A$2:$M$826, 11, FALSE)</f>
        <v>invasive</v>
      </c>
      <c r="M420">
        <f>VLOOKUP($C420, Egli_UPEC_metadata_provided!$A$2:$M$826, 12, FALSE)</f>
        <v>0</v>
      </c>
      <c r="N420">
        <f>VLOOKUP($C420, Egli_UPEC_metadata_provided!$A$2:$M$826, 13, FALSE)</f>
        <v>0</v>
      </c>
      <c r="O420">
        <f>VLOOKUP($C420, Egli_UPEC_metadata_provided!$A$2:$N$826, 14, FALSE)</f>
        <v>0</v>
      </c>
    </row>
    <row r="421" spans="1:15" x14ac:dyDescent="0.2">
      <c r="A421" t="s">
        <v>241</v>
      </c>
      <c r="B421" t="s">
        <v>3475</v>
      </c>
      <c r="C421" t="s">
        <v>3475</v>
      </c>
      <c r="D421">
        <f>VLOOKUP($C421, Egli_UPEC_metadata_provided!$A$2:$M$826, 3, FALSE)</f>
        <v>2019</v>
      </c>
      <c r="E421" t="str">
        <f>VLOOKUP($C421, Egli_UPEC_metadata_provided!$A$2:$M$826, 4, FALSE)</f>
        <v>F</v>
      </c>
      <c r="F421" t="str">
        <f>VLOOKUP($C421, Egli_UPEC_metadata_provided!$A$2:$M$826, 5, FALSE)</f>
        <v>w</v>
      </c>
      <c r="G421">
        <f>VLOOKUP($C421, Egli_UPEC_metadata_provided!$A$2:$M$826, 6, FALSE)</f>
        <v>1</v>
      </c>
      <c r="H421">
        <f>VLOOKUP($C421, Egli_UPEC_metadata_provided!$A$2:$M$826, 7, FALSE)</f>
        <v>3</v>
      </c>
      <c r="I421">
        <f>VLOOKUP($C421, Egli_UPEC_metadata_provided!$A$2:$M$826, 8, FALSE)</f>
        <v>65.019822282980201</v>
      </c>
      <c r="J421" t="b">
        <f>VLOOKUP($C421, Egli_UPEC_metadata_provided!$A$2:$M$826, 9, FALSE)</f>
        <v>1</v>
      </c>
      <c r="K421">
        <f>VLOOKUP($C421, Egli_UPEC_metadata_provided!$A$2:$M$826, 10, FALSE)</f>
        <v>0</v>
      </c>
      <c r="L421" t="str">
        <f>VLOOKUP($C421, Egli_UPEC_metadata_provided!$A$2:$M$826, 11, FALSE)</f>
        <v>invasive</v>
      </c>
      <c r="M421">
        <f>VLOOKUP($C421, Egli_UPEC_metadata_provided!$A$2:$M$826, 12, FALSE)</f>
        <v>0</v>
      </c>
      <c r="N421">
        <f>VLOOKUP($C421, Egli_UPEC_metadata_provided!$A$2:$M$826, 13, FALSE)</f>
        <v>0</v>
      </c>
      <c r="O421">
        <f>VLOOKUP($C421, Egli_UPEC_metadata_provided!$A$2:$N$826, 14, FALSE)</f>
        <v>1</v>
      </c>
    </row>
    <row r="422" spans="1:15" x14ac:dyDescent="0.2">
      <c r="A422" t="s">
        <v>242</v>
      </c>
      <c r="B422" t="s">
        <v>3476</v>
      </c>
      <c r="C422" t="s">
        <v>3476</v>
      </c>
      <c r="D422">
        <f>VLOOKUP($C422, Egli_UPEC_metadata_provided!$A$2:$M$826, 3, FALSE)</f>
        <v>2019</v>
      </c>
      <c r="E422" t="str">
        <f>VLOOKUP($C422, Egli_UPEC_metadata_provided!$A$2:$M$826, 4, FALSE)</f>
        <v>B1</v>
      </c>
      <c r="F422" t="str">
        <f>VLOOKUP($C422, Egli_UPEC_metadata_provided!$A$2:$M$826, 5, FALSE)</f>
        <v>m</v>
      </c>
      <c r="G422">
        <f>VLOOKUP($C422, Egli_UPEC_metadata_provided!$A$2:$M$826, 6, FALSE)</f>
        <v>0</v>
      </c>
      <c r="H422">
        <f>VLOOKUP($C422, Egli_UPEC_metadata_provided!$A$2:$M$826, 7, FALSE)</f>
        <v>3</v>
      </c>
      <c r="I422">
        <f>VLOOKUP($C422, Egli_UPEC_metadata_provided!$A$2:$M$826, 8, FALSE)</f>
        <v>75.346548188653401</v>
      </c>
      <c r="J422" t="b">
        <f>VLOOKUP($C422, Egli_UPEC_metadata_provided!$A$2:$M$826, 9, FALSE)</f>
        <v>0</v>
      </c>
      <c r="K422">
        <f>VLOOKUP($C422, Egli_UPEC_metadata_provided!$A$2:$M$826, 10, FALSE)</f>
        <v>0</v>
      </c>
      <c r="L422" t="str">
        <f>VLOOKUP($C422, Egli_UPEC_metadata_provided!$A$2:$M$826, 11, FALSE)</f>
        <v>invasive</v>
      </c>
      <c r="M422">
        <f>VLOOKUP($C422, Egli_UPEC_metadata_provided!$A$2:$M$826, 12, FALSE)</f>
        <v>1</v>
      </c>
      <c r="N422">
        <f>VLOOKUP($C422, Egli_UPEC_metadata_provided!$A$2:$M$826, 13, FALSE)</f>
        <v>1</v>
      </c>
      <c r="O422">
        <f>VLOOKUP($C422, Egli_UPEC_metadata_provided!$A$2:$N$826, 14, FALSE)</f>
        <v>0</v>
      </c>
    </row>
    <row r="423" spans="1:15" x14ac:dyDescent="0.2">
      <c r="A423" t="s">
        <v>243</v>
      </c>
      <c r="B423" t="s">
        <v>3477</v>
      </c>
      <c r="C423" t="s">
        <v>3477</v>
      </c>
      <c r="D423">
        <f>VLOOKUP($C423, Egli_UPEC_metadata_provided!$A$2:$M$826, 3, FALSE)</f>
        <v>2019</v>
      </c>
      <c r="E423" t="str">
        <f>VLOOKUP($C423, Egli_UPEC_metadata_provided!$A$2:$M$826, 4, FALSE)</f>
        <v>B2-2</v>
      </c>
      <c r="F423" t="str">
        <f>VLOOKUP($C423, Egli_UPEC_metadata_provided!$A$2:$M$826, 5, FALSE)</f>
        <v>w</v>
      </c>
      <c r="G423">
        <f>VLOOKUP($C423, Egli_UPEC_metadata_provided!$A$2:$M$826, 6, FALSE)</f>
        <v>0</v>
      </c>
      <c r="H423">
        <f>VLOOKUP($C423, Egli_UPEC_metadata_provided!$A$2:$M$826, 7, FALSE)</f>
        <v>6</v>
      </c>
      <c r="I423">
        <f>VLOOKUP($C423, Egli_UPEC_metadata_provided!$A$2:$M$826, 8, FALSE)</f>
        <v>74.725905673274099</v>
      </c>
      <c r="J423" t="b">
        <f>VLOOKUP($C423, Egli_UPEC_metadata_provided!$A$2:$M$826, 9, FALSE)</f>
        <v>1</v>
      </c>
      <c r="K423">
        <f>VLOOKUP($C423, Egli_UPEC_metadata_provided!$A$2:$M$826, 10, FALSE)</f>
        <v>0</v>
      </c>
      <c r="L423" t="str">
        <f>VLOOKUP($C423, Egli_UPEC_metadata_provided!$A$2:$M$826, 11, FALSE)</f>
        <v>invasive</v>
      </c>
      <c r="M423">
        <f>VLOOKUP($C423, Egli_UPEC_metadata_provided!$A$2:$M$826, 12, FALSE)</f>
        <v>0</v>
      </c>
      <c r="N423">
        <f>VLOOKUP($C423, Egli_UPEC_metadata_provided!$A$2:$M$826, 13, FALSE)</f>
        <v>0</v>
      </c>
      <c r="O423">
        <f>VLOOKUP($C423, Egli_UPEC_metadata_provided!$A$2:$N$826, 14, FALSE)</f>
        <v>0</v>
      </c>
    </row>
    <row r="424" spans="1:15" x14ac:dyDescent="0.2">
      <c r="A424" t="s">
        <v>247</v>
      </c>
      <c r="B424" t="s">
        <v>3481</v>
      </c>
      <c r="C424" t="s">
        <v>3481</v>
      </c>
      <c r="D424">
        <f>VLOOKUP($C424, Egli_UPEC_metadata_provided!$A$2:$M$826, 3, FALSE)</f>
        <v>2019</v>
      </c>
      <c r="E424" t="str">
        <f>VLOOKUP($C424, Egli_UPEC_metadata_provided!$A$2:$M$826, 4, FALSE)</f>
        <v>B2-2</v>
      </c>
      <c r="F424" t="str">
        <f>VLOOKUP($C424, Egli_UPEC_metadata_provided!$A$2:$M$826, 5, FALSE)</f>
        <v>m</v>
      </c>
      <c r="G424">
        <f>VLOOKUP($C424, Egli_UPEC_metadata_provided!$A$2:$M$826, 6, FALSE)</f>
        <v>0</v>
      </c>
      <c r="H424">
        <f>VLOOKUP($C424, Egli_UPEC_metadata_provided!$A$2:$M$826, 7, FALSE)</f>
        <v>2</v>
      </c>
      <c r="I424">
        <f>VLOOKUP($C424, Egli_UPEC_metadata_provided!$A$2:$M$826, 8, FALSE)</f>
        <v>79.294600136705398</v>
      </c>
      <c r="J424" t="b">
        <f>VLOOKUP($C424, Egli_UPEC_metadata_provided!$A$2:$M$826, 9, FALSE)</f>
        <v>0</v>
      </c>
      <c r="K424" t="str">
        <f>VLOOKUP($C424, Egli_UPEC_metadata_provided!$A$2:$M$826, 10, FALSE)</f>
        <v>NA</v>
      </c>
      <c r="L424" t="str">
        <f>VLOOKUP($C424, Egli_UPEC_metadata_provided!$A$2:$M$826, 11, FALSE)</f>
        <v>invasive</v>
      </c>
      <c r="M424">
        <f>VLOOKUP($C424, Egli_UPEC_metadata_provided!$A$2:$M$826, 12, FALSE)</f>
        <v>1</v>
      </c>
      <c r="N424">
        <f>VLOOKUP($C424, Egli_UPEC_metadata_provided!$A$2:$M$826, 13, FALSE)</f>
        <v>0</v>
      </c>
      <c r="O424">
        <f>VLOOKUP($C424, Egli_UPEC_metadata_provided!$A$2:$N$826, 14, FALSE)</f>
        <v>1</v>
      </c>
    </row>
    <row r="425" spans="1:15" x14ac:dyDescent="0.2">
      <c r="A425" t="s">
        <v>250</v>
      </c>
      <c r="B425" t="s">
        <v>3484</v>
      </c>
      <c r="C425" t="s">
        <v>3484</v>
      </c>
      <c r="D425">
        <f>VLOOKUP($C425, Egli_UPEC_metadata_provided!$A$2:$M$826, 3, FALSE)</f>
        <v>2019</v>
      </c>
      <c r="E425" t="str">
        <f>VLOOKUP($C425, Egli_UPEC_metadata_provided!$A$2:$M$826, 4, FALSE)</f>
        <v>B2-2</v>
      </c>
      <c r="F425" t="str">
        <f>VLOOKUP($C425, Egli_UPEC_metadata_provided!$A$2:$M$826, 5, FALSE)</f>
        <v>w</v>
      </c>
      <c r="G425">
        <f>VLOOKUP($C425, Egli_UPEC_metadata_provided!$A$2:$M$826, 6, FALSE)</f>
        <v>0</v>
      </c>
      <c r="H425">
        <f>VLOOKUP($C425, Egli_UPEC_metadata_provided!$A$2:$M$826, 7, FALSE)</f>
        <v>3</v>
      </c>
      <c r="I425">
        <f>VLOOKUP($C425, Egli_UPEC_metadata_provided!$A$2:$M$826, 8, FALSE)</f>
        <v>86.739576213260406</v>
      </c>
      <c r="J425" t="b">
        <f>VLOOKUP($C425, Egli_UPEC_metadata_provided!$A$2:$M$826, 9, FALSE)</f>
        <v>1</v>
      </c>
      <c r="K425" t="str">
        <f>VLOOKUP($C425, Egli_UPEC_metadata_provided!$A$2:$M$826, 10, FALSE)</f>
        <v>NA</v>
      </c>
      <c r="L425" t="str">
        <f>VLOOKUP($C425, Egli_UPEC_metadata_provided!$A$2:$M$826, 11, FALSE)</f>
        <v>invasive</v>
      </c>
      <c r="M425">
        <f>VLOOKUP($C425, Egli_UPEC_metadata_provided!$A$2:$M$826, 12, FALSE)</f>
        <v>0</v>
      </c>
      <c r="N425">
        <f>VLOOKUP($C425, Egli_UPEC_metadata_provided!$A$2:$M$826, 13, FALSE)</f>
        <v>0</v>
      </c>
      <c r="O425">
        <f>VLOOKUP($C425, Egli_UPEC_metadata_provided!$A$2:$N$826, 14, FALSE)</f>
        <v>1</v>
      </c>
    </row>
    <row r="426" spans="1:15" x14ac:dyDescent="0.2">
      <c r="A426" t="s">
        <v>252</v>
      </c>
      <c r="B426" t="s">
        <v>3486</v>
      </c>
      <c r="C426" t="s">
        <v>3486</v>
      </c>
      <c r="D426">
        <f>VLOOKUP($C426, Egli_UPEC_metadata_provided!$A$2:$M$826, 3, FALSE)</f>
        <v>2019</v>
      </c>
      <c r="E426" t="str">
        <f>VLOOKUP($C426, Egli_UPEC_metadata_provided!$A$2:$M$826, 4, FALSE)</f>
        <v>D1</v>
      </c>
      <c r="F426" t="str">
        <f>VLOOKUP($C426, Egli_UPEC_metadata_provided!$A$2:$M$826, 5, FALSE)</f>
        <v>m</v>
      </c>
      <c r="G426">
        <f>VLOOKUP($C426, Egli_UPEC_metadata_provided!$A$2:$M$826, 6, FALSE)</f>
        <v>1</v>
      </c>
      <c r="H426">
        <f>VLOOKUP($C426, Egli_UPEC_metadata_provided!$A$2:$M$826, 7, FALSE)</f>
        <v>2</v>
      </c>
      <c r="I426">
        <f>VLOOKUP($C426, Egli_UPEC_metadata_provided!$A$2:$M$826, 8, FALSE)</f>
        <v>68.473000683527005</v>
      </c>
      <c r="J426" t="b">
        <f>VLOOKUP($C426, Egli_UPEC_metadata_provided!$A$2:$M$826, 9, FALSE)</f>
        <v>1</v>
      </c>
      <c r="K426" t="str">
        <f>VLOOKUP($C426, Egli_UPEC_metadata_provided!$A$2:$M$826, 10, FALSE)</f>
        <v>NA</v>
      </c>
      <c r="L426" t="str">
        <f>VLOOKUP($C426, Egli_UPEC_metadata_provided!$A$2:$M$826, 11, FALSE)</f>
        <v>invasive</v>
      </c>
      <c r="M426">
        <f>VLOOKUP($C426, Egli_UPEC_metadata_provided!$A$2:$M$826, 12, FALSE)</f>
        <v>1</v>
      </c>
      <c r="N426">
        <f>VLOOKUP($C426, Egli_UPEC_metadata_provided!$A$2:$M$826, 13, FALSE)</f>
        <v>1</v>
      </c>
      <c r="O426">
        <f>VLOOKUP($C426, Egli_UPEC_metadata_provided!$A$2:$N$826, 14, FALSE)</f>
        <v>0</v>
      </c>
    </row>
    <row r="427" spans="1:15" x14ac:dyDescent="0.2">
      <c r="A427" t="s">
        <v>253</v>
      </c>
      <c r="B427" t="s">
        <v>3487</v>
      </c>
      <c r="C427" t="s">
        <v>3487</v>
      </c>
      <c r="D427">
        <f>VLOOKUP($C427, Egli_UPEC_metadata_provided!$A$2:$M$826, 3, FALSE)</f>
        <v>2019</v>
      </c>
      <c r="E427" t="str">
        <f>VLOOKUP($C427, Egli_UPEC_metadata_provided!$A$2:$M$826, 4, FALSE)</f>
        <v>B2-2</v>
      </c>
      <c r="F427" t="str">
        <f>VLOOKUP($C427, Egli_UPEC_metadata_provided!$A$2:$M$826, 5, FALSE)</f>
        <v>m</v>
      </c>
      <c r="G427">
        <f>VLOOKUP($C427, Egli_UPEC_metadata_provided!$A$2:$M$826, 6, FALSE)</f>
        <v>0</v>
      </c>
      <c r="H427">
        <f>VLOOKUP($C427, Egli_UPEC_metadata_provided!$A$2:$M$826, 7, FALSE)</f>
        <v>2</v>
      </c>
      <c r="I427">
        <f>VLOOKUP($C427, Egli_UPEC_metadata_provided!$A$2:$M$826, 8, FALSE)</f>
        <v>91.196172248803805</v>
      </c>
      <c r="J427" t="b">
        <f>VLOOKUP($C427, Egli_UPEC_metadata_provided!$A$2:$M$826, 9, FALSE)</f>
        <v>0</v>
      </c>
      <c r="K427" t="str">
        <f>VLOOKUP($C427, Egli_UPEC_metadata_provided!$A$2:$M$826, 10, FALSE)</f>
        <v>NA</v>
      </c>
      <c r="L427" t="str">
        <f>VLOOKUP($C427, Egli_UPEC_metadata_provided!$A$2:$M$826, 11, FALSE)</f>
        <v>invasive</v>
      </c>
      <c r="M427">
        <f>VLOOKUP($C427, Egli_UPEC_metadata_provided!$A$2:$M$826, 12, FALSE)</f>
        <v>0</v>
      </c>
      <c r="N427">
        <f>VLOOKUP($C427, Egli_UPEC_metadata_provided!$A$2:$M$826, 13, FALSE)</f>
        <v>1</v>
      </c>
      <c r="O427">
        <f>VLOOKUP($C427, Egli_UPEC_metadata_provided!$A$2:$N$826, 14, FALSE)</f>
        <v>0</v>
      </c>
    </row>
    <row r="428" spans="1:15" x14ac:dyDescent="0.2">
      <c r="A428" t="s">
        <v>256</v>
      </c>
      <c r="B428" t="s">
        <v>3490</v>
      </c>
      <c r="C428" t="s">
        <v>3490</v>
      </c>
      <c r="D428">
        <f>VLOOKUP($C428, Egli_UPEC_metadata_provided!$A$2:$M$826, 3, FALSE)</f>
        <v>2019</v>
      </c>
      <c r="E428" t="str">
        <f>VLOOKUP($C428, Egli_UPEC_metadata_provided!$A$2:$M$826, 4, FALSE)</f>
        <v>B2-2</v>
      </c>
      <c r="F428" t="str">
        <f>VLOOKUP($C428, Egli_UPEC_metadata_provided!$A$2:$M$826, 5, FALSE)</f>
        <v>m</v>
      </c>
      <c r="G428">
        <f>VLOOKUP($C428, Egli_UPEC_metadata_provided!$A$2:$M$826, 6, FALSE)</f>
        <v>0</v>
      </c>
      <c r="H428">
        <f>VLOOKUP($C428, Egli_UPEC_metadata_provided!$A$2:$M$826, 7, FALSE)</f>
        <v>2</v>
      </c>
      <c r="I428">
        <f>VLOOKUP($C428, Egli_UPEC_metadata_provided!$A$2:$M$826, 8, FALSE)</f>
        <v>69.842788790157201</v>
      </c>
      <c r="J428" t="b">
        <f>VLOOKUP($C428, Egli_UPEC_metadata_provided!$A$2:$M$826, 9, FALSE)</f>
        <v>0</v>
      </c>
      <c r="K428" t="str">
        <f>VLOOKUP($C428, Egli_UPEC_metadata_provided!$A$2:$M$826, 10, FALSE)</f>
        <v>NA</v>
      </c>
      <c r="L428" t="str">
        <f>VLOOKUP($C428, Egli_UPEC_metadata_provided!$A$2:$M$826, 11, FALSE)</f>
        <v>invasive</v>
      </c>
      <c r="M428">
        <f>VLOOKUP($C428, Egli_UPEC_metadata_provided!$A$2:$M$826, 12, FALSE)</f>
        <v>0</v>
      </c>
      <c r="N428">
        <f>VLOOKUP($C428, Egli_UPEC_metadata_provided!$A$2:$M$826, 13, FALSE)</f>
        <v>0</v>
      </c>
      <c r="O428">
        <f>VLOOKUP($C428, Egli_UPEC_metadata_provided!$A$2:$N$826, 14, FALSE)</f>
        <v>1</v>
      </c>
    </row>
    <row r="429" spans="1:15" x14ac:dyDescent="0.2">
      <c r="A429" t="s">
        <v>263</v>
      </c>
      <c r="B429" t="s">
        <v>3497</v>
      </c>
      <c r="C429" t="s">
        <v>3497</v>
      </c>
      <c r="D429">
        <f>VLOOKUP($C429, Egli_UPEC_metadata_provided!$A$2:$M$826, 3, FALSE)</f>
        <v>2019</v>
      </c>
      <c r="E429" t="str">
        <f>VLOOKUP($C429, Egli_UPEC_metadata_provided!$A$2:$M$826, 4, FALSE)</f>
        <v>B2-2</v>
      </c>
      <c r="F429" t="str">
        <f>VLOOKUP($C429, Egli_UPEC_metadata_provided!$A$2:$M$826, 5, FALSE)</f>
        <v>m</v>
      </c>
      <c r="G429">
        <f>VLOOKUP($C429, Egli_UPEC_metadata_provided!$A$2:$M$826, 6, FALSE)</f>
        <v>0</v>
      </c>
      <c r="H429">
        <f>VLOOKUP($C429, Egli_UPEC_metadata_provided!$A$2:$M$826, 7, FALSE)</f>
        <v>4</v>
      </c>
      <c r="I429">
        <f>VLOOKUP($C429, Egli_UPEC_metadata_provided!$A$2:$M$826, 8, FALSE)</f>
        <v>83.053998632946005</v>
      </c>
      <c r="J429" t="b">
        <f>VLOOKUP($C429, Egli_UPEC_metadata_provided!$A$2:$M$826, 9, FALSE)</f>
        <v>1</v>
      </c>
      <c r="K429">
        <f>VLOOKUP($C429, Egli_UPEC_metadata_provided!$A$2:$M$826, 10, FALSE)</f>
        <v>0</v>
      </c>
      <c r="L429" t="str">
        <f>VLOOKUP($C429, Egli_UPEC_metadata_provided!$A$2:$M$826, 11, FALSE)</f>
        <v>invasive</v>
      </c>
      <c r="M429">
        <f>VLOOKUP($C429, Egli_UPEC_metadata_provided!$A$2:$M$826, 12, FALSE)</f>
        <v>1</v>
      </c>
      <c r="N429">
        <f>VLOOKUP($C429, Egli_UPEC_metadata_provided!$A$2:$M$826, 13, FALSE)</f>
        <v>1</v>
      </c>
      <c r="O429">
        <f>VLOOKUP($C429, Egli_UPEC_metadata_provided!$A$2:$N$826, 14, FALSE)</f>
        <v>0</v>
      </c>
    </row>
    <row r="430" spans="1:15" x14ac:dyDescent="0.2">
      <c r="A430" t="s">
        <v>264</v>
      </c>
      <c r="B430" t="s">
        <v>3498</v>
      </c>
      <c r="C430" t="s">
        <v>3498</v>
      </c>
      <c r="D430">
        <f>VLOOKUP($C430, Egli_UPEC_metadata_provided!$A$2:$M$826, 3, FALSE)</f>
        <v>2019</v>
      </c>
      <c r="E430" t="str">
        <f>VLOOKUP($C430, Egli_UPEC_metadata_provided!$A$2:$M$826, 4, FALSE)</f>
        <v>B2-2</v>
      </c>
      <c r="F430" t="str">
        <f>VLOOKUP($C430, Egli_UPEC_metadata_provided!$A$2:$M$826, 5, FALSE)</f>
        <v>w</v>
      </c>
      <c r="G430">
        <f>VLOOKUP($C430, Egli_UPEC_metadata_provided!$A$2:$M$826, 6, FALSE)</f>
        <v>0</v>
      </c>
      <c r="H430">
        <f>VLOOKUP($C430, Egli_UPEC_metadata_provided!$A$2:$M$826, 7, FALSE)</f>
        <v>0</v>
      </c>
      <c r="I430">
        <f>VLOOKUP($C430, Egli_UPEC_metadata_provided!$A$2:$M$826, 8, FALSE)</f>
        <v>55.562542720437499</v>
      </c>
      <c r="J430" t="b">
        <f>VLOOKUP($C430, Egli_UPEC_metadata_provided!$A$2:$M$826, 9, FALSE)</f>
        <v>1</v>
      </c>
      <c r="K430">
        <f>VLOOKUP($C430, Egli_UPEC_metadata_provided!$A$2:$M$826, 10, FALSE)</f>
        <v>0</v>
      </c>
      <c r="L430" t="str">
        <f>VLOOKUP($C430, Egli_UPEC_metadata_provided!$A$2:$M$826, 11, FALSE)</f>
        <v>invasive</v>
      </c>
      <c r="M430">
        <f>VLOOKUP($C430, Egli_UPEC_metadata_provided!$A$2:$M$826, 12, FALSE)</f>
        <v>1</v>
      </c>
      <c r="N430">
        <f>VLOOKUP($C430, Egli_UPEC_metadata_provided!$A$2:$M$826, 13, FALSE)</f>
        <v>0</v>
      </c>
      <c r="O430">
        <f>VLOOKUP($C430, Egli_UPEC_metadata_provided!$A$2:$N$826, 14, FALSE)</f>
        <v>0</v>
      </c>
    </row>
    <row r="431" spans="1:15" x14ac:dyDescent="0.2">
      <c r="A431" t="s">
        <v>268</v>
      </c>
      <c r="B431" t="s">
        <v>3502</v>
      </c>
      <c r="C431" t="s">
        <v>3502</v>
      </c>
      <c r="D431">
        <f>VLOOKUP($C431, Egli_UPEC_metadata_provided!$A$2:$M$826, 3, FALSE)</f>
        <v>2019</v>
      </c>
      <c r="E431" t="str">
        <f>VLOOKUP($C431, Egli_UPEC_metadata_provided!$A$2:$M$826, 4, FALSE)</f>
        <v>B2-2</v>
      </c>
      <c r="F431" t="str">
        <f>VLOOKUP($C431, Egli_UPEC_metadata_provided!$A$2:$M$826, 5, FALSE)</f>
        <v>w</v>
      </c>
      <c r="G431">
        <f>VLOOKUP($C431, Egli_UPEC_metadata_provided!$A$2:$M$826, 6, FALSE)</f>
        <v>0</v>
      </c>
      <c r="H431">
        <f>VLOOKUP($C431, Egli_UPEC_metadata_provided!$A$2:$M$826, 7, FALSE)</f>
        <v>0</v>
      </c>
      <c r="I431">
        <f>VLOOKUP($C431, Egli_UPEC_metadata_provided!$A$2:$M$826, 8, FALSE)</f>
        <v>86.753246753246799</v>
      </c>
      <c r="J431" t="b">
        <f>VLOOKUP($C431, Egli_UPEC_metadata_provided!$A$2:$M$826, 9, FALSE)</f>
        <v>0</v>
      </c>
      <c r="K431" t="str">
        <f>VLOOKUP($C431, Egli_UPEC_metadata_provided!$A$2:$M$826, 10, FALSE)</f>
        <v>NA</v>
      </c>
      <c r="L431" t="str">
        <f>VLOOKUP($C431, Egli_UPEC_metadata_provided!$A$2:$M$826, 11, FALSE)</f>
        <v>invasive</v>
      </c>
      <c r="M431">
        <f>VLOOKUP($C431, Egli_UPEC_metadata_provided!$A$2:$M$826, 12, FALSE)</f>
        <v>1</v>
      </c>
      <c r="N431">
        <f>VLOOKUP($C431, Egli_UPEC_metadata_provided!$A$2:$M$826, 13, FALSE)</f>
        <v>0</v>
      </c>
      <c r="O431">
        <f>VLOOKUP($C431, Egli_UPEC_metadata_provided!$A$2:$N$826, 14, FALSE)</f>
        <v>0</v>
      </c>
    </row>
    <row r="432" spans="1:15" x14ac:dyDescent="0.2">
      <c r="A432" t="s">
        <v>270</v>
      </c>
      <c r="B432" t="s">
        <v>3504</v>
      </c>
      <c r="C432" t="s">
        <v>3504</v>
      </c>
      <c r="D432">
        <f>VLOOKUP($C432, Egli_UPEC_metadata_provided!$A$2:$M$826, 3, FALSE)</f>
        <v>2019</v>
      </c>
      <c r="E432" t="str">
        <f>VLOOKUP($C432, Egli_UPEC_metadata_provided!$A$2:$M$826, 4, FALSE)</f>
        <v>B1</v>
      </c>
      <c r="F432" t="str">
        <f>VLOOKUP($C432, Egli_UPEC_metadata_provided!$A$2:$M$826, 5, FALSE)</f>
        <v>m</v>
      </c>
      <c r="G432">
        <f>VLOOKUP($C432, Egli_UPEC_metadata_provided!$A$2:$M$826, 6, FALSE)</f>
        <v>1</v>
      </c>
      <c r="H432">
        <f>VLOOKUP($C432, Egli_UPEC_metadata_provided!$A$2:$M$826, 7, FALSE)</f>
        <v>2</v>
      </c>
      <c r="I432">
        <f>VLOOKUP($C432, Egli_UPEC_metadata_provided!$A$2:$M$826, 8, FALSE)</f>
        <v>46.925495557074498</v>
      </c>
      <c r="J432" t="b">
        <f>VLOOKUP($C432, Egli_UPEC_metadata_provided!$A$2:$M$826, 9, FALSE)</f>
        <v>0</v>
      </c>
      <c r="K432">
        <f>VLOOKUP($C432, Egli_UPEC_metadata_provided!$A$2:$M$826, 10, FALSE)</f>
        <v>0</v>
      </c>
      <c r="L432" t="str">
        <f>VLOOKUP($C432, Egli_UPEC_metadata_provided!$A$2:$M$826, 11, FALSE)</f>
        <v>invasive</v>
      </c>
      <c r="M432">
        <f>VLOOKUP($C432, Egli_UPEC_metadata_provided!$A$2:$M$826, 12, FALSE)</f>
        <v>0</v>
      </c>
      <c r="N432">
        <f>VLOOKUP($C432, Egli_UPEC_metadata_provided!$A$2:$M$826, 13, FALSE)</f>
        <v>0</v>
      </c>
      <c r="O432">
        <f>VLOOKUP($C432, Egli_UPEC_metadata_provided!$A$2:$N$826, 14, FALSE)</f>
        <v>0</v>
      </c>
    </row>
    <row r="433" spans="1:15" x14ac:dyDescent="0.2">
      <c r="A433" t="s">
        <v>276</v>
      </c>
      <c r="B433" t="s">
        <v>3510</v>
      </c>
      <c r="C433" t="s">
        <v>3510</v>
      </c>
      <c r="D433">
        <f>VLOOKUP($C433, Egli_UPEC_metadata_provided!$A$2:$M$826, 3, FALSE)</f>
        <v>2019</v>
      </c>
      <c r="E433" t="str">
        <f>VLOOKUP($C433, Egli_UPEC_metadata_provided!$A$2:$M$826, 4, FALSE)</f>
        <v>B2-1</v>
      </c>
      <c r="F433" t="str">
        <f>VLOOKUP($C433, Egli_UPEC_metadata_provided!$A$2:$M$826, 5, FALSE)</f>
        <v>m</v>
      </c>
      <c r="G433">
        <f>VLOOKUP($C433, Egli_UPEC_metadata_provided!$A$2:$M$826, 6, FALSE)</f>
        <v>0</v>
      </c>
      <c r="H433">
        <f>VLOOKUP($C433, Egli_UPEC_metadata_provided!$A$2:$M$826, 7, FALSE)</f>
        <v>3</v>
      </c>
      <c r="I433">
        <f>VLOOKUP($C433, Egli_UPEC_metadata_provided!$A$2:$M$826, 8, FALSE)</f>
        <v>82.066985645933002</v>
      </c>
      <c r="J433" t="b">
        <f>VLOOKUP($C433, Egli_UPEC_metadata_provided!$A$2:$M$826, 9, FALSE)</f>
        <v>0</v>
      </c>
      <c r="K433" t="str">
        <f>VLOOKUP($C433, Egli_UPEC_metadata_provided!$A$2:$M$826, 10, FALSE)</f>
        <v>NA</v>
      </c>
      <c r="L433" t="str">
        <f>VLOOKUP($C433, Egli_UPEC_metadata_provided!$A$2:$M$826, 11, FALSE)</f>
        <v>invasive</v>
      </c>
      <c r="M433">
        <f>VLOOKUP($C433, Egli_UPEC_metadata_provided!$A$2:$M$826, 12, FALSE)</f>
        <v>0</v>
      </c>
      <c r="N433">
        <f>VLOOKUP($C433, Egli_UPEC_metadata_provided!$A$2:$M$826, 13, FALSE)</f>
        <v>0</v>
      </c>
      <c r="O433">
        <f>VLOOKUP($C433, Egli_UPEC_metadata_provided!$A$2:$N$826, 14, FALSE)</f>
        <v>1</v>
      </c>
    </row>
    <row r="434" spans="1:15" x14ac:dyDescent="0.2">
      <c r="A434" t="s">
        <v>280</v>
      </c>
      <c r="B434" t="s">
        <v>3514</v>
      </c>
      <c r="C434" t="s">
        <v>3514</v>
      </c>
      <c r="D434">
        <f>VLOOKUP($C434, Egli_UPEC_metadata_provided!$A$2:$M$826, 3, FALSE)</f>
        <v>2019</v>
      </c>
      <c r="E434" t="str">
        <f>VLOOKUP($C434, Egli_UPEC_metadata_provided!$A$2:$M$826, 4, FALSE)</f>
        <v>B2-1</v>
      </c>
      <c r="F434" t="str">
        <f>VLOOKUP($C434, Egli_UPEC_metadata_provided!$A$2:$M$826, 5, FALSE)</f>
        <v>m</v>
      </c>
      <c r="G434">
        <f>VLOOKUP($C434, Egli_UPEC_metadata_provided!$A$2:$M$826, 6, FALSE)</f>
        <v>0</v>
      </c>
      <c r="H434">
        <f>VLOOKUP($C434, Egli_UPEC_metadata_provided!$A$2:$M$826, 7, FALSE)</f>
        <v>2</v>
      </c>
      <c r="I434">
        <f>VLOOKUP($C434, Egli_UPEC_metadata_provided!$A$2:$M$826, 8, FALSE)</f>
        <v>59.841421736158601</v>
      </c>
      <c r="J434" t="b">
        <f>VLOOKUP($C434, Egli_UPEC_metadata_provided!$A$2:$M$826, 9, FALSE)</f>
        <v>1</v>
      </c>
      <c r="K434">
        <f>VLOOKUP($C434, Egli_UPEC_metadata_provided!$A$2:$M$826, 10, FALSE)</f>
        <v>1</v>
      </c>
      <c r="L434" t="str">
        <f>VLOOKUP($C434, Egli_UPEC_metadata_provided!$A$2:$M$826, 11, FALSE)</f>
        <v>invasive</v>
      </c>
      <c r="M434">
        <f>VLOOKUP($C434, Egli_UPEC_metadata_provided!$A$2:$M$826, 12, FALSE)</f>
        <v>0</v>
      </c>
      <c r="N434">
        <f>VLOOKUP($C434, Egli_UPEC_metadata_provided!$A$2:$M$826, 13, FALSE)</f>
        <v>0</v>
      </c>
      <c r="O434">
        <f>VLOOKUP($C434, Egli_UPEC_metadata_provided!$A$2:$N$826, 14, FALSE)</f>
        <v>0</v>
      </c>
    </row>
    <row r="435" spans="1:15" x14ac:dyDescent="0.2">
      <c r="A435" t="s">
        <v>1449</v>
      </c>
      <c r="B435" t="s">
        <v>4185</v>
      </c>
      <c r="C435" t="s">
        <v>3517</v>
      </c>
      <c r="D435">
        <f>VLOOKUP($C435, Egli_UPEC_metadata_provided!$A$2:$M$826, 3, FALSE)</f>
        <v>2019</v>
      </c>
      <c r="E435" t="str">
        <f>VLOOKUP($C435, Egli_UPEC_metadata_provided!$A$2:$M$826, 4, FALSE)</f>
        <v>B2-2</v>
      </c>
      <c r="F435" t="str">
        <f>VLOOKUP($C435, Egli_UPEC_metadata_provided!$A$2:$M$826, 5, FALSE)</f>
        <v>w</v>
      </c>
      <c r="G435">
        <f>VLOOKUP($C435, Egli_UPEC_metadata_provided!$A$2:$M$826, 6, FALSE)</f>
        <v>0</v>
      </c>
      <c r="H435">
        <f>VLOOKUP($C435, Egli_UPEC_metadata_provided!$A$2:$M$826, 7, FALSE)</f>
        <v>0</v>
      </c>
      <c r="I435">
        <f>VLOOKUP($C435, Egli_UPEC_metadata_provided!$A$2:$M$826, 8, FALSE)</f>
        <v>53.069036226930997</v>
      </c>
      <c r="J435" t="b">
        <f>VLOOKUP($C435, Egli_UPEC_metadata_provided!$A$2:$M$826, 9, FALSE)</f>
        <v>0</v>
      </c>
      <c r="K435">
        <f>VLOOKUP($C435, Egli_UPEC_metadata_provided!$A$2:$M$826, 10, FALSE)</f>
        <v>0</v>
      </c>
      <c r="L435" t="str">
        <f>VLOOKUP($C435, Egli_UPEC_metadata_provided!$A$2:$M$826, 11, FALSE)</f>
        <v>invasive</v>
      </c>
      <c r="M435">
        <f>VLOOKUP($C435, Egli_UPEC_metadata_provided!$A$2:$M$826, 12, FALSE)</f>
        <v>1</v>
      </c>
      <c r="N435">
        <f>VLOOKUP($C435, Egli_UPEC_metadata_provided!$A$2:$M$826, 13, FALSE)</f>
        <v>0</v>
      </c>
      <c r="O435">
        <f>VLOOKUP($C435, Egli_UPEC_metadata_provided!$A$2:$N$826, 14, FALSE)</f>
        <v>1</v>
      </c>
    </row>
    <row r="436" spans="1:15" x14ac:dyDescent="0.2">
      <c r="A436" t="s">
        <v>1458</v>
      </c>
      <c r="B436" t="s">
        <v>4327</v>
      </c>
      <c r="C436" t="s">
        <v>3517</v>
      </c>
      <c r="D436">
        <f>VLOOKUP($C436, Egli_UPEC_metadata_provided!$A$2:$M$826, 3, FALSE)</f>
        <v>2019</v>
      </c>
      <c r="E436" t="str">
        <f>VLOOKUP($C436, Egli_UPEC_metadata_provided!$A$2:$M$826, 4, FALSE)</f>
        <v>B2-2</v>
      </c>
      <c r="F436" t="str">
        <f>VLOOKUP($C436, Egli_UPEC_metadata_provided!$A$2:$M$826, 5, FALSE)</f>
        <v>w</v>
      </c>
      <c r="G436">
        <f>VLOOKUP($C436, Egli_UPEC_metadata_provided!$A$2:$M$826, 6, FALSE)</f>
        <v>0</v>
      </c>
      <c r="H436">
        <f>VLOOKUP($C436, Egli_UPEC_metadata_provided!$A$2:$M$826, 7, FALSE)</f>
        <v>0</v>
      </c>
      <c r="I436">
        <f>VLOOKUP($C436, Egli_UPEC_metadata_provided!$A$2:$M$826, 8, FALSE)</f>
        <v>53.069036226930997</v>
      </c>
      <c r="J436" t="b">
        <f>VLOOKUP($C436, Egli_UPEC_metadata_provided!$A$2:$M$826, 9, FALSE)</f>
        <v>0</v>
      </c>
      <c r="K436">
        <f>VLOOKUP($C436, Egli_UPEC_metadata_provided!$A$2:$M$826, 10, FALSE)</f>
        <v>0</v>
      </c>
      <c r="L436" t="str">
        <f>VLOOKUP($C436, Egli_UPEC_metadata_provided!$A$2:$M$826, 11, FALSE)</f>
        <v>invasive</v>
      </c>
      <c r="M436">
        <f>VLOOKUP($C436, Egli_UPEC_metadata_provided!$A$2:$M$826, 12, FALSE)</f>
        <v>1</v>
      </c>
      <c r="N436">
        <f>VLOOKUP($C436, Egli_UPEC_metadata_provided!$A$2:$M$826, 13, FALSE)</f>
        <v>0</v>
      </c>
      <c r="O436">
        <f>VLOOKUP($C436, Egli_UPEC_metadata_provided!$A$2:$N$826, 14, FALSE)</f>
        <v>1</v>
      </c>
    </row>
    <row r="437" spans="1:15" x14ac:dyDescent="0.2">
      <c r="A437" t="s">
        <v>1461</v>
      </c>
      <c r="B437" t="s">
        <v>4328</v>
      </c>
      <c r="C437" t="s">
        <v>3517</v>
      </c>
      <c r="D437">
        <f>VLOOKUP($C437, Egli_UPEC_metadata_provided!$A$2:$M$826, 3, FALSE)</f>
        <v>2019</v>
      </c>
      <c r="E437" t="str">
        <f>VLOOKUP($C437, Egli_UPEC_metadata_provided!$A$2:$M$826, 4, FALSE)</f>
        <v>B2-2</v>
      </c>
      <c r="F437" t="str">
        <f>VLOOKUP($C437, Egli_UPEC_metadata_provided!$A$2:$M$826, 5, FALSE)</f>
        <v>w</v>
      </c>
      <c r="G437">
        <f>VLOOKUP($C437, Egli_UPEC_metadata_provided!$A$2:$M$826, 6, FALSE)</f>
        <v>0</v>
      </c>
      <c r="H437">
        <f>VLOOKUP($C437, Egli_UPEC_metadata_provided!$A$2:$M$826, 7, FALSE)</f>
        <v>0</v>
      </c>
      <c r="I437">
        <f>VLOOKUP($C437, Egli_UPEC_metadata_provided!$A$2:$M$826, 8, FALSE)</f>
        <v>53.069036226930997</v>
      </c>
      <c r="J437" t="b">
        <f>VLOOKUP($C437, Egli_UPEC_metadata_provided!$A$2:$M$826, 9, FALSE)</f>
        <v>0</v>
      </c>
      <c r="K437">
        <f>VLOOKUP($C437, Egli_UPEC_metadata_provided!$A$2:$M$826, 10, FALSE)</f>
        <v>0</v>
      </c>
      <c r="L437" t="str">
        <f>VLOOKUP($C437, Egli_UPEC_metadata_provided!$A$2:$M$826, 11, FALSE)</f>
        <v>invasive</v>
      </c>
      <c r="M437">
        <f>VLOOKUP($C437, Egli_UPEC_metadata_provided!$A$2:$M$826, 12, FALSE)</f>
        <v>1</v>
      </c>
      <c r="N437">
        <f>VLOOKUP($C437, Egli_UPEC_metadata_provided!$A$2:$M$826, 13, FALSE)</f>
        <v>0</v>
      </c>
      <c r="O437">
        <f>VLOOKUP($C437, Egli_UPEC_metadata_provided!$A$2:$N$826, 14, FALSE)</f>
        <v>1</v>
      </c>
    </row>
    <row r="438" spans="1:15" x14ac:dyDescent="0.2">
      <c r="A438" t="s">
        <v>1452</v>
      </c>
      <c r="B438" t="s">
        <v>4186</v>
      </c>
      <c r="C438" t="s">
        <v>3517</v>
      </c>
      <c r="D438">
        <f>VLOOKUP($C438, Egli_UPEC_metadata_provided!$A$2:$M$826, 3, FALSE)</f>
        <v>2019</v>
      </c>
      <c r="E438" t="str">
        <f>VLOOKUP($C438, Egli_UPEC_metadata_provided!$A$2:$M$826, 4, FALSE)</f>
        <v>B2-2</v>
      </c>
      <c r="F438" t="str">
        <f>VLOOKUP($C438, Egli_UPEC_metadata_provided!$A$2:$M$826, 5, FALSE)</f>
        <v>w</v>
      </c>
      <c r="G438">
        <f>VLOOKUP($C438, Egli_UPEC_metadata_provided!$A$2:$M$826, 6, FALSE)</f>
        <v>0</v>
      </c>
      <c r="H438">
        <f>VLOOKUP($C438, Egli_UPEC_metadata_provided!$A$2:$M$826, 7, FALSE)</f>
        <v>0</v>
      </c>
      <c r="I438">
        <f>VLOOKUP($C438, Egli_UPEC_metadata_provided!$A$2:$M$826, 8, FALSE)</f>
        <v>53.069036226930997</v>
      </c>
      <c r="J438" t="b">
        <f>VLOOKUP($C438, Egli_UPEC_metadata_provided!$A$2:$M$826, 9, FALSE)</f>
        <v>0</v>
      </c>
      <c r="K438">
        <f>VLOOKUP($C438, Egli_UPEC_metadata_provided!$A$2:$M$826, 10, FALSE)</f>
        <v>0</v>
      </c>
      <c r="L438" t="str">
        <f>VLOOKUP($C438, Egli_UPEC_metadata_provided!$A$2:$M$826, 11, FALSE)</f>
        <v>invasive</v>
      </c>
      <c r="M438">
        <f>VLOOKUP($C438, Egli_UPEC_metadata_provided!$A$2:$M$826, 12, FALSE)</f>
        <v>1</v>
      </c>
      <c r="N438">
        <f>VLOOKUP($C438, Egli_UPEC_metadata_provided!$A$2:$M$826, 13, FALSE)</f>
        <v>0</v>
      </c>
      <c r="O438">
        <f>VLOOKUP($C438, Egli_UPEC_metadata_provided!$A$2:$N$826, 14, FALSE)</f>
        <v>1</v>
      </c>
    </row>
    <row r="439" spans="1:15" x14ac:dyDescent="0.2">
      <c r="A439" t="s">
        <v>1464</v>
      </c>
      <c r="B439" t="s">
        <v>4329</v>
      </c>
      <c r="C439" t="s">
        <v>3517</v>
      </c>
      <c r="D439">
        <f>VLOOKUP($C439, Egli_UPEC_metadata_provided!$A$2:$M$826, 3, FALSE)</f>
        <v>2019</v>
      </c>
      <c r="E439" t="str">
        <f>VLOOKUP($C439, Egli_UPEC_metadata_provided!$A$2:$M$826, 4, FALSE)</f>
        <v>B2-2</v>
      </c>
      <c r="F439" t="str">
        <f>VLOOKUP($C439, Egli_UPEC_metadata_provided!$A$2:$M$826, 5, FALSE)</f>
        <v>w</v>
      </c>
      <c r="G439">
        <f>VLOOKUP($C439, Egli_UPEC_metadata_provided!$A$2:$M$826, 6, FALSE)</f>
        <v>0</v>
      </c>
      <c r="H439">
        <f>VLOOKUP($C439, Egli_UPEC_metadata_provided!$A$2:$M$826, 7, FALSE)</f>
        <v>0</v>
      </c>
      <c r="I439">
        <f>VLOOKUP($C439, Egli_UPEC_metadata_provided!$A$2:$M$826, 8, FALSE)</f>
        <v>53.069036226930997</v>
      </c>
      <c r="J439" t="b">
        <f>VLOOKUP($C439, Egli_UPEC_metadata_provided!$A$2:$M$826, 9, FALSE)</f>
        <v>0</v>
      </c>
      <c r="K439">
        <f>VLOOKUP($C439, Egli_UPEC_metadata_provided!$A$2:$M$826, 10, FALSE)</f>
        <v>0</v>
      </c>
      <c r="L439" t="str">
        <f>VLOOKUP($C439, Egli_UPEC_metadata_provided!$A$2:$M$826, 11, FALSE)</f>
        <v>invasive</v>
      </c>
      <c r="M439">
        <f>VLOOKUP($C439, Egli_UPEC_metadata_provided!$A$2:$M$826, 12, FALSE)</f>
        <v>1</v>
      </c>
      <c r="N439">
        <f>VLOOKUP($C439, Egli_UPEC_metadata_provided!$A$2:$M$826, 13, FALSE)</f>
        <v>0</v>
      </c>
      <c r="O439">
        <f>VLOOKUP($C439, Egli_UPEC_metadata_provided!$A$2:$N$826, 14, FALSE)</f>
        <v>1</v>
      </c>
    </row>
    <row r="440" spans="1:15" x14ac:dyDescent="0.2">
      <c r="A440" t="s">
        <v>1467</v>
      </c>
      <c r="B440" t="s">
        <v>4330</v>
      </c>
      <c r="C440" t="s">
        <v>3517</v>
      </c>
      <c r="D440">
        <f>VLOOKUP($C440, Egli_UPEC_metadata_provided!$A$2:$M$826, 3, FALSE)</f>
        <v>2019</v>
      </c>
      <c r="E440" t="str">
        <f>VLOOKUP($C440, Egli_UPEC_metadata_provided!$A$2:$M$826, 4, FALSE)</f>
        <v>B2-2</v>
      </c>
      <c r="F440" t="str">
        <f>VLOOKUP($C440, Egli_UPEC_metadata_provided!$A$2:$M$826, 5, FALSE)</f>
        <v>w</v>
      </c>
      <c r="G440">
        <f>VLOOKUP($C440, Egli_UPEC_metadata_provided!$A$2:$M$826, 6, FALSE)</f>
        <v>0</v>
      </c>
      <c r="H440">
        <f>VLOOKUP($C440, Egli_UPEC_metadata_provided!$A$2:$M$826, 7, FALSE)</f>
        <v>0</v>
      </c>
      <c r="I440">
        <f>VLOOKUP($C440, Egli_UPEC_metadata_provided!$A$2:$M$826, 8, FALSE)</f>
        <v>53.069036226930997</v>
      </c>
      <c r="J440" t="b">
        <f>VLOOKUP($C440, Egli_UPEC_metadata_provided!$A$2:$M$826, 9, FALSE)</f>
        <v>0</v>
      </c>
      <c r="K440">
        <f>VLOOKUP($C440, Egli_UPEC_metadata_provided!$A$2:$M$826, 10, FALSE)</f>
        <v>0</v>
      </c>
      <c r="L440" t="str">
        <f>VLOOKUP($C440, Egli_UPEC_metadata_provided!$A$2:$M$826, 11, FALSE)</f>
        <v>invasive</v>
      </c>
      <c r="M440">
        <f>VLOOKUP($C440, Egli_UPEC_metadata_provided!$A$2:$M$826, 12, FALSE)</f>
        <v>1</v>
      </c>
      <c r="N440">
        <f>VLOOKUP($C440, Egli_UPEC_metadata_provided!$A$2:$M$826, 13, FALSE)</f>
        <v>0</v>
      </c>
      <c r="O440">
        <f>VLOOKUP($C440, Egli_UPEC_metadata_provided!$A$2:$N$826, 14, FALSE)</f>
        <v>1</v>
      </c>
    </row>
    <row r="441" spans="1:15" x14ac:dyDescent="0.2">
      <c r="A441" t="s">
        <v>283</v>
      </c>
      <c r="B441" t="s">
        <v>4149</v>
      </c>
      <c r="C441" t="s">
        <v>3517</v>
      </c>
      <c r="D441">
        <f>VLOOKUP($C441, Egli_UPEC_metadata_provided!$A$2:$M$826, 3, FALSE)</f>
        <v>2019</v>
      </c>
      <c r="E441" t="str">
        <f>VLOOKUP($C441, Egli_UPEC_metadata_provided!$A$2:$M$826, 4, FALSE)</f>
        <v>B2-2</v>
      </c>
      <c r="F441" t="str">
        <f>VLOOKUP($C441, Egli_UPEC_metadata_provided!$A$2:$M$826, 5, FALSE)</f>
        <v>w</v>
      </c>
      <c r="G441">
        <f>VLOOKUP($C441, Egli_UPEC_metadata_provided!$A$2:$M$826, 6, FALSE)</f>
        <v>0</v>
      </c>
      <c r="H441">
        <f>VLOOKUP($C441, Egli_UPEC_metadata_provided!$A$2:$M$826, 7, FALSE)</f>
        <v>0</v>
      </c>
      <c r="I441">
        <f>VLOOKUP($C441, Egli_UPEC_metadata_provided!$A$2:$M$826, 8, FALSE)</f>
        <v>53.069036226930997</v>
      </c>
      <c r="J441" t="b">
        <f>VLOOKUP($C441, Egli_UPEC_metadata_provided!$A$2:$M$826, 9, FALSE)</f>
        <v>0</v>
      </c>
      <c r="K441">
        <f>VLOOKUP($C441, Egli_UPEC_metadata_provided!$A$2:$M$826, 10, FALSE)</f>
        <v>0</v>
      </c>
      <c r="L441" t="str">
        <f>VLOOKUP($C441, Egli_UPEC_metadata_provided!$A$2:$M$826, 11, FALSE)</f>
        <v>invasive</v>
      </c>
      <c r="M441">
        <f>VLOOKUP($C441, Egli_UPEC_metadata_provided!$A$2:$M$826, 12, FALSE)</f>
        <v>1</v>
      </c>
      <c r="N441">
        <f>VLOOKUP($C441, Egli_UPEC_metadata_provided!$A$2:$M$826, 13, FALSE)</f>
        <v>0</v>
      </c>
      <c r="O441">
        <f>VLOOKUP($C441, Egli_UPEC_metadata_provided!$A$2:$N$826, 14, FALSE)</f>
        <v>1</v>
      </c>
    </row>
    <row r="442" spans="1:15" x14ac:dyDescent="0.2">
      <c r="A442" t="s">
        <v>1470</v>
      </c>
      <c r="B442" t="s">
        <v>4331</v>
      </c>
      <c r="C442" t="s">
        <v>3517</v>
      </c>
      <c r="D442">
        <f>VLOOKUP($C442, Egli_UPEC_metadata_provided!$A$2:$M$826, 3, FALSE)</f>
        <v>2019</v>
      </c>
      <c r="E442" t="str">
        <f>VLOOKUP($C442, Egli_UPEC_metadata_provided!$A$2:$M$826, 4, FALSE)</f>
        <v>B2-2</v>
      </c>
      <c r="F442" t="str">
        <f>VLOOKUP($C442, Egli_UPEC_metadata_provided!$A$2:$M$826, 5, FALSE)</f>
        <v>w</v>
      </c>
      <c r="G442">
        <f>VLOOKUP($C442, Egli_UPEC_metadata_provided!$A$2:$M$826, 6, FALSE)</f>
        <v>0</v>
      </c>
      <c r="H442">
        <f>VLOOKUP($C442, Egli_UPEC_metadata_provided!$A$2:$M$826, 7, FALSE)</f>
        <v>0</v>
      </c>
      <c r="I442">
        <f>VLOOKUP($C442, Egli_UPEC_metadata_provided!$A$2:$M$826, 8, FALSE)</f>
        <v>53.069036226930997</v>
      </c>
      <c r="J442" t="b">
        <f>VLOOKUP($C442, Egli_UPEC_metadata_provided!$A$2:$M$826, 9, FALSE)</f>
        <v>0</v>
      </c>
      <c r="K442">
        <f>VLOOKUP($C442, Egli_UPEC_metadata_provided!$A$2:$M$826, 10, FALSE)</f>
        <v>0</v>
      </c>
      <c r="L442" t="str">
        <f>VLOOKUP($C442, Egli_UPEC_metadata_provided!$A$2:$M$826, 11, FALSE)</f>
        <v>invasive</v>
      </c>
      <c r="M442">
        <f>VLOOKUP($C442, Egli_UPEC_metadata_provided!$A$2:$M$826, 12, FALSE)</f>
        <v>1</v>
      </c>
      <c r="N442">
        <f>VLOOKUP($C442, Egli_UPEC_metadata_provided!$A$2:$M$826, 13, FALSE)</f>
        <v>0</v>
      </c>
      <c r="O442">
        <f>VLOOKUP($C442, Egli_UPEC_metadata_provided!$A$2:$N$826, 14, FALSE)</f>
        <v>1</v>
      </c>
    </row>
    <row r="443" spans="1:15" x14ac:dyDescent="0.2">
      <c r="A443" t="s">
        <v>1455</v>
      </c>
      <c r="B443" t="s">
        <v>4188</v>
      </c>
      <c r="C443" t="s">
        <v>3517</v>
      </c>
      <c r="D443">
        <f>VLOOKUP($C443, Egli_UPEC_metadata_provided!$A$2:$M$826, 3, FALSE)</f>
        <v>2019</v>
      </c>
      <c r="E443" t="str">
        <f>VLOOKUP($C443, Egli_UPEC_metadata_provided!$A$2:$M$826, 4, FALSE)</f>
        <v>B2-2</v>
      </c>
      <c r="F443" t="str">
        <f>VLOOKUP($C443, Egli_UPEC_metadata_provided!$A$2:$M$826, 5, FALSE)</f>
        <v>w</v>
      </c>
      <c r="G443">
        <f>VLOOKUP($C443, Egli_UPEC_metadata_provided!$A$2:$M$826, 6, FALSE)</f>
        <v>0</v>
      </c>
      <c r="H443">
        <f>VLOOKUP($C443, Egli_UPEC_metadata_provided!$A$2:$M$826, 7, FALSE)</f>
        <v>0</v>
      </c>
      <c r="I443">
        <f>VLOOKUP($C443, Egli_UPEC_metadata_provided!$A$2:$M$826, 8, FALSE)</f>
        <v>53.069036226930997</v>
      </c>
      <c r="J443" t="b">
        <f>VLOOKUP($C443, Egli_UPEC_metadata_provided!$A$2:$M$826, 9, FALSE)</f>
        <v>0</v>
      </c>
      <c r="K443">
        <f>VLOOKUP($C443, Egli_UPEC_metadata_provided!$A$2:$M$826, 10, FALSE)</f>
        <v>0</v>
      </c>
      <c r="L443" t="str">
        <f>VLOOKUP($C443, Egli_UPEC_metadata_provided!$A$2:$M$826, 11, FALSE)</f>
        <v>invasive</v>
      </c>
      <c r="M443">
        <f>VLOOKUP($C443, Egli_UPEC_metadata_provided!$A$2:$M$826, 12, FALSE)</f>
        <v>1</v>
      </c>
      <c r="N443">
        <f>VLOOKUP($C443, Egli_UPEC_metadata_provided!$A$2:$M$826, 13, FALSE)</f>
        <v>0</v>
      </c>
      <c r="O443">
        <f>VLOOKUP($C443, Egli_UPEC_metadata_provided!$A$2:$N$826, 14, FALSE)</f>
        <v>1</v>
      </c>
    </row>
    <row r="444" spans="1:15" x14ac:dyDescent="0.2">
      <c r="A444" t="s">
        <v>1446</v>
      </c>
      <c r="B444" t="s">
        <v>4150</v>
      </c>
      <c r="C444" t="s">
        <v>3517</v>
      </c>
      <c r="D444">
        <f>VLOOKUP($C444, Egli_UPEC_metadata_provided!$A$2:$M$826, 3, FALSE)</f>
        <v>2019</v>
      </c>
      <c r="E444" t="str">
        <f>VLOOKUP($C444, Egli_UPEC_metadata_provided!$A$2:$M$826, 4, FALSE)</f>
        <v>B2-2</v>
      </c>
      <c r="F444" t="str">
        <f>VLOOKUP($C444, Egli_UPEC_metadata_provided!$A$2:$M$826, 5, FALSE)</f>
        <v>w</v>
      </c>
      <c r="G444">
        <f>VLOOKUP($C444, Egli_UPEC_metadata_provided!$A$2:$M$826, 6, FALSE)</f>
        <v>0</v>
      </c>
      <c r="H444">
        <f>VLOOKUP($C444, Egli_UPEC_metadata_provided!$A$2:$M$826, 7, FALSE)</f>
        <v>0</v>
      </c>
      <c r="I444">
        <f>VLOOKUP($C444, Egli_UPEC_metadata_provided!$A$2:$M$826, 8, FALSE)</f>
        <v>53.069036226930997</v>
      </c>
      <c r="J444" t="b">
        <f>VLOOKUP($C444, Egli_UPEC_metadata_provided!$A$2:$M$826, 9, FALSE)</f>
        <v>0</v>
      </c>
      <c r="K444">
        <f>VLOOKUP($C444, Egli_UPEC_metadata_provided!$A$2:$M$826, 10, FALSE)</f>
        <v>0</v>
      </c>
      <c r="L444" t="str">
        <f>VLOOKUP($C444, Egli_UPEC_metadata_provided!$A$2:$M$826, 11, FALSE)</f>
        <v>invasive</v>
      </c>
      <c r="M444">
        <f>VLOOKUP($C444, Egli_UPEC_metadata_provided!$A$2:$M$826, 12, FALSE)</f>
        <v>1</v>
      </c>
      <c r="N444">
        <f>VLOOKUP($C444, Egli_UPEC_metadata_provided!$A$2:$M$826, 13, FALSE)</f>
        <v>0</v>
      </c>
      <c r="O444">
        <f>VLOOKUP($C444, Egli_UPEC_metadata_provided!$A$2:$N$826, 14, FALSE)</f>
        <v>1</v>
      </c>
    </row>
    <row r="445" spans="1:15" x14ac:dyDescent="0.2">
      <c r="A445" t="s">
        <v>284</v>
      </c>
      <c r="B445" t="s">
        <v>3518</v>
      </c>
      <c r="C445" t="s">
        <v>3518</v>
      </c>
      <c r="D445">
        <f>VLOOKUP($C445, Egli_UPEC_metadata_provided!$A$2:$M$826, 3, FALSE)</f>
        <v>2019</v>
      </c>
      <c r="E445" t="str">
        <f>VLOOKUP($C445, Egli_UPEC_metadata_provided!$A$2:$M$826, 4, FALSE)</f>
        <v>D1</v>
      </c>
      <c r="F445" t="str">
        <f>VLOOKUP($C445, Egli_UPEC_metadata_provided!$A$2:$M$826, 5, FALSE)</f>
        <v>m</v>
      </c>
      <c r="G445">
        <f>VLOOKUP($C445, Egli_UPEC_metadata_provided!$A$2:$M$826, 6, FALSE)</f>
        <v>1</v>
      </c>
      <c r="H445">
        <f>VLOOKUP($C445, Egli_UPEC_metadata_provided!$A$2:$M$826, 7, FALSE)</f>
        <v>4</v>
      </c>
      <c r="I445">
        <f>VLOOKUP($C445, Egli_UPEC_metadata_provided!$A$2:$M$826, 8, FALSE)</f>
        <v>87.814080656185894</v>
      </c>
      <c r="J445" t="b">
        <f>VLOOKUP($C445, Egli_UPEC_metadata_provided!$A$2:$M$826, 9, FALSE)</f>
        <v>1</v>
      </c>
      <c r="K445">
        <f>VLOOKUP($C445, Egli_UPEC_metadata_provided!$A$2:$M$826, 10, FALSE)</f>
        <v>0</v>
      </c>
      <c r="L445" t="str">
        <f>VLOOKUP($C445, Egli_UPEC_metadata_provided!$A$2:$M$826, 11, FALSE)</f>
        <v>invasive</v>
      </c>
      <c r="M445">
        <f>VLOOKUP($C445, Egli_UPEC_metadata_provided!$A$2:$M$826, 12, FALSE)</f>
        <v>0</v>
      </c>
      <c r="N445">
        <f>VLOOKUP($C445, Egli_UPEC_metadata_provided!$A$2:$M$826, 13, FALSE)</f>
        <v>0</v>
      </c>
      <c r="O445">
        <f>VLOOKUP($C445, Egli_UPEC_metadata_provided!$A$2:$N$826, 14, FALSE)</f>
        <v>1</v>
      </c>
    </row>
    <row r="446" spans="1:15" x14ac:dyDescent="0.2">
      <c r="A446" t="s">
        <v>285</v>
      </c>
      <c r="B446" t="s">
        <v>3519</v>
      </c>
      <c r="C446" t="s">
        <v>3519</v>
      </c>
      <c r="D446">
        <f>VLOOKUP($C446, Egli_UPEC_metadata_provided!$A$2:$M$826, 3, FALSE)</f>
        <v>2019</v>
      </c>
      <c r="E446" t="str">
        <f>VLOOKUP($C446, Egli_UPEC_metadata_provided!$A$2:$M$826, 4, FALSE)</f>
        <v>B2-1</v>
      </c>
      <c r="F446" t="str">
        <f>VLOOKUP($C446, Egli_UPEC_metadata_provided!$A$2:$M$826, 5, FALSE)</f>
        <v>m</v>
      </c>
      <c r="G446">
        <f>VLOOKUP($C446, Egli_UPEC_metadata_provided!$A$2:$M$826, 6, FALSE)</f>
        <v>0</v>
      </c>
      <c r="H446">
        <f>VLOOKUP($C446, Egli_UPEC_metadata_provided!$A$2:$M$826, 7, FALSE)</f>
        <v>3</v>
      </c>
      <c r="I446">
        <f>VLOOKUP($C446, Egli_UPEC_metadata_provided!$A$2:$M$826, 8, FALSE)</f>
        <v>90.534518113465495</v>
      </c>
      <c r="J446" t="b">
        <f>VLOOKUP($C446, Egli_UPEC_metadata_provided!$A$2:$M$826, 9, FALSE)</f>
        <v>0</v>
      </c>
      <c r="K446" t="str">
        <f>VLOOKUP($C446, Egli_UPEC_metadata_provided!$A$2:$M$826, 10, FALSE)</f>
        <v>NA</v>
      </c>
      <c r="L446" t="str">
        <f>VLOOKUP($C446, Egli_UPEC_metadata_provided!$A$2:$M$826, 11, FALSE)</f>
        <v>invasive</v>
      </c>
      <c r="M446">
        <f>VLOOKUP($C446, Egli_UPEC_metadata_provided!$A$2:$M$826, 12, FALSE)</f>
        <v>0</v>
      </c>
      <c r="N446">
        <f>VLOOKUP($C446, Egli_UPEC_metadata_provided!$A$2:$M$826, 13, FALSE)</f>
        <v>0</v>
      </c>
      <c r="O446">
        <f>VLOOKUP($C446, Egli_UPEC_metadata_provided!$A$2:$N$826, 14, FALSE)</f>
        <v>1</v>
      </c>
    </row>
    <row r="447" spans="1:15" x14ac:dyDescent="0.2">
      <c r="A447" t="s">
        <v>300</v>
      </c>
      <c r="B447" t="s">
        <v>3534</v>
      </c>
      <c r="C447" t="s">
        <v>3534</v>
      </c>
      <c r="D447">
        <f>VLOOKUP($C447, Egli_UPEC_metadata_provided!$A$2:$M$826, 3, FALSE)</f>
        <v>2019</v>
      </c>
      <c r="E447" t="str">
        <f>VLOOKUP($C447, Egli_UPEC_metadata_provided!$A$2:$M$826, 4, FALSE)</f>
        <v>F</v>
      </c>
      <c r="F447" t="str">
        <f>VLOOKUP($C447, Egli_UPEC_metadata_provided!$A$2:$M$826, 5, FALSE)</f>
        <v>w</v>
      </c>
      <c r="G447">
        <f>VLOOKUP($C447, Egli_UPEC_metadata_provided!$A$2:$M$826, 6, FALSE)</f>
        <v>0</v>
      </c>
      <c r="H447">
        <f>VLOOKUP($C447, Egli_UPEC_metadata_provided!$A$2:$M$826, 7, FALSE)</f>
        <v>1</v>
      </c>
      <c r="I447">
        <f>VLOOKUP($C447, Egli_UPEC_metadata_provided!$A$2:$M$826, 8, FALSE)</f>
        <v>89.402597402597394</v>
      </c>
      <c r="J447" t="b">
        <f>VLOOKUP($C447, Egli_UPEC_metadata_provided!$A$2:$M$826, 9, FALSE)</f>
        <v>1</v>
      </c>
      <c r="K447">
        <f>VLOOKUP($C447, Egli_UPEC_metadata_provided!$A$2:$M$826, 10, FALSE)</f>
        <v>0</v>
      </c>
      <c r="L447" t="str">
        <f>VLOOKUP($C447, Egli_UPEC_metadata_provided!$A$2:$M$826, 11, FALSE)</f>
        <v>invasive</v>
      </c>
      <c r="M447">
        <f>VLOOKUP($C447, Egli_UPEC_metadata_provided!$A$2:$M$826, 12, FALSE)</f>
        <v>0</v>
      </c>
      <c r="N447">
        <f>VLOOKUP($C447, Egli_UPEC_metadata_provided!$A$2:$M$826, 13, FALSE)</f>
        <v>1</v>
      </c>
      <c r="O447">
        <f>VLOOKUP($C447, Egli_UPEC_metadata_provided!$A$2:$N$826, 14, FALSE)</f>
        <v>1</v>
      </c>
    </row>
    <row r="448" spans="1:15" x14ac:dyDescent="0.2">
      <c r="A448" t="s">
        <v>413</v>
      </c>
      <c r="B448" t="s">
        <v>3648</v>
      </c>
      <c r="C448" t="s">
        <v>3648</v>
      </c>
      <c r="D448">
        <f>VLOOKUP($C448, Egli_UPEC_metadata_provided!$A$2:$M$826, 3, FALSE)</f>
        <v>2019</v>
      </c>
      <c r="E448" t="str">
        <f>VLOOKUP($C448, Egli_UPEC_metadata_provided!$A$2:$M$826, 4, FALSE)</f>
        <v>B2-2</v>
      </c>
      <c r="F448" t="str">
        <f>VLOOKUP($C448, Egli_UPEC_metadata_provided!$A$2:$M$826, 5, FALSE)</f>
        <v>m</v>
      </c>
      <c r="G448">
        <f>VLOOKUP($C448, Egli_UPEC_metadata_provided!$A$2:$M$826, 6, FALSE)</f>
        <v>0</v>
      </c>
      <c r="H448">
        <f>VLOOKUP($C448, Egli_UPEC_metadata_provided!$A$2:$M$826, 7, FALSE)</f>
        <v>4</v>
      </c>
      <c r="I448">
        <f>VLOOKUP($C448, Egli_UPEC_metadata_provided!$A$2:$M$826, 8, FALSE)</f>
        <v>80.336295283663702</v>
      </c>
      <c r="J448" t="b">
        <f>VLOOKUP($C448, Egli_UPEC_metadata_provided!$A$2:$M$826, 9, FALSE)</f>
        <v>0</v>
      </c>
      <c r="K448">
        <f>VLOOKUP($C448, Egli_UPEC_metadata_provided!$A$2:$M$826, 10, FALSE)</f>
        <v>0</v>
      </c>
      <c r="L448" t="str">
        <f>VLOOKUP($C448, Egli_UPEC_metadata_provided!$A$2:$M$826, 11, FALSE)</f>
        <v>non-invasive</v>
      </c>
      <c r="M448">
        <f>VLOOKUP($C448, Egli_UPEC_metadata_provided!$A$2:$M$826, 12, FALSE)</f>
        <v>0</v>
      </c>
      <c r="N448">
        <f>VLOOKUP($C448, Egli_UPEC_metadata_provided!$A$2:$M$826, 13, FALSE)</f>
        <v>0</v>
      </c>
      <c r="O448">
        <f>VLOOKUP($C448, Egli_UPEC_metadata_provided!$A$2:$N$826, 14, FALSE)</f>
        <v>0</v>
      </c>
    </row>
    <row r="449" spans="1:15" x14ac:dyDescent="0.2">
      <c r="A449" t="s">
        <v>414</v>
      </c>
      <c r="B449" t="s">
        <v>3649</v>
      </c>
      <c r="C449" t="s">
        <v>3649</v>
      </c>
      <c r="D449">
        <f>VLOOKUP($C449, Egli_UPEC_metadata_provided!$A$2:$M$826, 3, FALSE)</f>
        <v>2019</v>
      </c>
      <c r="E449" t="str">
        <f>VLOOKUP($C449, Egli_UPEC_metadata_provided!$A$2:$M$826, 4, FALSE)</f>
        <v>B2-1</v>
      </c>
      <c r="F449" t="str">
        <f>VLOOKUP($C449, Egli_UPEC_metadata_provided!$A$2:$M$826, 5, FALSE)</f>
        <v>w</v>
      </c>
      <c r="G449">
        <f>VLOOKUP($C449, Egli_UPEC_metadata_provided!$A$2:$M$826, 6, FALSE)</f>
        <v>0</v>
      </c>
      <c r="H449">
        <f>VLOOKUP($C449, Egli_UPEC_metadata_provided!$A$2:$M$826, 7, FALSE)</f>
        <v>6</v>
      </c>
      <c r="I449">
        <f>VLOOKUP($C449, Egli_UPEC_metadata_provided!$A$2:$M$826, 8, FALSE)</f>
        <v>86.523581681476401</v>
      </c>
      <c r="J449" t="b">
        <f>VLOOKUP($C449, Egli_UPEC_metadata_provided!$A$2:$M$826, 9, FALSE)</f>
        <v>1</v>
      </c>
      <c r="K449">
        <f>VLOOKUP($C449, Egli_UPEC_metadata_provided!$A$2:$M$826, 10, FALSE)</f>
        <v>1</v>
      </c>
      <c r="L449" t="str">
        <f>VLOOKUP($C449, Egli_UPEC_metadata_provided!$A$2:$M$826, 11, FALSE)</f>
        <v>non-invasive</v>
      </c>
      <c r="M449">
        <f>VLOOKUP($C449, Egli_UPEC_metadata_provided!$A$2:$M$826, 12, FALSE)</f>
        <v>1</v>
      </c>
      <c r="N449">
        <f>VLOOKUP($C449, Egli_UPEC_metadata_provided!$A$2:$M$826, 13, FALSE)</f>
        <v>0</v>
      </c>
      <c r="O449">
        <f>VLOOKUP($C449, Egli_UPEC_metadata_provided!$A$2:$N$826, 14, FALSE)</f>
        <v>1</v>
      </c>
    </row>
    <row r="450" spans="1:15" x14ac:dyDescent="0.2">
      <c r="A450" t="s">
        <v>415</v>
      </c>
      <c r="B450" t="s">
        <v>3650</v>
      </c>
      <c r="C450" t="s">
        <v>3650</v>
      </c>
      <c r="D450">
        <f>VLOOKUP($C450, Egli_UPEC_metadata_provided!$A$2:$M$826, 3, FALSE)</f>
        <v>2019</v>
      </c>
      <c r="E450" t="str">
        <f>VLOOKUP($C450, Egli_UPEC_metadata_provided!$A$2:$M$826, 4, FALSE)</f>
        <v>B2-2</v>
      </c>
      <c r="F450" t="str">
        <f>VLOOKUP($C450, Egli_UPEC_metadata_provided!$A$2:$M$826, 5, FALSE)</f>
        <v>w</v>
      </c>
      <c r="G450">
        <f>VLOOKUP($C450, Egli_UPEC_metadata_provided!$A$2:$M$826, 6, FALSE)</f>
        <v>1</v>
      </c>
      <c r="H450">
        <f>VLOOKUP($C450, Egli_UPEC_metadata_provided!$A$2:$M$826, 7, FALSE)</f>
        <v>2</v>
      </c>
      <c r="I450">
        <f>VLOOKUP($C450, Egli_UPEC_metadata_provided!$A$2:$M$826, 8, FALSE)</f>
        <v>74.597402597402606</v>
      </c>
      <c r="J450" t="b">
        <f>VLOOKUP($C450, Egli_UPEC_metadata_provided!$A$2:$M$826, 9, FALSE)</f>
        <v>0</v>
      </c>
      <c r="K450">
        <f>VLOOKUP($C450, Egli_UPEC_metadata_provided!$A$2:$M$826, 10, FALSE)</f>
        <v>0</v>
      </c>
      <c r="L450" t="str">
        <f>VLOOKUP($C450, Egli_UPEC_metadata_provided!$A$2:$M$826, 11, FALSE)</f>
        <v>non-invasive</v>
      </c>
      <c r="M450">
        <f>VLOOKUP($C450, Egli_UPEC_metadata_provided!$A$2:$M$826, 12, FALSE)</f>
        <v>0</v>
      </c>
      <c r="N450">
        <f>VLOOKUP($C450, Egli_UPEC_metadata_provided!$A$2:$M$826, 13, FALSE)</f>
        <v>0</v>
      </c>
      <c r="O450">
        <f>VLOOKUP($C450, Egli_UPEC_metadata_provided!$A$2:$N$826, 14, FALSE)</f>
        <v>0</v>
      </c>
    </row>
    <row r="451" spans="1:15" x14ac:dyDescent="0.2">
      <c r="A451" t="s">
        <v>416</v>
      </c>
      <c r="B451" t="s">
        <v>3651</v>
      </c>
      <c r="C451" t="s">
        <v>3651</v>
      </c>
      <c r="D451">
        <f>VLOOKUP($C451, Egli_UPEC_metadata_provided!$A$2:$M$826, 3, FALSE)</f>
        <v>2019</v>
      </c>
      <c r="E451" t="str">
        <f>VLOOKUP($C451, Egli_UPEC_metadata_provided!$A$2:$M$826, 4, FALSE)</f>
        <v>B2-2</v>
      </c>
      <c r="F451" t="str">
        <f>VLOOKUP($C451, Egli_UPEC_metadata_provided!$A$2:$M$826, 5, FALSE)</f>
        <v>w</v>
      </c>
      <c r="G451">
        <f>VLOOKUP($C451, Egli_UPEC_metadata_provided!$A$2:$M$826, 6, FALSE)</f>
        <v>0</v>
      </c>
      <c r="H451">
        <f>VLOOKUP($C451, Egli_UPEC_metadata_provided!$A$2:$M$826, 7, FALSE)</f>
        <v>3</v>
      </c>
      <c r="I451">
        <f>VLOOKUP($C451, Egli_UPEC_metadata_provided!$A$2:$M$826, 8, FALSE)</f>
        <v>95.803144224196799</v>
      </c>
      <c r="J451" t="b">
        <f>VLOOKUP($C451, Egli_UPEC_metadata_provided!$A$2:$M$826, 9, FALSE)</f>
        <v>0</v>
      </c>
      <c r="K451">
        <f>VLOOKUP($C451, Egli_UPEC_metadata_provided!$A$2:$M$826, 10, FALSE)</f>
        <v>0</v>
      </c>
      <c r="L451" t="str">
        <f>VLOOKUP($C451, Egli_UPEC_metadata_provided!$A$2:$M$826, 11, FALSE)</f>
        <v>non-invasive</v>
      </c>
      <c r="M451">
        <f>VLOOKUP($C451, Egli_UPEC_metadata_provided!$A$2:$M$826, 12, FALSE)</f>
        <v>0</v>
      </c>
      <c r="N451">
        <f>VLOOKUP($C451, Egli_UPEC_metadata_provided!$A$2:$M$826, 13, FALSE)</f>
        <v>0</v>
      </c>
      <c r="O451">
        <f>VLOOKUP($C451, Egli_UPEC_metadata_provided!$A$2:$N$826, 14, FALSE)</f>
        <v>0</v>
      </c>
    </row>
    <row r="452" spans="1:15" x14ac:dyDescent="0.2">
      <c r="A452" t="s">
        <v>417</v>
      </c>
      <c r="B452" t="s">
        <v>3652</v>
      </c>
      <c r="C452" t="s">
        <v>3652</v>
      </c>
      <c r="D452">
        <f>VLOOKUP($C452, Egli_UPEC_metadata_provided!$A$2:$M$826, 3, FALSE)</f>
        <v>2019</v>
      </c>
      <c r="E452" t="str">
        <f>VLOOKUP($C452, Egli_UPEC_metadata_provided!$A$2:$M$826, 4, FALSE)</f>
        <v>B2-2</v>
      </c>
      <c r="F452" t="str">
        <f>VLOOKUP($C452, Egli_UPEC_metadata_provided!$A$2:$M$826, 5, FALSE)</f>
        <v>w</v>
      </c>
      <c r="G452">
        <f>VLOOKUP($C452, Egli_UPEC_metadata_provided!$A$2:$M$826, 6, FALSE)</f>
        <v>1</v>
      </c>
      <c r="H452">
        <f>VLOOKUP($C452, Egli_UPEC_metadata_provided!$A$2:$M$826, 7, FALSE)</f>
        <v>2</v>
      </c>
      <c r="I452">
        <f>VLOOKUP($C452, Egli_UPEC_metadata_provided!$A$2:$M$826, 8, FALSE)</f>
        <v>72.847573479152402</v>
      </c>
      <c r="J452" t="b">
        <f>VLOOKUP($C452, Egli_UPEC_metadata_provided!$A$2:$M$826, 9, FALSE)</f>
        <v>1</v>
      </c>
      <c r="K452">
        <f>VLOOKUP($C452, Egli_UPEC_metadata_provided!$A$2:$M$826, 10, FALSE)</f>
        <v>0</v>
      </c>
      <c r="L452" t="str">
        <f>VLOOKUP($C452, Egli_UPEC_metadata_provided!$A$2:$M$826, 11, FALSE)</f>
        <v>non-invasive</v>
      </c>
      <c r="M452">
        <f>VLOOKUP($C452, Egli_UPEC_metadata_provided!$A$2:$M$826, 12, FALSE)</f>
        <v>0</v>
      </c>
      <c r="N452">
        <f>VLOOKUP($C452, Egli_UPEC_metadata_provided!$A$2:$M$826, 13, FALSE)</f>
        <v>0</v>
      </c>
      <c r="O452">
        <f>VLOOKUP($C452, Egli_UPEC_metadata_provided!$A$2:$N$826, 14, FALSE)</f>
        <v>1</v>
      </c>
    </row>
    <row r="453" spans="1:15" x14ac:dyDescent="0.2">
      <c r="A453" t="s">
        <v>418</v>
      </c>
      <c r="B453" t="s">
        <v>3653</v>
      </c>
      <c r="C453" t="s">
        <v>3653</v>
      </c>
      <c r="D453">
        <f>VLOOKUP($C453, Egli_UPEC_metadata_provided!$A$2:$M$826, 3, FALSE)</f>
        <v>2019</v>
      </c>
      <c r="E453" t="str">
        <f>VLOOKUP($C453, Egli_UPEC_metadata_provided!$A$2:$M$826, 4, FALSE)</f>
        <v>A</v>
      </c>
      <c r="F453" t="str">
        <f>VLOOKUP($C453, Egli_UPEC_metadata_provided!$A$2:$M$826, 5, FALSE)</f>
        <v>w</v>
      </c>
      <c r="G453">
        <f>VLOOKUP($C453, Egli_UPEC_metadata_provided!$A$2:$M$826, 6, FALSE)</f>
        <v>1</v>
      </c>
      <c r="H453">
        <f>VLOOKUP($C453, Egli_UPEC_metadata_provided!$A$2:$M$826, 7, FALSE)</f>
        <v>2</v>
      </c>
      <c r="I453">
        <f>VLOOKUP($C453, Egli_UPEC_metadata_provided!$A$2:$M$826, 8, FALSE)</f>
        <v>60.456596035543399</v>
      </c>
      <c r="J453" t="b">
        <f>VLOOKUP($C453, Egli_UPEC_metadata_provided!$A$2:$M$826, 9, FALSE)</f>
        <v>0</v>
      </c>
      <c r="K453">
        <f>VLOOKUP($C453, Egli_UPEC_metadata_provided!$A$2:$M$826, 10, FALSE)</f>
        <v>0</v>
      </c>
      <c r="L453" t="str">
        <f>VLOOKUP($C453, Egli_UPEC_metadata_provided!$A$2:$M$826, 11, FALSE)</f>
        <v>non-invasive</v>
      </c>
      <c r="M453">
        <f>VLOOKUP($C453, Egli_UPEC_metadata_provided!$A$2:$M$826, 12, FALSE)</f>
        <v>0</v>
      </c>
      <c r="N453">
        <f>VLOOKUP($C453, Egli_UPEC_metadata_provided!$A$2:$M$826, 13, FALSE)</f>
        <v>0</v>
      </c>
      <c r="O453">
        <f>VLOOKUP($C453, Egli_UPEC_metadata_provided!$A$2:$N$826, 14, FALSE)</f>
        <v>0</v>
      </c>
    </row>
    <row r="454" spans="1:15" x14ac:dyDescent="0.2">
      <c r="A454" t="s">
        <v>419</v>
      </c>
      <c r="B454" t="s">
        <v>3654</v>
      </c>
      <c r="C454" t="s">
        <v>3654</v>
      </c>
      <c r="D454">
        <f>VLOOKUP($C454, Egli_UPEC_metadata_provided!$A$2:$M$826, 3, FALSE)</f>
        <v>2019</v>
      </c>
      <c r="E454" t="str">
        <f>VLOOKUP($C454, Egli_UPEC_metadata_provided!$A$2:$M$826, 4, FALSE)</f>
        <v>B2-2</v>
      </c>
      <c r="F454" t="str">
        <f>VLOOKUP($C454, Egli_UPEC_metadata_provided!$A$2:$M$826, 5, FALSE)</f>
        <v>m</v>
      </c>
      <c r="G454">
        <f>VLOOKUP($C454, Egli_UPEC_metadata_provided!$A$2:$M$826, 6, FALSE)</f>
        <v>0</v>
      </c>
      <c r="H454">
        <f>VLOOKUP($C454, Egli_UPEC_metadata_provided!$A$2:$M$826, 7, FALSE)</f>
        <v>3</v>
      </c>
      <c r="I454">
        <f>VLOOKUP($C454, Egli_UPEC_metadata_provided!$A$2:$M$826, 8, FALSE)</f>
        <v>90.955570745044398</v>
      </c>
      <c r="J454" t="b">
        <f>VLOOKUP($C454, Egli_UPEC_metadata_provided!$A$2:$M$826, 9, FALSE)</f>
        <v>0</v>
      </c>
      <c r="K454">
        <f>VLOOKUP($C454, Egli_UPEC_metadata_provided!$A$2:$M$826, 10, FALSE)</f>
        <v>0</v>
      </c>
      <c r="L454" t="str">
        <f>VLOOKUP($C454, Egli_UPEC_metadata_provided!$A$2:$M$826, 11, FALSE)</f>
        <v>non-invasive</v>
      </c>
      <c r="M454">
        <f>VLOOKUP($C454, Egli_UPEC_metadata_provided!$A$2:$M$826, 12, FALSE)</f>
        <v>0</v>
      </c>
      <c r="N454">
        <f>VLOOKUP($C454, Egli_UPEC_metadata_provided!$A$2:$M$826, 13, FALSE)</f>
        <v>0</v>
      </c>
      <c r="O454">
        <f>VLOOKUP($C454, Egli_UPEC_metadata_provided!$A$2:$N$826, 14, FALSE)</f>
        <v>0</v>
      </c>
    </row>
    <row r="455" spans="1:15" x14ac:dyDescent="0.2">
      <c r="A455" t="s">
        <v>420</v>
      </c>
      <c r="B455" t="s">
        <v>3655</v>
      </c>
      <c r="C455" t="s">
        <v>3655</v>
      </c>
      <c r="D455">
        <f>VLOOKUP($C455, Egli_UPEC_metadata_provided!$A$2:$M$826, 3, FALSE)</f>
        <v>2019</v>
      </c>
      <c r="E455" t="str">
        <f>VLOOKUP($C455, Egli_UPEC_metadata_provided!$A$2:$M$826, 4, FALSE)</f>
        <v>B2-2</v>
      </c>
      <c r="F455" t="str">
        <f>VLOOKUP($C455, Egli_UPEC_metadata_provided!$A$2:$M$826, 5, FALSE)</f>
        <v>m</v>
      </c>
      <c r="G455">
        <f>VLOOKUP($C455, Egli_UPEC_metadata_provided!$A$2:$M$826, 6, FALSE)</f>
        <v>0</v>
      </c>
      <c r="H455">
        <f>VLOOKUP($C455, Egli_UPEC_metadata_provided!$A$2:$M$826, 7, FALSE)</f>
        <v>3</v>
      </c>
      <c r="I455">
        <f>VLOOKUP($C455, Egli_UPEC_metadata_provided!$A$2:$M$826, 8, FALSE)</f>
        <v>63.084073820915897</v>
      </c>
      <c r="J455" t="b">
        <f>VLOOKUP($C455, Egli_UPEC_metadata_provided!$A$2:$M$826, 9, FALSE)</f>
        <v>0</v>
      </c>
      <c r="K455">
        <f>VLOOKUP($C455, Egli_UPEC_metadata_provided!$A$2:$M$826, 10, FALSE)</f>
        <v>0</v>
      </c>
      <c r="L455" t="str">
        <f>VLOOKUP($C455, Egli_UPEC_metadata_provided!$A$2:$M$826, 11, FALSE)</f>
        <v>non-invasive</v>
      </c>
      <c r="M455">
        <f>VLOOKUP($C455, Egli_UPEC_metadata_provided!$A$2:$M$826, 12, FALSE)</f>
        <v>0</v>
      </c>
      <c r="N455">
        <f>VLOOKUP($C455, Egli_UPEC_metadata_provided!$A$2:$M$826, 13, FALSE)</f>
        <v>1</v>
      </c>
      <c r="O455">
        <f>VLOOKUP($C455, Egli_UPEC_metadata_provided!$A$2:$N$826, 14, FALSE)</f>
        <v>0</v>
      </c>
    </row>
    <row r="456" spans="1:15" x14ac:dyDescent="0.2">
      <c r="A456" t="s">
        <v>421</v>
      </c>
      <c r="B456" t="s">
        <v>3656</v>
      </c>
      <c r="C456" t="s">
        <v>3656</v>
      </c>
      <c r="D456">
        <f>VLOOKUP($C456, Egli_UPEC_metadata_provided!$A$2:$M$826, 3, FALSE)</f>
        <v>2019</v>
      </c>
      <c r="E456" t="str">
        <f>VLOOKUP($C456, Egli_UPEC_metadata_provided!$A$2:$M$826, 4, FALSE)</f>
        <v>A</v>
      </c>
      <c r="F456" t="str">
        <f>VLOOKUP($C456, Egli_UPEC_metadata_provided!$A$2:$M$826, 5, FALSE)</f>
        <v>w</v>
      </c>
      <c r="G456">
        <f>VLOOKUP($C456, Egli_UPEC_metadata_provided!$A$2:$M$826, 6, FALSE)</f>
        <v>0</v>
      </c>
      <c r="H456">
        <f>VLOOKUP($C456, Egli_UPEC_metadata_provided!$A$2:$M$826, 7, FALSE)</f>
        <v>6</v>
      </c>
      <c r="I456">
        <f>VLOOKUP($C456, Egli_UPEC_metadata_provided!$A$2:$M$826, 8, FALSE)</f>
        <v>74.507177033492795</v>
      </c>
      <c r="J456" t="b">
        <f>VLOOKUP($C456, Egli_UPEC_metadata_provided!$A$2:$M$826, 9, FALSE)</f>
        <v>0</v>
      </c>
      <c r="K456">
        <f>VLOOKUP($C456, Egli_UPEC_metadata_provided!$A$2:$M$826, 10, FALSE)</f>
        <v>0</v>
      </c>
      <c r="L456" t="str">
        <f>VLOOKUP($C456, Egli_UPEC_metadata_provided!$A$2:$M$826, 11, FALSE)</f>
        <v>non-invasive</v>
      </c>
      <c r="M456">
        <f>VLOOKUP($C456, Egli_UPEC_metadata_provided!$A$2:$M$826, 12, FALSE)</f>
        <v>0</v>
      </c>
      <c r="N456">
        <f>VLOOKUP($C456, Egli_UPEC_metadata_provided!$A$2:$M$826, 13, FALSE)</f>
        <v>0</v>
      </c>
      <c r="O456">
        <f>VLOOKUP($C456, Egli_UPEC_metadata_provided!$A$2:$N$826, 14, FALSE)</f>
        <v>0</v>
      </c>
    </row>
    <row r="457" spans="1:15" x14ac:dyDescent="0.2">
      <c r="A457" t="s">
        <v>422</v>
      </c>
      <c r="B457" t="s">
        <v>3657</v>
      </c>
      <c r="C457" t="s">
        <v>3657</v>
      </c>
      <c r="D457">
        <f>VLOOKUP($C457, Egli_UPEC_metadata_provided!$A$2:$M$826, 3, FALSE)</f>
        <v>2019</v>
      </c>
      <c r="E457" t="str">
        <f>VLOOKUP($C457, Egli_UPEC_metadata_provided!$A$2:$M$826, 4, FALSE)</f>
        <v>B2-1</v>
      </c>
      <c r="F457" t="str">
        <f>VLOOKUP($C457, Egli_UPEC_metadata_provided!$A$2:$M$826, 5, FALSE)</f>
        <v>w</v>
      </c>
      <c r="G457">
        <f>VLOOKUP($C457, Egli_UPEC_metadata_provided!$A$2:$M$826, 6, FALSE)</f>
        <v>0</v>
      </c>
      <c r="H457">
        <f>VLOOKUP($C457, Egli_UPEC_metadata_provided!$A$2:$M$826, 7, FALSE)</f>
        <v>3</v>
      </c>
      <c r="I457">
        <f>VLOOKUP($C457, Egli_UPEC_metadata_provided!$A$2:$M$826, 8, FALSE)</f>
        <v>75.015721120984296</v>
      </c>
      <c r="J457" t="b">
        <f>VLOOKUP($C457, Egli_UPEC_metadata_provided!$A$2:$M$826, 9, FALSE)</f>
        <v>0</v>
      </c>
      <c r="K457">
        <f>VLOOKUP($C457, Egli_UPEC_metadata_provided!$A$2:$M$826, 10, FALSE)</f>
        <v>0</v>
      </c>
      <c r="L457" t="str">
        <f>VLOOKUP($C457, Egli_UPEC_metadata_provided!$A$2:$M$826, 11, FALSE)</f>
        <v>non-invasive</v>
      </c>
      <c r="M457">
        <f>VLOOKUP($C457, Egli_UPEC_metadata_provided!$A$2:$M$826, 12, FALSE)</f>
        <v>1</v>
      </c>
      <c r="N457">
        <f>VLOOKUP($C457, Egli_UPEC_metadata_provided!$A$2:$M$826, 13, FALSE)</f>
        <v>0</v>
      </c>
      <c r="O457">
        <f>VLOOKUP($C457, Egli_UPEC_metadata_provided!$A$2:$N$826, 14, FALSE)</f>
        <v>0</v>
      </c>
    </row>
    <row r="458" spans="1:15" x14ac:dyDescent="0.2">
      <c r="A458" t="s">
        <v>423</v>
      </c>
      <c r="B458" t="s">
        <v>3658</v>
      </c>
      <c r="C458" t="s">
        <v>3658</v>
      </c>
      <c r="D458">
        <f>VLOOKUP($C458, Egli_UPEC_metadata_provided!$A$2:$M$826, 3, FALSE)</f>
        <v>2019</v>
      </c>
      <c r="E458" t="str">
        <f>VLOOKUP($C458, Egli_UPEC_metadata_provided!$A$2:$M$826, 4, FALSE)</f>
        <v>B1</v>
      </c>
      <c r="F458" t="str">
        <f>VLOOKUP($C458, Egli_UPEC_metadata_provided!$A$2:$M$826, 5, FALSE)</f>
        <v>w</v>
      </c>
      <c r="G458">
        <f>VLOOKUP($C458, Egli_UPEC_metadata_provided!$A$2:$M$826, 6, FALSE)</f>
        <v>0</v>
      </c>
      <c r="H458">
        <f>VLOOKUP($C458, Egli_UPEC_metadata_provided!$A$2:$M$826, 7, FALSE)</f>
        <v>4</v>
      </c>
      <c r="I458">
        <f>VLOOKUP($C458, Egli_UPEC_metadata_provided!$A$2:$M$826, 8, FALSE)</f>
        <v>75.680109364319904</v>
      </c>
      <c r="J458" t="b">
        <f>VLOOKUP($C458, Egli_UPEC_metadata_provided!$A$2:$M$826, 9, FALSE)</f>
        <v>0</v>
      </c>
      <c r="K458">
        <f>VLOOKUP($C458, Egli_UPEC_metadata_provided!$A$2:$M$826, 10, FALSE)</f>
        <v>0</v>
      </c>
      <c r="L458" t="str">
        <f>VLOOKUP($C458, Egli_UPEC_metadata_provided!$A$2:$M$826, 11, FALSE)</f>
        <v>non-invasive</v>
      </c>
      <c r="M458">
        <f>VLOOKUP($C458, Egli_UPEC_metadata_provided!$A$2:$M$826, 12, FALSE)</f>
        <v>0</v>
      </c>
      <c r="N458">
        <f>VLOOKUP($C458, Egli_UPEC_metadata_provided!$A$2:$M$826, 13, FALSE)</f>
        <v>0</v>
      </c>
      <c r="O458">
        <f>VLOOKUP($C458, Egli_UPEC_metadata_provided!$A$2:$N$826, 14, FALSE)</f>
        <v>0</v>
      </c>
    </row>
    <row r="459" spans="1:15" x14ac:dyDescent="0.2">
      <c r="A459" t="s">
        <v>424</v>
      </c>
      <c r="B459" t="s">
        <v>3659</v>
      </c>
      <c r="C459" t="s">
        <v>3659</v>
      </c>
      <c r="D459">
        <f>VLOOKUP($C459, Egli_UPEC_metadata_provided!$A$2:$M$826, 3, FALSE)</f>
        <v>2019</v>
      </c>
      <c r="E459" t="str">
        <f>VLOOKUP($C459, Egli_UPEC_metadata_provided!$A$2:$M$826, 4, FALSE)</f>
        <v>B2-2</v>
      </c>
      <c r="F459" t="str">
        <f>VLOOKUP($C459, Egli_UPEC_metadata_provided!$A$2:$M$826, 5, FALSE)</f>
        <v>w</v>
      </c>
      <c r="G459">
        <f>VLOOKUP($C459, Egli_UPEC_metadata_provided!$A$2:$M$826, 6, FALSE)</f>
        <v>0</v>
      </c>
      <c r="H459">
        <f>VLOOKUP($C459, Egli_UPEC_metadata_provided!$A$2:$M$826, 7, FALSE)</f>
        <v>0</v>
      </c>
      <c r="I459">
        <f>VLOOKUP($C459, Egli_UPEC_metadata_provided!$A$2:$M$826, 8, FALSE)</f>
        <v>76.604237867395796</v>
      </c>
      <c r="J459" t="b">
        <f>VLOOKUP($C459, Egli_UPEC_metadata_provided!$A$2:$M$826, 9, FALSE)</f>
        <v>0</v>
      </c>
      <c r="K459">
        <f>VLOOKUP($C459, Egli_UPEC_metadata_provided!$A$2:$M$826, 10, FALSE)</f>
        <v>0</v>
      </c>
      <c r="L459" t="str">
        <f>VLOOKUP($C459, Egli_UPEC_metadata_provided!$A$2:$M$826, 11, FALSE)</f>
        <v>non-invasive</v>
      </c>
      <c r="M459">
        <f>VLOOKUP($C459, Egli_UPEC_metadata_provided!$A$2:$M$826, 12, FALSE)</f>
        <v>0</v>
      </c>
      <c r="N459">
        <f>VLOOKUP($C459, Egli_UPEC_metadata_provided!$A$2:$M$826, 13, FALSE)</f>
        <v>0</v>
      </c>
      <c r="O459">
        <f>VLOOKUP($C459, Egli_UPEC_metadata_provided!$A$2:$N$826, 14, FALSE)</f>
        <v>0</v>
      </c>
    </row>
    <row r="460" spans="1:15" x14ac:dyDescent="0.2">
      <c r="A460" t="s">
        <v>425</v>
      </c>
      <c r="B460" t="s">
        <v>3660</v>
      </c>
      <c r="C460" t="s">
        <v>3660</v>
      </c>
      <c r="D460">
        <f>VLOOKUP($C460, Egli_UPEC_metadata_provided!$A$2:$M$826, 3, FALSE)</f>
        <v>2019</v>
      </c>
      <c r="E460" t="str">
        <f>VLOOKUP($C460, Egli_UPEC_metadata_provided!$A$2:$M$826, 4, FALSE)</f>
        <v>B2-2</v>
      </c>
      <c r="F460" t="str">
        <f>VLOOKUP($C460, Egli_UPEC_metadata_provided!$A$2:$M$826, 5, FALSE)</f>
        <v>m</v>
      </c>
      <c r="G460">
        <f>VLOOKUP($C460, Egli_UPEC_metadata_provided!$A$2:$M$826, 6, FALSE)</f>
        <v>0</v>
      </c>
      <c r="H460">
        <f>VLOOKUP($C460, Egli_UPEC_metadata_provided!$A$2:$M$826, 7, FALSE)</f>
        <v>1</v>
      </c>
      <c r="I460">
        <f>VLOOKUP($C460, Egli_UPEC_metadata_provided!$A$2:$M$826, 8, FALSE)</f>
        <v>90.3540669856459</v>
      </c>
      <c r="J460" t="b">
        <f>VLOOKUP($C460, Egli_UPEC_metadata_provided!$A$2:$M$826, 9, FALSE)</f>
        <v>0</v>
      </c>
      <c r="K460">
        <f>VLOOKUP($C460, Egli_UPEC_metadata_provided!$A$2:$M$826, 10, FALSE)</f>
        <v>0</v>
      </c>
      <c r="L460" t="str">
        <f>VLOOKUP($C460, Egli_UPEC_metadata_provided!$A$2:$M$826, 11, FALSE)</f>
        <v>non-invasive</v>
      </c>
      <c r="M460">
        <f>VLOOKUP($C460, Egli_UPEC_metadata_provided!$A$2:$M$826, 12, FALSE)</f>
        <v>0</v>
      </c>
      <c r="N460">
        <f>VLOOKUP($C460, Egli_UPEC_metadata_provided!$A$2:$M$826, 13, FALSE)</f>
        <v>0</v>
      </c>
      <c r="O460">
        <f>VLOOKUP($C460, Egli_UPEC_metadata_provided!$A$2:$N$826, 14, FALSE)</f>
        <v>0</v>
      </c>
    </row>
    <row r="461" spans="1:15" x14ac:dyDescent="0.2">
      <c r="A461" t="s">
        <v>426</v>
      </c>
      <c r="B461" t="s">
        <v>3661</v>
      </c>
      <c r="C461" t="s">
        <v>3661</v>
      </c>
      <c r="D461">
        <f>VLOOKUP($C461, Egli_UPEC_metadata_provided!$A$2:$M$826, 3, FALSE)</f>
        <v>2019</v>
      </c>
      <c r="E461" t="str">
        <f>VLOOKUP($C461, Egli_UPEC_metadata_provided!$A$2:$M$826, 4, FALSE)</f>
        <v>D1</v>
      </c>
      <c r="F461" t="str">
        <f>VLOOKUP($C461, Egli_UPEC_metadata_provided!$A$2:$M$826, 5, FALSE)</f>
        <v>w</v>
      </c>
      <c r="G461">
        <f>VLOOKUP($C461, Egli_UPEC_metadata_provided!$A$2:$M$826, 6, FALSE)</f>
        <v>1</v>
      </c>
      <c r="H461">
        <f>VLOOKUP($C461, Egli_UPEC_metadata_provided!$A$2:$M$826, 7, FALSE)</f>
        <v>8</v>
      </c>
      <c r="I461">
        <f>VLOOKUP($C461, Egli_UPEC_metadata_provided!$A$2:$M$826, 8, FALSE)</f>
        <v>57.46001367054</v>
      </c>
      <c r="J461" t="b">
        <f>VLOOKUP($C461, Egli_UPEC_metadata_provided!$A$2:$M$826, 9, FALSE)</f>
        <v>0</v>
      </c>
      <c r="K461">
        <f>VLOOKUP($C461, Egli_UPEC_metadata_provided!$A$2:$M$826, 10, FALSE)</f>
        <v>0</v>
      </c>
      <c r="L461" t="str">
        <f>VLOOKUP($C461, Egli_UPEC_metadata_provided!$A$2:$M$826, 11, FALSE)</f>
        <v>non-invasive</v>
      </c>
      <c r="M461">
        <f>VLOOKUP($C461, Egli_UPEC_metadata_provided!$A$2:$M$826, 12, FALSE)</f>
        <v>0</v>
      </c>
      <c r="N461">
        <f>VLOOKUP($C461, Egli_UPEC_metadata_provided!$A$2:$M$826, 13, FALSE)</f>
        <v>1</v>
      </c>
      <c r="O461">
        <f>VLOOKUP($C461, Egli_UPEC_metadata_provided!$A$2:$N$826, 14, FALSE)</f>
        <v>0</v>
      </c>
    </row>
    <row r="462" spans="1:15" x14ac:dyDescent="0.2">
      <c r="A462" t="s">
        <v>427</v>
      </c>
      <c r="B462" t="s">
        <v>3662</v>
      </c>
      <c r="C462" t="s">
        <v>3662</v>
      </c>
      <c r="D462">
        <f>VLOOKUP($C462, Egli_UPEC_metadata_provided!$A$2:$M$826, 3, FALSE)</f>
        <v>2019</v>
      </c>
      <c r="E462" t="str">
        <f>VLOOKUP($C462, Egli_UPEC_metadata_provided!$A$2:$M$826, 4, FALSE)</f>
        <v>A</v>
      </c>
      <c r="F462" t="str">
        <f>VLOOKUP($C462, Egli_UPEC_metadata_provided!$A$2:$M$826, 5, FALSE)</f>
        <v>w</v>
      </c>
      <c r="G462">
        <f>VLOOKUP($C462, Egli_UPEC_metadata_provided!$A$2:$M$826, 6, FALSE)</f>
        <v>0</v>
      </c>
      <c r="H462">
        <f>VLOOKUP($C462, Egli_UPEC_metadata_provided!$A$2:$M$826, 7, FALSE)</f>
        <v>8</v>
      </c>
      <c r="I462">
        <f>VLOOKUP($C462, Egli_UPEC_metadata_provided!$A$2:$M$826, 8, FALSE)</f>
        <v>79.207108680792899</v>
      </c>
      <c r="J462" t="b">
        <f>VLOOKUP($C462, Egli_UPEC_metadata_provided!$A$2:$M$826, 9, FALSE)</f>
        <v>0</v>
      </c>
      <c r="K462">
        <f>VLOOKUP($C462, Egli_UPEC_metadata_provided!$A$2:$M$826, 10, FALSE)</f>
        <v>0</v>
      </c>
      <c r="L462" t="str">
        <f>VLOOKUP($C462, Egli_UPEC_metadata_provided!$A$2:$M$826, 11, FALSE)</f>
        <v>non-invasive</v>
      </c>
      <c r="M462">
        <f>VLOOKUP($C462, Egli_UPEC_metadata_provided!$A$2:$M$826, 12, FALSE)</f>
        <v>1</v>
      </c>
      <c r="N462">
        <f>VLOOKUP($C462, Egli_UPEC_metadata_provided!$A$2:$M$826, 13, FALSE)</f>
        <v>1</v>
      </c>
      <c r="O462">
        <f>VLOOKUP($C462, Egli_UPEC_metadata_provided!$A$2:$N$826, 14, FALSE)</f>
        <v>0</v>
      </c>
    </row>
    <row r="463" spans="1:15" x14ac:dyDescent="0.2">
      <c r="A463" t="s">
        <v>428</v>
      </c>
      <c r="B463" t="s">
        <v>3663</v>
      </c>
      <c r="C463" t="s">
        <v>3663</v>
      </c>
      <c r="D463">
        <f>VLOOKUP($C463, Egli_UPEC_metadata_provided!$A$2:$M$826, 3, FALSE)</f>
        <v>2019</v>
      </c>
      <c r="E463" t="str">
        <f>VLOOKUP($C463, Egli_UPEC_metadata_provided!$A$2:$M$826, 4, FALSE)</f>
        <v>G</v>
      </c>
      <c r="F463" t="str">
        <f>VLOOKUP($C463, Egli_UPEC_metadata_provided!$A$2:$M$826, 5, FALSE)</f>
        <v>w</v>
      </c>
      <c r="G463">
        <f>VLOOKUP($C463, Egli_UPEC_metadata_provided!$A$2:$M$826, 6, FALSE)</f>
        <v>0</v>
      </c>
      <c r="H463">
        <f>VLOOKUP($C463, Egli_UPEC_metadata_provided!$A$2:$M$826, 7, FALSE)</f>
        <v>1</v>
      </c>
      <c r="I463">
        <f>VLOOKUP($C463, Egli_UPEC_metadata_provided!$A$2:$M$826, 8, FALSE)</f>
        <v>96.806561859193394</v>
      </c>
      <c r="J463" t="b">
        <f>VLOOKUP($C463, Egli_UPEC_metadata_provided!$A$2:$M$826, 9, FALSE)</f>
        <v>0</v>
      </c>
      <c r="K463">
        <f>VLOOKUP($C463, Egli_UPEC_metadata_provided!$A$2:$M$826, 10, FALSE)</f>
        <v>0</v>
      </c>
      <c r="L463" t="str">
        <f>VLOOKUP($C463, Egli_UPEC_metadata_provided!$A$2:$M$826, 11, FALSE)</f>
        <v>non-invasive</v>
      </c>
      <c r="M463">
        <f>VLOOKUP($C463, Egli_UPEC_metadata_provided!$A$2:$M$826, 12, FALSE)</f>
        <v>0</v>
      </c>
      <c r="N463">
        <f>VLOOKUP($C463, Egli_UPEC_metadata_provided!$A$2:$M$826, 13, FALSE)</f>
        <v>0</v>
      </c>
      <c r="O463">
        <f>VLOOKUP($C463, Egli_UPEC_metadata_provided!$A$2:$N$826, 14, FALSE)</f>
        <v>0</v>
      </c>
    </row>
    <row r="464" spans="1:15" x14ac:dyDescent="0.2">
      <c r="A464" t="s">
        <v>429</v>
      </c>
      <c r="B464" t="s">
        <v>3664</v>
      </c>
      <c r="C464" t="s">
        <v>3664</v>
      </c>
      <c r="D464">
        <f>VLOOKUP($C464, Egli_UPEC_metadata_provided!$A$2:$M$826, 3, FALSE)</f>
        <v>2019</v>
      </c>
      <c r="E464" t="str">
        <f>VLOOKUP($C464, Egli_UPEC_metadata_provided!$A$2:$M$826, 4, FALSE)</f>
        <v>A</v>
      </c>
      <c r="F464" t="str">
        <f>VLOOKUP($C464, Egli_UPEC_metadata_provided!$A$2:$M$826, 5, FALSE)</f>
        <v>w</v>
      </c>
      <c r="G464">
        <f>VLOOKUP($C464, Egli_UPEC_metadata_provided!$A$2:$M$826, 6, FALSE)</f>
        <v>0</v>
      </c>
      <c r="H464">
        <f>VLOOKUP($C464, Egli_UPEC_metadata_provided!$A$2:$M$826, 7, FALSE)</f>
        <v>1</v>
      </c>
      <c r="I464">
        <f>VLOOKUP($C464, Egli_UPEC_metadata_provided!$A$2:$M$826, 8, FALSE)</f>
        <v>83.3192071086808</v>
      </c>
      <c r="J464" t="b">
        <f>VLOOKUP($C464, Egli_UPEC_metadata_provided!$A$2:$M$826, 9, FALSE)</f>
        <v>0</v>
      </c>
      <c r="K464">
        <f>VLOOKUP($C464, Egli_UPEC_metadata_provided!$A$2:$M$826, 10, FALSE)</f>
        <v>0</v>
      </c>
      <c r="L464" t="str">
        <f>VLOOKUP($C464, Egli_UPEC_metadata_provided!$A$2:$M$826, 11, FALSE)</f>
        <v>non-invasive</v>
      </c>
      <c r="M464">
        <f>VLOOKUP($C464, Egli_UPEC_metadata_provided!$A$2:$M$826, 12, FALSE)</f>
        <v>1</v>
      </c>
      <c r="N464">
        <f>VLOOKUP($C464, Egli_UPEC_metadata_provided!$A$2:$M$826, 13, FALSE)</f>
        <v>0</v>
      </c>
      <c r="O464">
        <f>VLOOKUP($C464, Egli_UPEC_metadata_provided!$A$2:$N$826, 14, FALSE)</f>
        <v>0</v>
      </c>
    </row>
    <row r="465" spans="1:15" x14ac:dyDescent="0.2">
      <c r="A465" t="s">
        <v>430</v>
      </c>
      <c r="B465" t="s">
        <v>3665</v>
      </c>
      <c r="C465" t="s">
        <v>3665</v>
      </c>
      <c r="D465">
        <f>VLOOKUP($C465, Egli_UPEC_metadata_provided!$A$2:$M$826, 3, FALSE)</f>
        <v>2019</v>
      </c>
      <c r="E465" t="str">
        <f>VLOOKUP($C465, Egli_UPEC_metadata_provided!$A$2:$M$826, 4, FALSE)</f>
        <v>B2-2</v>
      </c>
      <c r="F465" t="str">
        <f>VLOOKUP($C465, Egli_UPEC_metadata_provided!$A$2:$M$826, 5, FALSE)</f>
        <v>w</v>
      </c>
      <c r="G465">
        <f>VLOOKUP($C465, Egli_UPEC_metadata_provided!$A$2:$M$826, 6, FALSE)</f>
        <v>0</v>
      </c>
      <c r="H465">
        <f>VLOOKUP($C465, Egli_UPEC_metadata_provided!$A$2:$M$826, 7, FALSE)</f>
        <v>0</v>
      </c>
      <c r="I465">
        <f>VLOOKUP($C465, Egli_UPEC_metadata_provided!$A$2:$M$826, 8, FALSE)</f>
        <v>65.741626794258394</v>
      </c>
      <c r="J465" t="b">
        <f>VLOOKUP($C465, Egli_UPEC_metadata_provided!$A$2:$M$826, 9, FALSE)</f>
        <v>0</v>
      </c>
      <c r="K465">
        <f>VLOOKUP($C465, Egli_UPEC_metadata_provided!$A$2:$M$826, 10, FALSE)</f>
        <v>0</v>
      </c>
      <c r="L465" t="str">
        <f>VLOOKUP($C465, Egli_UPEC_metadata_provided!$A$2:$M$826, 11, FALSE)</f>
        <v>non-invasive</v>
      </c>
      <c r="M465">
        <f>VLOOKUP($C465, Egli_UPEC_metadata_provided!$A$2:$M$826, 12, FALSE)</f>
        <v>0</v>
      </c>
      <c r="N465">
        <f>VLOOKUP($C465, Egli_UPEC_metadata_provided!$A$2:$M$826, 13, FALSE)</f>
        <v>0</v>
      </c>
      <c r="O465">
        <f>VLOOKUP($C465, Egli_UPEC_metadata_provided!$A$2:$N$826, 14, FALSE)</f>
        <v>1</v>
      </c>
    </row>
    <row r="466" spans="1:15" x14ac:dyDescent="0.2">
      <c r="A466" t="s">
        <v>431</v>
      </c>
      <c r="B466" t="s">
        <v>3666</v>
      </c>
      <c r="C466" t="s">
        <v>3666</v>
      </c>
      <c r="D466">
        <f>VLOOKUP($C466, Egli_UPEC_metadata_provided!$A$2:$M$826, 3, FALSE)</f>
        <v>2019</v>
      </c>
      <c r="E466" t="str">
        <f>VLOOKUP($C466, Egli_UPEC_metadata_provided!$A$2:$M$826, 4, FALSE)</f>
        <v>C</v>
      </c>
      <c r="F466" t="str">
        <f>VLOOKUP($C466, Egli_UPEC_metadata_provided!$A$2:$M$826, 5, FALSE)</f>
        <v>w</v>
      </c>
      <c r="G466">
        <f>VLOOKUP($C466, Egli_UPEC_metadata_provided!$A$2:$M$826, 6, FALSE)</f>
        <v>0</v>
      </c>
      <c r="H466">
        <f>VLOOKUP($C466, Egli_UPEC_metadata_provided!$A$2:$M$826, 7, FALSE)</f>
        <v>8</v>
      </c>
      <c r="I466">
        <f>VLOOKUP($C466, Egli_UPEC_metadata_provided!$A$2:$M$826, 8, FALSE)</f>
        <v>72.904989747095001</v>
      </c>
      <c r="J466" t="b">
        <f>VLOOKUP($C466, Egli_UPEC_metadata_provided!$A$2:$M$826, 9, FALSE)</f>
        <v>0</v>
      </c>
      <c r="K466">
        <f>VLOOKUP($C466, Egli_UPEC_metadata_provided!$A$2:$M$826, 10, FALSE)</f>
        <v>1</v>
      </c>
      <c r="L466" t="str">
        <f>VLOOKUP($C466, Egli_UPEC_metadata_provided!$A$2:$M$826, 11, FALSE)</f>
        <v>non-invasive</v>
      </c>
      <c r="M466">
        <f>VLOOKUP($C466, Egli_UPEC_metadata_provided!$A$2:$M$826, 12, FALSE)</f>
        <v>0</v>
      </c>
      <c r="N466">
        <f>VLOOKUP($C466, Egli_UPEC_metadata_provided!$A$2:$M$826, 13, FALSE)</f>
        <v>0</v>
      </c>
      <c r="O466">
        <f>VLOOKUP($C466, Egli_UPEC_metadata_provided!$A$2:$N$826, 14, FALSE)</f>
        <v>0</v>
      </c>
    </row>
    <row r="467" spans="1:15" x14ac:dyDescent="0.2">
      <c r="A467" t="s">
        <v>432</v>
      </c>
      <c r="B467" t="s">
        <v>3667</v>
      </c>
      <c r="C467" t="s">
        <v>3667</v>
      </c>
      <c r="D467">
        <f>VLOOKUP($C467, Egli_UPEC_metadata_provided!$A$2:$M$826, 3, FALSE)</f>
        <v>2019</v>
      </c>
      <c r="E467" t="str">
        <f>VLOOKUP($C467, Egli_UPEC_metadata_provided!$A$2:$M$826, 4, FALSE)</f>
        <v>B2-2</v>
      </c>
      <c r="F467" t="str">
        <f>VLOOKUP($C467, Egli_UPEC_metadata_provided!$A$2:$M$826, 5, FALSE)</f>
        <v>w</v>
      </c>
      <c r="G467">
        <f>VLOOKUP($C467, Egli_UPEC_metadata_provided!$A$2:$M$826, 6, FALSE)</f>
        <v>0</v>
      </c>
      <c r="H467">
        <f>VLOOKUP($C467, Egli_UPEC_metadata_provided!$A$2:$M$826, 7, FALSE)</f>
        <v>1</v>
      </c>
      <c r="I467">
        <f>VLOOKUP($C467, Egli_UPEC_metadata_provided!$A$2:$M$826, 8, FALSE)</f>
        <v>88.727272727272705</v>
      </c>
      <c r="J467" t="b">
        <f>VLOOKUP($C467, Egli_UPEC_metadata_provided!$A$2:$M$826, 9, FALSE)</f>
        <v>1</v>
      </c>
      <c r="K467">
        <f>VLOOKUP($C467, Egli_UPEC_metadata_provided!$A$2:$M$826, 10, FALSE)</f>
        <v>0</v>
      </c>
      <c r="L467" t="str">
        <f>VLOOKUP($C467, Egli_UPEC_metadata_provided!$A$2:$M$826, 11, FALSE)</f>
        <v>non-invasive</v>
      </c>
      <c r="M467">
        <f>VLOOKUP($C467, Egli_UPEC_metadata_provided!$A$2:$M$826, 12, FALSE)</f>
        <v>1</v>
      </c>
      <c r="N467">
        <f>VLOOKUP($C467, Egli_UPEC_metadata_provided!$A$2:$M$826, 13, FALSE)</f>
        <v>0</v>
      </c>
      <c r="O467">
        <f>VLOOKUP($C467, Egli_UPEC_metadata_provided!$A$2:$N$826, 14, FALSE)</f>
        <v>0</v>
      </c>
    </row>
    <row r="468" spans="1:15" x14ac:dyDescent="0.2">
      <c r="A468" t="s">
        <v>433</v>
      </c>
      <c r="B468" t="s">
        <v>3668</v>
      </c>
      <c r="C468" t="s">
        <v>3668</v>
      </c>
      <c r="D468">
        <f>VLOOKUP($C468, Egli_UPEC_metadata_provided!$A$2:$M$826, 3, FALSE)</f>
        <v>2019</v>
      </c>
      <c r="E468" t="str">
        <f>VLOOKUP($C468, Egli_UPEC_metadata_provided!$A$2:$M$826, 4, FALSE)</f>
        <v>B2-2</v>
      </c>
      <c r="F468" t="str">
        <f>VLOOKUP($C468, Egli_UPEC_metadata_provided!$A$2:$M$826, 5, FALSE)</f>
        <v>w</v>
      </c>
      <c r="G468">
        <f>VLOOKUP($C468, Egli_UPEC_metadata_provided!$A$2:$M$826, 6, FALSE)</f>
        <v>0</v>
      </c>
      <c r="H468">
        <f>VLOOKUP($C468, Egli_UPEC_metadata_provided!$A$2:$M$826, 7, FALSE)</f>
        <v>6</v>
      </c>
      <c r="I468">
        <f>VLOOKUP($C468, Egli_UPEC_metadata_provided!$A$2:$M$826, 8, FALSE)</f>
        <v>74.567327409432707</v>
      </c>
      <c r="J468" t="b">
        <f>VLOOKUP($C468, Egli_UPEC_metadata_provided!$A$2:$M$826, 9, FALSE)</f>
        <v>0</v>
      </c>
      <c r="K468">
        <f>VLOOKUP($C468, Egli_UPEC_metadata_provided!$A$2:$M$826, 10, FALSE)</f>
        <v>0</v>
      </c>
      <c r="L468" t="str">
        <f>VLOOKUP($C468, Egli_UPEC_metadata_provided!$A$2:$M$826, 11, FALSE)</f>
        <v>non-invasive</v>
      </c>
      <c r="M468">
        <f>VLOOKUP($C468, Egli_UPEC_metadata_provided!$A$2:$M$826, 12, FALSE)</f>
        <v>1</v>
      </c>
      <c r="N468">
        <f>VLOOKUP($C468, Egli_UPEC_metadata_provided!$A$2:$M$826, 13, FALSE)</f>
        <v>0</v>
      </c>
      <c r="O468">
        <f>VLOOKUP($C468, Egli_UPEC_metadata_provided!$A$2:$N$826, 14, FALSE)</f>
        <v>1</v>
      </c>
    </row>
    <row r="469" spans="1:15" x14ac:dyDescent="0.2">
      <c r="A469" t="s">
        <v>434</v>
      </c>
      <c r="B469" t="s">
        <v>3669</v>
      </c>
      <c r="C469" t="s">
        <v>3669</v>
      </c>
      <c r="D469">
        <f>VLOOKUP($C469, Egli_UPEC_metadata_provided!$A$2:$M$826, 3, FALSE)</f>
        <v>2019</v>
      </c>
      <c r="E469" t="str">
        <f>VLOOKUP($C469, Egli_UPEC_metadata_provided!$A$2:$M$826, 4, FALSE)</f>
        <v>D1</v>
      </c>
      <c r="F469" t="str">
        <f>VLOOKUP($C469, Egli_UPEC_metadata_provided!$A$2:$M$826, 5, FALSE)</f>
        <v>m</v>
      </c>
      <c r="G469">
        <f>VLOOKUP($C469, Egli_UPEC_metadata_provided!$A$2:$M$826, 6, FALSE)</f>
        <v>0</v>
      </c>
      <c r="H469">
        <f>VLOOKUP($C469, Egli_UPEC_metadata_provided!$A$2:$M$826, 7, FALSE)</f>
        <v>7</v>
      </c>
      <c r="I469">
        <f>VLOOKUP($C469, Egli_UPEC_metadata_provided!$A$2:$M$826, 8, FALSE)</f>
        <v>76.885850991114197</v>
      </c>
      <c r="J469" t="b">
        <f>VLOOKUP($C469, Egli_UPEC_metadata_provided!$A$2:$M$826, 9, FALSE)</f>
        <v>0</v>
      </c>
      <c r="K469">
        <f>VLOOKUP($C469, Egli_UPEC_metadata_provided!$A$2:$M$826, 10, FALSE)</f>
        <v>0</v>
      </c>
      <c r="L469" t="str">
        <f>VLOOKUP($C469, Egli_UPEC_metadata_provided!$A$2:$M$826, 11, FALSE)</f>
        <v>non-invasive</v>
      </c>
      <c r="M469">
        <f>VLOOKUP($C469, Egli_UPEC_metadata_provided!$A$2:$M$826, 12, FALSE)</f>
        <v>0</v>
      </c>
      <c r="N469">
        <f>VLOOKUP($C469, Egli_UPEC_metadata_provided!$A$2:$M$826, 13, FALSE)</f>
        <v>0</v>
      </c>
      <c r="O469">
        <f>VLOOKUP($C469, Egli_UPEC_metadata_provided!$A$2:$N$826, 14, FALSE)</f>
        <v>1</v>
      </c>
    </row>
    <row r="470" spans="1:15" x14ac:dyDescent="0.2">
      <c r="A470" t="s">
        <v>435</v>
      </c>
      <c r="B470" t="s">
        <v>3670</v>
      </c>
      <c r="C470" t="s">
        <v>3670</v>
      </c>
      <c r="D470">
        <f>VLOOKUP($C470, Egli_UPEC_metadata_provided!$A$2:$M$826, 3, FALSE)</f>
        <v>2019</v>
      </c>
      <c r="E470" t="str">
        <f>VLOOKUP($C470, Egli_UPEC_metadata_provided!$A$2:$M$826, 4, FALSE)</f>
        <v>D1</v>
      </c>
      <c r="F470" t="str">
        <f>VLOOKUP($C470, Egli_UPEC_metadata_provided!$A$2:$M$826, 5, FALSE)</f>
        <v>w</v>
      </c>
      <c r="G470">
        <f>VLOOKUP($C470, Egli_UPEC_metadata_provided!$A$2:$M$826, 6, FALSE)</f>
        <v>0</v>
      </c>
      <c r="H470">
        <f>VLOOKUP($C470, Egli_UPEC_metadata_provided!$A$2:$M$826, 7, FALSE)</f>
        <v>2</v>
      </c>
      <c r="I470">
        <f>VLOOKUP($C470, Egli_UPEC_metadata_provided!$A$2:$M$826, 8, FALSE)</f>
        <v>89.151059466848906</v>
      </c>
      <c r="J470" t="b">
        <f>VLOOKUP($C470, Egli_UPEC_metadata_provided!$A$2:$M$826, 9, FALSE)</f>
        <v>0</v>
      </c>
      <c r="K470">
        <f>VLOOKUP($C470, Egli_UPEC_metadata_provided!$A$2:$M$826, 10, FALSE)</f>
        <v>0</v>
      </c>
      <c r="L470" t="str">
        <f>VLOOKUP($C470, Egli_UPEC_metadata_provided!$A$2:$M$826, 11, FALSE)</f>
        <v>non-invasive</v>
      </c>
      <c r="M470">
        <f>VLOOKUP($C470, Egli_UPEC_metadata_provided!$A$2:$M$826, 12, FALSE)</f>
        <v>0</v>
      </c>
      <c r="N470">
        <f>VLOOKUP($C470, Egli_UPEC_metadata_provided!$A$2:$M$826, 13, FALSE)</f>
        <v>0</v>
      </c>
      <c r="O470">
        <f>VLOOKUP($C470, Egli_UPEC_metadata_provided!$A$2:$N$826, 14, FALSE)</f>
        <v>0</v>
      </c>
    </row>
    <row r="471" spans="1:15" x14ac:dyDescent="0.2">
      <c r="A471" t="s">
        <v>436</v>
      </c>
      <c r="B471" t="s">
        <v>3671</v>
      </c>
      <c r="C471" t="s">
        <v>3671</v>
      </c>
      <c r="D471">
        <f>VLOOKUP($C471, Egli_UPEC_metadata_provided!$A$2:$M$826, 3, FALSE)</f>
        <v>2019</v>
      </c>
      <c r="E471" t="str">
        <f>VLOOKUP($C471, Egli_UPEC_metadata_provided!$A$2:$M$826, 4, FALSE)</f>
        <v>B1</v>
      </c>
      <c r="F471" t="str">
        <f>VLOOKUP($C471, Egli_UPEC_metadata_provided!$A$2:$M$826, 5, FALSE)</f>
        <v>w</v>
      </c>
      <c r="G471">
        <f>VLOOKUP($C471, Egli_UPEC_metadata_provided!$A$2:$M$826, 6, FALSE)</f>
        <v>0</v>
      </c>
      <c r="H471">
        <f>VLOOKUP($C471, Egli_UPEC_metadata_provided!$A$2:$M$826, 7, FALSE)</f>
        <v>0</v>
      </c>
      <c r="I471">
        <f>VLOOKUP($C471, Egli_UPEC_metadata_provided!$A$2:$M$826, 8, FALSE)</f>
        <v>70.009569377990402</v>
      </c>
      <c r="J471" t="b">
        <f>VLOOKUP($C471, Egli_UPEC_metadata_provided!$A$2:$M$826, 9, FALSE)</f>
        <v>0</v>
      </c>
      <c r="K471">
        <f>VLOOKUP($C471, Egli_UPEC_metadata_provided!$A$2:$M$826, 10, FALSE)</f>
        <v>0</v>
      </c>
      <c r="L471" t="str">
        <f>VLOOKUP($C471, Egli_UPEC_metadata_provided!$A$2:$M$826, 11, FALSE)</f>
        <v>non-invasive</v>
      </c>
      <c r="M471">
        <f>VLOOKUP($C471, Egli_UPEC_metadata_provided!$A$2:$M$826, 12, FALSE)</f>
        <v>0</v>
      </c>
      <c r="N471">
        <f>VLOOKUP($C471, Egli_UPEC_metadata_provided!$A$2:$M$826, 13, FALSE)</f>
        <v>0</v>
      </c>
      <c r="O471">
        <f>VLOOKUP($C471, Egli_UPEC_metadata_provided!$A$2:$N$826, 14, FALSE)</f>
        <v>0</v>
      </c>
    </row>
    <row r="472" spans="1:15" x14ac:dyDescent="0.2">
      <c r="A472" t="s">
        <v>437</v>
      </c>
      <c r="B472" t="s">
        <v>3672</v>
      </c>
      <c r="C472" t="s">
        <v>3672</v>
      </c>
      <c r="D472">
        <f>VLOOKUP($C472, Egli_UPEC_metadata_provided!$A$2:$M$826, 3, FALSE)</f>
        <v>2019</v>
      </c>
      <c r="E472" t="str">
        <f>VLOOKUP($C472, Egli_UPEC_metadata_provided!$A$2:$M$826, 4, FALSE)</f>
        <v>B2-1</v>
      </c>
      <c r="F472" t="str">
        <f>VLOOKUP($C472, Egli_UPEC_metadata_provided!$A$2:$M$826, 5, FALSE)</f>
        <v>m</v>
      </c>
      <c r="G472">
        <f>VLOOKUP($C472, Egli_UPEC_metadata_provided!$A$2:$M$826, 6, FALSE)</f>
        <v>0</v>
      </c>
      <c r="H472">
        <f>VLOOKUP($C472, Egli_UPEC_metadata_provided!$A$2:$M$826, 7, FALSE)</f>
        <v>7</v>
      </c>
      <c r="I472">
        <f>VLOOKUP($C472, Egli_UPEC_metadata_provided!$A$2:$M$826, 8, FALSE)</f>
        <v>93.8154477101846</v>
      </c>
      <c r="J472" t="b">
        <f>VLOOKUP($C472, Egli_UPEC_metadata_provided!$A$2:$M$826, 9, FALSE)</f>
        <v>0</v>
      </c>
      <c r="K472">
        <f>VLOOKUP($C472, Egli_UPEC_metadata_provided!$A$2:$M$826, 10, FALSE)</f>
        <v>1</v>
      </c>
      <c r="L472" t="str">
        <f>VLOOKUP($C472, Egli_UPEC_metadata_provided!$A$2:$M$826, 11, FALSE)</f>
        <v>non-invasive</v>
      </c>
      <c r="M472">
        <f>VLOOKUP($C472, Egli_UPEC_metadata_provided!$A$2:$M$826, 12, FALSE)</f>
        <v>0</v>
      </c>
      <c r="N472">
        <f>VLOOKUP($C472, Egli_UPEC_metadata_provided!$A$2:$M$826, 13, FALSE)</f>
        <v>0</v>
      </c>
      <c r="O472">
        <f>VLOOKUP($C472, Egli_UPEC_metadata_provided!$A$2:$N$826, 14, FALSE)</f>
        <v>0</v>
      </c>
    </row>
    <row r="473" spans="1:15" x14ac:dyDescent="0.2">
      <c r="A473" t="s">
        <v>438</v>
      </c>
      <c r="B473" t="s">
        <v>3673</v>
      </c>
      <c r="C473" t="s">
        <v>3673</v>
      </c>
      <c r="D473">
        <f>VLOOKUP($C473, Egli_UPEC_metadata_provided!$A$2:$M$826, 3, FALSE)</f>
        <v>2019</v>
      </c>
      <c r="E473" t="str">
        <f>VLOOKUP($C473, Egli_UPEC_metadata_provided!$A$2:$M$826, 4, FALSE)</f>
        <v>B2-1</v>
      </c>
      <c r="F473" t="str">
        <f>VLOOKUP($C473, Egli_UPEC_metadata_provided!$A$2:$M$826, 5, FALSE)</f>
        <v>w</v>
      </c>
      <c r="G473">
        <f>VLOOKUP($C473, Egli_UPEC_metadata_provided!$A$2:$M$826, 6, FALSE)</f>
        <v>0</v>
      </c>
      <c r="H473">
        <f>VLOOKUP($C473, Egli_UPEC_metadata_provided!$A$2:$M$826, 7, FALSE)</f>
        <v>5</v>
      </c>
      <c r="I473">
        <f>VLOOKUP($C473, Egli_UPEC_metadata_provided!$A$2:$M$826, 8, FALSE)</f>
        <v>83.838687628161296</v>
      </c>
      <c r="J473" t="b">
        <f>VLOOKUP($C473, Egli_UPEC_metadata_provided!$A$2:$M$826, 9, FALSE)</f>
        <v>0</v>
      </c>
      <c r="K473">
        <f>VLOOKUP($C473, Egli_UPEC_metadata_provided!$A$2:$M$826, 10, FALSE)</f>
        <v>1</v>
      </c>
      <c r="L473" t="str">
        <f>VLOOKUP($C473, Egli_UPEC_metadata_provided!$A$2:$M$826, 11, FALSE)</f>
        <v>non-invasive</v>
      </c>
      <c r="M473">
        <f>VLOOKUP($C473, Egli_UPEC_metadata_provided!$A$2:$M$826, 12, FALSE)</f>
        <v>1</v>
      </c>
      <c r="N473">
        <f>VLOOKUP($C473, Egli_UPEC_metadata_provided!$A$2:$M$826, 13, FALSE)</f>
        <v>0</v>
      </c>
      <c r="O473">
        <f>VLOOKUP($C473, Egli_UPEC_metadata_provided!$A$2:$N$826, 14, FALSE)</f>
        <v>1</v>
      </c>
    </row>
    <row r="474" spans="1:15" x14ac:dyDescent="0.2">
      <c r="A474" t="s">
        <v>439</v>
      </c>
      <c r="B474" t="s">
        <v>3674</v>
      </c>
      <c r="C474" t="s">
        <v>3674</v>
      </c>
      <c r="D474">
        <f>VLOOKUP($C474, Egli_UPEC_metadata_provided!$A$2:$M$826, 3, FALSE)</f>
        <v>2019</v>
      </c>
      <c r="E474" t="str">
        <f>VLOOKUP($C474, Egli_UPEC_metadata_provided!$A$2:$M$826, 4, FALSE)</f>
        <v>B1</v>
      </c>
      <c r="F474" t="str">
        <f>VLOOKUP($C474, Egli_UPEC_metadata_provided!$A$2:$M$826, 5, FALSE)</f>
        <v>w</v>
      </c>
      <c r="G474">
        <f>VLOOKUP($C474, Egli_UPEC_metadata_provided!$A$2:$M$826, 6, FALSE)</f>
        <v>0</v>
      </c>
      <c r="H474">
        <f>VLOOKUP($C474, Egli_UPEC_metadata_provided!$A$2:$M$826, 7, FALSE)</f>
        <v>2</v>
      </c>
      <c r="I474">
        <f>VLOOKUP($C474, Egli_UPEC_metadata_provided!$A$2:$M$826, 8, FALSE)</f>
        <v>70.561859193438096</v>
      </c>
      <c r="J474" t="b">
        <f>VLOOKUP($C474, Egli_UPEC_metadata_provided!$A$2:$M$826, 9, FALSE)</f>
        <v>0</v>
      </c>
      <c r="K474">
        <f>VLOOKUP($C474, Egli_UPEC_metadata_provided!$A$2:$M$826, 10, FALSE)</f>
        <v>0</v>
      </c>
      <c r="L474" t="str">
        <f>VLOOKUP($C474, Egli_UPEC_metadata_provided!$A$2:$M$826, 11, FALSE)</f>
        <v>non-invasive</v>
      </c>
      <c r="M474">
        <f>VLOOKUP($C474, Egli_UPEC_metadata_provided!$A$2:$M$826, 12, FALSE)</f>
        <v>0</v>
      </c>
      <c r="N474">
        <f>VLOOKUP($C474, Egli_UPEC_metadata_provided!$A$2:$M$826, 13, FALSE)</f>
        <v>0</v>
      </c>
      <c r="O474">
        <f>VLOOKUP($C474, Egli_UPEC_metadata_provided!$A$2:$N$826, 14, FALSE)</f>
        <v>1</v>
      </c>
    </row>
    <row r="475" spans="1:15" x14ac:dyDescent="0.2">
      <c r="A475" t="s">
        <v>440</v>
      </c>
      <c r="B475" t="s">
        <v>3675</v>
      </c>
      <c r="C475" t="s">
        <v>3675</v>
      </c>
      <c r="D475">
        <f>VLOOKUP($C475, Egli_UPEC_metadata_provided!$A$2:$M$826, 3, FALSE)</f>
        <v>2019</v>
      </c>
      <c r="E475" t="str">
        <f>VLOOKUP($C475, Egli_UPEC_metadata_provided!$A$2:$M$826, 4, FALSE)</f>
        <v>A</v>
      </c>
      <c r="F475" t="str">
        <f>VLOOKUP($C475, Egli_UPEC_metadata_provided!$A$2:$M$826, 5, FALSE)</f>
        <v>w</v>
      </c>
      <c r="G475">
        <f>VLOOKUP($C475, Egli_UPEC_metadata_provided!$A$2:$M$826, 6, FALSE)</f>
        <v>0</v>
      </c>
      <c r="H475">
        <f>VLOOKUP($C475, Egli_UPEC_metadata_provided!$A$2:$M$826, 7, FALSE)</f>
        <v>4</v>
      </c>
      <c r="I475">
        <f>VLOOKUP($C475, Egli_UPEC_metadata_provided!$A$2:$M$826, 8, FALSE)</f>
        <v>79.718386876281599</v>
      </c>
      <c r="J475" t="b">
        <f>VLOOKUP($C475, Egli_UPEC_metadata_provided!$A$2:$M$826, 9, FALSE)</f>
        <v>0</v>
      </c>
      <c r="K475">
        <f>VLOOKUP($C475, Egli_UPEC_metadata_provided!$A$2:$M$826, 10, FALSE)</f>
        <v>0</v>
      </c>
      <c r="L475" t="str">
        <f>VLOOKUP($C475, Egli_UPEC_metadata_provided!$A$2:$M$826, 11, FALSE)</f>
        <v>non-invasive</v>
      </c>
      <c r="M475">
        <f>VLOOKUP($C475, Egli_UPEC_metadata_provided!$A$2:$M$826, 12, FALSE)</f>
        <v>0</v>
      </c>
      <c r="N475">
        <f>VLOOKUP($C475, Egli_UPEC_metadata_provided!$A$2:$M$826, 13, FALSE)</f>
        <v>0</v>
      </c>
      <c r="O475">
        <f>VLOOKUP($C475, Egli_UPEC_metadata_provided!$A$2:$N$826, 14, FALSE)</f>
        <v>1</v>
      </c>
    </row>
    <row r="476" spans="1:15" x14ac:dyDescent="0.2">
      <c r="A476" t="s">
        <v>441</v>
      </c>
      <c r="B476" t="s">
        <v>3676</v>
      </c>
      <c r="C476" t="s">
        <v>3676</v>
      </c>
      <c r="D476">
        <f>VLOOKUP($C476, Egli_UPEC_metadata_provided!$A$2:$M$826, 3, FALSE)</f>
        <v>2019</v>
      </c>
      <c r="E476" t="str">
        <f>VLOOKUP($C476, Egli_UPEC_metadata_provided!$A$2:$M$826, 4, FALSE)</f>
        <v>B2-2</v>
      </c>
      <c r="F476" t="str">
        <f>VLOOKUP($C476, Egli_UPEC_metadata_provided!$A$2:$M$826, 5, FALSE)</f>
        <v>w</v>
      </c>
      <c r="G476">
        <f>VLOOKUP($C476, Egli_UPEC_metadata_provided!$A$2:$M$826, 6, FALSE)</f>
        <v>0</v>
      </c>
      <c r="H476">
        <f>VLOOKUP($C476, Egli_UPEC_metadata_provided!$A$2:$M$826, 7, FALSE)</f>
        <v>1</v>
      </c>
      <c r="I476">
        <f>VLOOKUP($C476, Egli_UPEC_metadata_provided!$A$2:$M$826, 8, FALSE)</f>
        <v>82.941900205058104</v>
      </c>
      <c r="J476" t="b">
        <f>VLOOKUP($C476, Egli_UPEC_metadata_provided!$A$2:$M$826, 9, FALSE)</f>
        <v>0</v>
      </c>
      <c r="K476">
        <f>VLOOKUP($C476, Egli_UPEC_metadata_provided!$A$2:$M$826, 10, FALSE)</f>
        <v>0</v>
      </c>
      <c r="L476" t="str">
        <f>VLOOKUP($C476, Egli_UPEC_metadata_provided!$A$2:$M$826, 11, FALSE)</f>
        <v>non-invasive</v>
      </c>
      <c r="M476">
        <f>VLOOKUP($C476, Egli_UPEC_metadata_provided!$A$2:$M$826, 12, FALSE)</f>
        <v>0</v>
      </c>
      <c r="N476">
        <f>VLOOKUP($C476, Egli_UPEC_metadata_provided!$A$2:$M$826, 13, FALSE)</f>
        <v>0</v>
      </c>
      <c r="O476">
        <f>VLOOKUP($C476, Egli_UPEC_metadata_provided!$A$2:$N$826, 14, FALSE)</f>
        <v>1</v>
      </c>
    </row>
    <row r="477" spans="1:15" x14ac:dyDescent="0.2">
      <c r="A477" t="s">
        <v>442</v>
      </c>
      <c r="B477" t="s">
        <v>3677</v>
      </c>
      <c r="C477" t="s">
        <v>3677</v>
      </c>
      <c r="D477">
        <f>VLOOKUP($C477, Egli_UPEC_metadata_provided!$A$2:$M$826, 3, FALSE)</f>
        <v>2019</v>
      </c>
      <c r="E477" t="str">
        <f>VLOOKUP($C477, Egli_UPEC_metadata_provided!$A$2:$M$826, 4, FALSE)</f>
        <v>B2-2</v>
      </c>
      <c r="F477" t="str">
        <f>VLOOKUP($C477, Egli_UPEC_metadata_provided!$A$2:$M$826, 5, FALSE)</f>
        <v>w</v>
      </c>
      <c r="G477">
        <f>VLOOKUP($C477, Egli_UPEC_metadata_provided!$A$2:$M$826, 6, FALSE)</f>
        <v>0</v>
      </c>
      <c r="H477">
        <f>VLOOKUP($C477, Egli_UPEC_metadata_provided!$A$2:$M$826, 7, FALSE)</f>
        <v>2</v>
      </c>
      <c r="I477">
        <f>VLOOKUP($C477, Egli_UPEC_metadata_provided!$A$2:$M$826, 8, FALSE)</f>
        <v>90.263841421736203</v>
      </c>
      <c r="J477" t="b">
        <f>VLOOKUP($C477, Egli_UPEC_metadata_provided!$A$2:$M$826, 9, FALSE)</f>
        <v>0</v>
      </c>
      <c r="K477">
        <f>VLOOKUP($C477, Egli_UPEC_metadata_provided!$A$2:$M$826, 10, FALSE)</f>
        <v>0</v>
      </c>
      <c r="L477" t="str">
        <f>VLOOKUP($C477, Egli_UPEC_metadata_provided!$A$2:$M$826, 11, FALSE)</f>
        <v>non-invasive</v>
      </c>
      <c r="M477">
        <f>VLOOKUP($C477, Egli_UPEC_metadata_provided!$A$2:$M$826, 12, FALSE)</f>
        <v>0</v>
      </c>
      <c r="N477">
        <f>VLOOKUP($C477, Egli_UPEC_metadata_provided!$A$2:$M$826, 13, FALSE)</f>
        <v>0</v>
      </c>
      <c r="O477">
        <f>VLOOKUP($C477, Egli_UPEC_metadata_provided!$A$2:$N$826, 14, FALSE)</f>
        <v>1</v>
      </c>
    </row>
    <row r="478" spans="1:15" x14ac:dyDescent="0.2">
      <c r="A478" t="s">
        <v>443</v>
      </c>
      <c r="B478" t="s">
        <v>3678</v>
      </c>
      <c r="C478" t="s">
        <v>3678</v>
      </c>
      <c r="D478">
        <f>VLOOKUP($C478, Egli_UPEC_metadata_provided!$A$2:$M$826, 3, FALSE)</f>
        <v>2019</v>
      </c>
      <c r="E478" t="str">
        <f>VLOOKUP($C478, Egli_UPEC_metadata_provided!$A$2:$M$826, 4, FALSE)</f>
        <v>A</v>
      </c>
      <c r="F478" t="str">
        <f>VLOOKUP($C478, Egli_UPEC_metadata_provided!$A$2:$M$826, 5, FALSE)</f>
        <v>w</v>
      </c>
      <c r="G478">
        <f>VLOOKUP($C478, Egli_UPEC_metadata_provided!$A$2:$M$826, 6, FALSE)</f>
        <v>0</v>
      </c>
      <c r="H478">
        <f>VLOOKUP($C478, Egli_UPEC_metadata_provided!$A$2:$M$826, 7, FALSE)</f>
        <v>2</v>
      </c>
      <c r="I478">
        <f>VLOOKUP($C478, Egli_UPEC_metadata_provided!$A$2:$M$826, 8, FALSE)</f>
        <v>90.739576213260406</v>
      </c>
      <c r="J478" t="b">
        <f>VLOOKUP($C478, Egli_UPEC_metadata_provided!$A$2:$M$826, 9, FALSE)</f>
        <v>0</v>
      </c>
      <c r="K478">
        <f>VLOOKUP($C478, Egli_UPEC_metadata_provided!$A$2:$M$826, 10, FALSE)</f>
        <v>0</v>
      </c>
      <c r="L478" t="str">
        <f>VLOOKUP($C478, Egli_UPEC_metadata_provided!$A$2:$M$826, 11, FALSE)</f>
        <v>non-invasive</v>
      </c>
      <c r="M478">
        <f>VLOOKUP($C478, Egli_UPEC_metadata_provided!$A$2:$M$826, 12, FALSE)</f>
        <v>0</v>
      </c>
      <c r="N478">
        <f>VLOOKUP($C478, Egli_UPEC_metadata_provided!$A$2:$M$826, 13, FALSE)</f>
        <v>0</v>
      </c>
      <c r="O478">
        <f>VLOOKUP($C478, Egli_UPEC_metadata_provided!$A$2:$N$826, 14, FALSE)</f>
        <v>0</v>
      </c>
    </row>
    <row r="479" spans="1:15" x14ac:dyDescent="0.2">
      <c r="A479" t="s">
        <v>444</v>
      </c>
      <c r="B479" t="s">
        <v>3679</v>
      </c>
      <c r="C479" t="s">
        <v>3679</v>
      </c>
      <c r="D479">
        <f>VLOOKUP($C479, Egli_UPEC_metadata_provided!$A$2:$M$826, 3, FALSE)</f>
        <v>2019</v>
      </c>
      <c r="E479" t="str">
        <f>VLOOKUP($C479, Egli_UPEC_metadata_provided!$A$2:$M$826, 4, FALSE)</f>
        <v>B2-1</v>
      </c>
      <c r="F479" t="str">
        <f>VLOOKUP($C479, Egli_UPEC_metadata_provided!$A$2:$M$826, 5, FALSE)</f>
        <v>w</v>
      </c>
      <c r="G479">
        <f>VLOOKUP($C479, Egli_UPEC_metadata_provided!$A$2:$M$826, 6, FALSE)</f>
        <v>0</v>
      </c>
      <c r="H479">
        <f>VLOOKUP($C479, Egli_UPEC_metadata_provided!$A$2:$M$826, 7, FALSE)</f>
        <v>2</v>
      </c>
      <c r="I479">
        <f>VLOOKUP($C479, Egli_UPEC_metadata_provided!$A$2:$M$826, 8, FALSE)</f>
        <v>70.564593301435394</v>
      </c>
      <c r="J479" t="b">
        <f>VLOOKUP($C479, Egli_UPEC_metadata_provided!$A$2:$M$826, 9, FALSE)</f>
        <v>0</v>
      </c>
      <c r="K479">
        <f>VLOOKUP($C479, Egli_UPEC_metadata_provided!$A$2:$M$826, 10, FALSE)</f>
        <v>0</v>
      </c>
      <c r="L479" t="str">
        <f>VLOOKUP($C479, Egli_UPEC_metadata_provided!$A$2:$M$826, 11, FALSE)</f>
        <v>non-invasive</v>
      </c>
      <c r="M479">
        <f>VLOOKUP($C479, Egli_UPEC_metadata_provided!$A$2:$M$826, 12, FALSE)</f>
        <v>1</v>
      </c>
      <c r="N479">
        <f>VLOOKUP($C479, Egli_UPEC_metadata_provided!$A$2:$M$826, 13, FALSE)</f>
        <v>0</v>
      </c>
      <c r="O479">
        <f>VLOOKUP($C479, Egli_UPEC_metadata_provided!$A$2:$N$826, 14, FALSE)</f>
        <v>0</v>
      </c>
    </row>
    <row r="480" spans="1:15" x14ac:dyDescent="0.2">
      <c r="A480" t="s">
        <v>445</v>
      </c>
      <c r="B480" t="s">
        <v>3680</v>
      </c>
      <c r="C480" t="s">
        <v>3680</v>
      </c>
      <c r="D480">
        <f>VLOOKUP($C480, Egli_UPEC_metadata_provided!$A$2:$M$826, 3, FALSE)</f>
        <v>2019</v>
      </c>
      <c r="E480" t="str">
        <f>VLOOKUP($C480, Egli_UPEC_metadata_provided!$A$2:$M$826, 4, FALSE)</f>
        <v>D1</v>
      </c>
      <c r="F480" t="str">
        <f>VLOOKUP($C480, Egli_UPEC_metadata_provided!$A$2:$M$826, 5, FALSE)</f>
        <v>w</v>
      </c>
      <c r="G480">
        <f>VLOOKUP($C480, Egli_UPEC_metadata_provided!$A$2:$M$826, 6, FALSE)</f>
        <v>0</v>
      </c>
      <c r="H480">
        <f>VLOOKUP($C480, Egli_UPEC_metadata_provided!$A$2:$M$826, 7, FALSE)</f>
        <v>1</v>
      </c>
      <c r="I480">
        <f>VLOOKUP($C480, Egli_UPEC_metadata_provided!$A$2:$M$826, 8, FALSE)</f>
        <v>52.158578263841399</v>
      </c>
      <c r="J480" t="b">
        <f>VLOOKUP($C480, Egli_UPEC_metadata_provided!$A$2:$M$826, 9, FALSE)</f>
        <v>0</v>
      </c>
      <c r="K480">
        <f>VLOOKUP($C480, Egli_UPEC_metadata_provided!$A$2:$M$826, 10, FALSE)</f>
        <v>1</v>
      </c>
      <c r="L480" t="str">
        <f>VLOOKUP($C480, Egli_UPEC_metadata_provided!$A$2:$M$826, 11, FALSE)</f>
        <v>non-invasive</v>
      </c>
      <c r="M480">
        <f>VLOOKUP($C480, Egli_UPEC_metadata_provided!$A$2:$M$826, 12, FALSE)</f>
        <v>1</v>
      </c>
      <c r="N480">
        <f>VLOOKUP($C480, Egli_UPEC_metadata_provided!$A$2:$M$826, 13, FALSE)</f>
        <v>0</v>
      </c>
      <c r="O480">
        <f>VLOOKUP($C480, Egli_UPEC_metadata_provided!$A$2:$N$826, 14, FALSE)</f>
        <v>0</v>
      </c>
    </row>
    <row r="481" spans="1:15" x14ac:dyDescent="0.2">
      <c r="A481" t="s">
        <v>446</v>
      </c>
      <c r="B481" t="s">
        <v>3681</v>
      </c>
      <c r="C481" t="s">
        <v>3681</v>
      </c>
      <c r="D481">
        <f>VLOOKUP($C481, Egli_UPEC_metadata_provided!$A$2:$M$826, 3, FALSE)</f>
        <v>2019</v>
      </c>
      <c r="E481" t="str">
        <f>VLOOKUP($C481, Egli_UPEC_metadata_provided!$A$2:$M$826, 4, FALSE)</f>
        <v>B2-2</v>
      </c>
      <c r="F481" t="str">
        <f>VLOOKUP($C481, Egli_UPEC_metadata_provided!$A$2:$M$826, 5, FALSE)</f>
        <v>m</v>
      </c>
      <c r="G481">
        <f>VLOOKUP($C481, Egli_UPEC_metadata_provided!$A$2:$M$826, 6, FALSE)</f>
        <v>0</v>
      </c>
      <c r="H481">
        <f>VLOOKUP($C481, Egli_UPEC_metadata_provided!$A$2:$M$826, 7, FALSE)</f>
        <v>2</v>
      </c>
      <c r="I481">
        <f>VLOOKUP($C481, Egli_UPEC_metadata_provided!$A$2:$M$826, 8, FALSE)</f>
        <v>88.008202323991796</v>
      </c>
      <c r="J481" t="b">
        <f>VLOOKUP($C481, Egli_UPEC_metadata_provided!$A$2:$M$826, 9, FALSE)</f>
        <v>0</v>
      </c>
      <c r="K481">
        <f>VLOOKUP($C481, Egli_UPEC_metadata_provided!$A$2:$M$826, 10, FALSE)</f>
        <v>0</v>
      </c>
      <c r="L481" t="str">
        <f>VLOOKUP($C481, Egli_UPEC_metadata_provided!$A$2:$M$826, 11, FALSE)</f>
        <v>non-invasive</v>
      </c>
      <c r="M481">
        <f>VLOOKUP($C481, Egli_UPEC_metadata_provided!$A$2:$M$826, 12, FALSE)</f>
        <v>0</v>
      </c>
      <c r="N481">
        <f>VLOOKUP($C481, Egli_UPEC_metadata_provided!$A$2:$M$826, 13, FALSE)</f>
        <v>0</v>
      </c>
      <c r="O481">
        <f>VLOOKUP($C481, Egli_UPEC_metadata_provided!$A$2:$N$826, 14, FALSE)</f>
        <v>0</v>
      </c>
    </row>
    <row r="482" spans="1:15" x14ac:dyDescent="0.2">
      <c r="A482" t="s">
        <v>447</v>
      </c>
      <c r="B482" t="s">
        <v>3682</v>
      </c>
      <c r="C482" t="s">
        <v>3682</v>
      </c>
      <c r="D482">
        <f>VLOOKUP($C482, Egli_UPEC_metadata_provided!$A$2:$M$826, 3, FALSE)</f>
        <v>2019</v>
      </c>
      <c r="E482" t="str">
        <f>VLOOKUP($C482, Egli_UPEC_metadata_provided!$A$2:$M$826, 4, FALSE)</f>
        <v>C</v>
      </c>
      <c r="F482" t="str">
        <f>VLOOKUP($C482, Egli_UPEC_metadata_provided!$A$2:$M$826, 5, FALSE)</f>
        <v>m</v>
      </c>
      <c r="G482">
        <f>VLOOKUP($C482, Egli_UPEC_metadata_provided!$A$2:$M$826, 6, FALSE)</f>
        <v>0</v>
      </c>
      <c r="H482">
        <f>VLOOKUP($C482, Egli_UPEC_metadata_provided!$A$2:$M$826, 7, FALSE)</f>
        <v>5</v>
      </c>
      <c r="I482">
        <f>VLOOKUP($C482, Egli_UPEC_metadata_provided!$A$2:$M$826, 8, FALSE)</f>
        <v>86.777853725222101</v>
      </c>
      <c r="J482" t="b">
        <f>VLOOKUP($C482, Egli_UPEC_metadata_provided!$A$2:$M$826, 9, FALSE)</f>
        <v>0</v>
      </c>
      <c r="K482">
        <f>VLOOKUP($C482, Egli_UPEC_metadata_provided!$A$2:$M$826, 10, FALSE)</f>
        <v>0</v>
      </c>
      <c r="L482" t="str">
        <f>VLOOKUP($C482, Egli_UPEC_metadata_provided!$A$2:$M$826, 11, FALSE)</f>
        <v>non-invasive</v>
      </c>
      <c r="M482">
        <f>VLOOKUP($C482, Egli_UPEC_metadata_provided!$A$2:$M$826, 12, FALSE)</f>
        <v>0</v>
      </c>
      <c r="N482">
        <f>VLOOKUP($C482, Egli_UPEC_metadata_provided!$A$2:$M$826, 13, FALSE)</f>
        <v>0</v>
      </c>
      <c r="O482">
        <f>VLOOKUP($C482, Egli_UPEC_metadata_provided!$A$2:$N$826, 14, FALSE)</f>
        <v>0</v>
      </c>
    </row>
    <row r="483" spans="1:15" x14ac:dyDescent="0.2">
      <c r="A483" t="s">
        <v>448</v>
      </c>
      <c r="B483" t="s">
        <v>3683</v>
      </c>
      <c r="C483" t="s">
        <v>3683</v>
      </c>
      <c r="D483">
        <f>VLOOKUP($C483, Egli_UPEC_metadata_provided!$A$2:$M$826, 3, FALSE)</f>
        <v>2019</v>
      </c>
      <c r="E483" t="str">
        <f>VLOOKUP($C483, Egli_UPEC_metadata_provided!$A$2:$M$826, 4, FALSE)</f>
        <v>B2-1</v>
      </c>
      <c r="F483" t="str">
        <f>VLOOKUP($C483, Egli_UPEC_metadata_provided!$A$2:$M$826, 5, FALSE)</f>
        <v>w</v>
      </c>
      <c r="G483">
        <f>VLOOKUP($C483, Egli_UPEC_metadata_provided!$A$2:$M$826, 6, FALSE)</f>
        <v>0</v>
      </c>
      <c r="H483">
        <f>VLOOKUP($C483, Egli_UPEC_metadata_provided!$A$2:$M$826, 7, FALSE)</f>
        <v>1</v>
      </c>
      <c r="I483">
        <f>VLOOKUP($C483, Egli_UPEC_metadata_provided!$A$2:$M$826, 8, FALSE)</f>
        <v>84.330827067669205</v>
      </c>
      <c r="J483" t="b">
        <f>VLOOKUP($C483, Egli_UPEC_metadata_provided!$A$2:$M$826, 9, FALSE)</f>
        <v>0</v>
      </c>
      <c r="K483">
        <f>VLOOKUP($C483, Egli_UPEC_metadata_provided!$A$2:$M$826, 10, FALSE)</f>
        <v>0</v>
      </c>
      <c r="L483" t="str">
        <f>VLOOKUP($C483, Egli_UPEC_metadata_provided!$A$2:$M$826, 11, FALSE)</f>
        <v>non-invasive</v>
      </c>
      <c r="M483">
        <f>VLOOKUP($C483, Egli_UPEC_metadata_provided!$A$2:$M$826, 12, FALSE)</f>
        <v>0</v>
      </c>
      <c r="N483">
        <f>VLOOKUP($C483, Egli_UPEC_metadata_provided!$A$2:$M$826, 13, FALSE)</f>
        <v>0</v>
      </c>
      <c r="O483">
        <f>VLOOKUP($C483, Egli_UPEC_metadata_provided!$A$2:$N$826, 14, FALSE)</f>
        <v>0</v>
      </c>
    </row>
    <row r="484" spans="1:15" x14ac:dyDescent="0.2">
      <c r="A484" t="s">
        <v>449</v>
      </c>
      <c r="B484" t="s">
        <v>3684</v>
      </c>
      <c r="C484" t="s">
        <v>3684</v>
      </c>
      <c r="D484">
        <f>VLOOKUP($C484, Egli_UPEC_metadata_provided!$A$2:$M$826, 3, FALSE)</f>
        <v>2019</v>
      </c>
      <c r="E484" t="str">
        <f>VLOOKUP($C484, Egli_UPEC_metadata_provided!$A$2:$M$826, 4, FALSE)</f>
        <v>D1</v>
      </c>
      <c r="F484" t="str">
        <f>VLOOKUP($C484, Egli_UPEC_metadata_provided!$A$2:$M$826, 5, FALSE)</f>
        <v>m</v>
      </c>
      <c r="G484">
        <f>VLOOKUP($C484, Egli_UPEC_metadata_provided!$A$2:$M$826, 6, FALSE)</f>
        <v>1</v>
      </c>
      <c r="H484">
        <f>VLOOKUP($C484, Egli_UPEC_metadata_provided!$A$2:$M$826, 7, FALSE)</f>
        <v>7</v>
      </c>
      <c r="I484">
        <f>VLOOKUP($C484, Egli_UPEC_metadata_provided!$A$2:$M$826, 8, FALSE)</f>
        <v>66.217361585782598</v>
      </c>
      <c r="J484" t="b">
        <f>VLOOKUP($C484, Egli_UPEC_metadata_provided!$A$2:$M$826, 9, FALSE)</f>
        <v>0</v>
      </c>
      <c r="K484">
        <f>VLOOKUP($C484, Egli_UPEC_metadata_provided!$A$2:$M$826, 10, FALSE)</f>
        <v>0</v>
      </c>
      <c r="L484" t="str">
        <f>VLOOKUP($C484, Egli_UPEC_metadata_provided!$A$2:$M$826, 11, FALSE)</f>
        <v>non-invasive</v>
      </c>
      <c r="M484">
        <f>VLOOKUP($C484, Egli_UPEC_metadata_provided!$A$2:$M$826, 12, FALSE)</f>
        <v>0</v>
      </c>
      <c r="N484">
        <f>VLOOKUP($C484, Egli_UPEC_metadata_provided!$A$2:$M$826, 13, FALSE)</f>
        <v>0</v>
      </c>
      <c r="O484">
        <f>VLOOKUP($C484, Egli_UPEC_metadata_provided!$A$2:$N$826, 14, FALSE)</f>
        <v>0</v>
      </c>
    </row>
    <row r="485" spans="1:15" x14ac:dyDescent="0.2">
      <c r="A485" t="s">
        <v>450</v>
      </c>
      <c r="B485" t="s">
        <v>3685</v>
      </c>
      <c r="C485" t="s">
        <v>3685</v>
      </c>
      <c r="D485">
        <f>VLOOKUP($C485, Egli_UPEC_metadata_provided!$A$2:$M$826, 3, FALSE)</f>
        <v>2019</v>
      </c>
      <c r="E485" t="str">
        <f>VLOOKUP($C485, Egli_UPEC_metadata_provided!$A$2:$M$826, 4, FALSE)</f>
        <v>B1</v>
      </c>
      <c r="F485" t="str">
        <f>VLOOKUP($C485, Egli_UPEC_metadata_provided!$A$2:$M$826, 5, FALSE)</f>
        <v>w</v>
      </c>
      <c r="G485">
        <f>VLOOKUP($C485, Egli_UPEC_metadata_provided!$A$2:$M$826, 6, FALSE)</f>
        <v>0</v>
      </c>
      <c r="H485">
        <f>VLOOKUP($C485, Egli_UPEC_metadata_provided!$A$2:$M$826, 7, FALSE)</f>
        <v>7</v>
      </c>
      <c r="I485">
        <f>VLOOKUP($C485, Egli_UPEC_metadata_provided!$A$2:$M$826, 8, FALSE)</f>
        <v>63.398496240601503</v>
      </c>
      <c r="J485" t="b">
        <f>VLOOKUP($C485, Egli_UPEC_metadata_provided!$A$2:$M$826, 9, FALSE)</f>
        <v>0</v>
      </c>
      <c r="K485">
        <f>VLOOKUP($C485, Egli_UPEC_metadata_provided!$A$2:$M$826, 10, FALSE)</f>
        <v>0</v>
      </c>
      <c r="L485" t="str">
        <f>VLOOKUP($C485, Egli_UPEC_metadata_provided!$A$2:$M$826, 11, FALSE)</f>
        <v>non-invasive</v>
      </c>
      <c r="M485">
        <f>VLOOKUP($C485, Egli_UPEC_metadata_provided!$A$2:$M$826, 12, FALSE)</f>
        <v>0</v>
      </c>
      <c r="N485">
        <f>VLOOKUP($C485, Egli_UPEC_metadata_provided!$A$2:$M$826, 13, FALSE)</f>
        <v>1</v>
      </c>
      <c r="O485">
        <f>VLOOKUP($C485, Egli_UPEC_metadata_provided!$A$2:$N$826, 14, FALSE)</f>
        <v>0</v>
      </c>
    </row>
    <row r="486" spans="1:15" x14ac:dyDescent="0.2">
      <c r="A486" t="s">
        <v>451</v>
      </c>
      <c r="B486" t="s">
        <v>3686</v>
      </c>
      <c r="C486" t="s">
        <v>3686</v>
      </c>
      <c r="D486">
        <f>VLOOKUP($C486, Egli_UPEC_metadata_provided!$A$2:$M$826, 3, FALSE)</f>
        <v>2019</v>
      </c>
      <c r="E486" t="str">
        <f>VLOOKUP($C486, Egli_UPEC_metadata_provided!$A$2:$M$826, 4, FALSE)</f>
        <v>C</v>
      </c>
      <c r="F486" t="str">
        <f>VLOOKUP($C486, Egli_UPEC_metadata_provided!$A$2:$M$826, 5, FALSE)</f>
        <v>w</v>
      </c>
      <c r="G486">
        <f>VLOOKUP($C486, Egli_UPEC_metadata_provided!$A$2:$M$826, 6, FALSE)</f>
        <v>0</v>
      </c>
      <c r="H486">
        <f>VLOOKUP($C486, Egli_UPEC_metadata_provided!$A$2:$M$826, 7, FALSE)</f>
        <v>2</v>
      </c>
      <c r="I486">
        <f>VLOOKUP($C486, Egli_UPEC_metadata_provided!$A$2:$M$826, 8, FALSE)</f>
        <v>76.642515379357505</v>
      </c>
      <c r="J486" t="b">
        <f>VLOOKUP($C486, Egli_UPEC_metadata_provided!$A$2:$M$826, 9, FALSE)</f>
        <v>0</v>
      </c>
      <c r="K486">
        <f>VLOOKUP($C486, Egli_UPEC_metadata_provided!$A$2:$M$826, 10, FALSE)</f>
        <v>0</v>
      </c>
      <c r="L486" t="str">
        <f>VLOOKUP($C486, Egli_UPEC_metadata_provided!$A$2:$M$826, 11, FALSE)</f>
        <v>non-invasive</v>
      </c>
      <c r="M486">
        <f>VLOOKUP($C486, Egli_UPEC_metadata_provided!$A$2:$M$826, 12, FALSE)</f>
        <v>0</v>
      </c>
      <c r="N486">
        <f>VLOOKUP($C486, Egli_UPEC_metadata_provided!$A$2:$M$826, 13, FALSE)</f>
        <v>0</v>
      </c>
      <c r="O486">
        <f>VLOOKUP($C486, Egli_UPEC_metadata_provided!$A$2:$N$826, 14, FALSE)</f>
        <v>0</v>
      </c>
    </row>
    <row r="487" spans="1:15" x14ac:dyDescent="0.2">
      <c r="A487" t="s">
        <v>452</v>
      </c>
      <c r="B487" t="s">
        <v>3687</v>
      </c>
      <c r="C487" t="s">
        <v>3687</v>
      </c>
      <c r="D487">
        <f>VLOOKUP($C487, Egli_UPEC_metadata_provided!$A$2:$M$826, 3, FALSE)</f>
        <v>2019</v>
      </c>
      <c r="E487" t="str">
        <f>VLOOKUP($C487, Egli_UPEC_metadata_provided!$A$2:$M$826, 4, FALSE)</f>
        <v>B2-2</v>
      </c>
      <c r="F487" t="str">
        <f>VLOOKUP($C487, Egli_UPEC_metadata_provided!$A$2:$M$826, 5, FALSE)</f>
        <v>m</v>
      </c>
      <c r="G487">
        <f>VLOOKUP($C487, Egli_UPEC_metadata_provided!$A$2:$M$826, 6, FALSE)</f>
        <v>0</v>
      </c>
      <c r="H487">
        <f>VLOOKUP($C487, Egli_UPEC_metadata_provided!$A$2:$M$826, 7, FALSE)</f>
        <v>1</v>
      </c>
      <c r="I487">
        <f>VLOOKUP($C487, Egli_UPEC_metadata_provided!$A$2:$M$826, 8, FALSE)</f>
        <v>82.406015037594003</v>
      </c>
      <c r="J487" t="b">
        <f>VLOOKUP($C487, Egli_UPEC_metadata_provided!$A$2:$M$826, 9, FALSE)</f>
        <v>1</v>
      </c>
      <c r="K487">
        <f>VLOOKUP($C487, Egli_UPEC_metadata_provided!$A$2:$M$826, 10, FALSE)</f>
        <v>0</v>
      </c>
      <c r="L487" t="str">
        <f>VLOOKUP($C487, Egli_UPEC_metadata_provided!$A$2:$M$826, 11, FALSE)</f>
        <v>non-invasive</v>
      </c>
      <c r="M487">
        <f>VLOOKUP($C487, Egli_UPEC_metadata_provided!$A$2:$M$826, 12, FALSE)</f>
        <v>0</v>
      </c>
      <c r="N487">
        <f>VLOOKUP($C487, Egli_UPEC_metadata_provided!$A$2:$M$826, 13, FALSE)</f>
        <v>1</v>
      </c>
      <c r="O487">
        <f>VLOOKUP($C487, Egli_UPEC_metadata_provided!$A$2:$N$826, 14, FALSE)</f>
        <v>0</v>
      </c>
    </row>
    <row r="488" spans="1:15" x14ac:dyDescent="0.2">
      <c r="A488" t="s">
        <v>453</v>
      </c>
      <c r="B488" t="s">
        <v>3688</v>
      </c>
      <c r="C488" t="s">
        <v>3688</v>
      </c>
      <c r="D488">
        <f>VLOOKUP($C488, Egli_UPEC_metadata_provided!$A$2:$M$826, 3, FALSE)</f>
        <v>2019</v>
      </c>
      <c r="E488" t="str">
        <f>VLOOKUP($C488, Egli_UPEC_metadata_provided!$A$2:$M$826, 4, FALSE)</f>
        <v>F</v>
      </c>
      <c r="F488" t="str">
        <f>VLOOKUP($C488, Egli_UPEC_metadata_provided!$A$2:$M$826, 5, FALSE)</f>
        <v>w</v>
      </c>
      <c r="G488">
        <f>VLOOKUP($C488, Egli_UPEC_metadata_provided!$A$2:$M$826, 6, FALSE)</f>
        <v>0</v>
      </c>
      <c r="H488">
        <f>VLOOKUP($C488, Egli_UPEC_metadata_provided!$A$2:$M$826, 7, FALSE)</f>
        <v>1</v>
      </c>
      <c r="I488">
        <f>VLOOKUP($C488, Egli_UPEC_metadata_provided!$A$2:$M$826, 8, FALSE)</f>
        <v>86.449760765550195</v>
      </c>
      <c r="J488" t="b">
        <f>VLOOKUP($C488, Egli_UPEC_metadata_provided!$A$2:$M$826, 9, FALSE)</f>
        <v>0</v>
      </c>
      <c r="K488">
        <f>VLOOKUP($C488, Egli_UPEC_metadata_provided!$A$2:$M$826, 10, FALSE)</f>
        <v>0</v>
      </c>
      <c r="L488" t="str">
        <f>VLOOKUP($C488, Egli_UPEC_metadata_provided!$A$2:$M$826, 11, FALSE)</f>
        <v>non-invasive</v>
      </c>
      <c r="M488">
        <f>VLOOKUP($C488, Egli_UPEC_metadata_provided!$A$2:$M$826, 12, FALSE)</f>
        <v>0</v>
      </c>
      <c r="N488">
        <f>VLOOKUP($C488, Egli_UPEC_metadata_provided!$A$2:$M$826, 13, FALSE)</f>
        <v>0</v>
      </c>
      <c r="O488">
        <f>VLOOKUP($C488, Egli_UPEC_metadata_provided!$A$2:$N$826, 14, FALSE)</f>
        <v>0</v>
      </c>
    </row>
    <row r="489" spans="1:15" x14ac:dyDescent="0.2">
      <c r="A489" t="s">
        <v>454</v>
      </c>
      <c r="B489" t="s">
        <v>3689</v>
      </c>
      <c r="C489" t="s">
        <v>3689</v>
      </c>
      <c r="D489">
        <f>VLOOKUP($C489, Egli_UPEC_metadata_provided!$A$2:$M$826, 3, FALSE)</f>
        <v>2019</v>
      </c>
      <c r="E489" t="str">
        <f>VLOOKUP($C489, Egli_UPEC_metadata_provided!$A$2:$M$826, 4, FALSE)</f>
        <v>A</v>
      </c>
      <c r="F489" t="str">
        <f>VLOOKUP($C489, Egli_UPEC_metadata_provided!$A$2:$M$826, 5, FALSE)</f>
        <v>w</v>
      </c>
      <c r="G489">
        <f>VLOOKUP($C489, Egli_UPEC_metadata_provided!$A$2:$M$826, 6, FALSE)</f>
        <v>1</v>
      </c>
      <c r="H489">
        <f>VLOOKUP($C489, Egli_UPEC_metadata_provided!$A$2:$M$826, 7, FALSE)</f>
        <v>2</v>
      </c>
      <c r="I489">
        <f>VLOOKUP($C489, Egli_UPEC_metadata_provided!$A$2:$M$826, 8, FALSE)</f>
        <v>57.358851674641201</v>
      </c>
      <c r="J489" t="b">
        <f>VLOOKUP($C489, Egli_UPEC_metadata_provided!$A$2:$M$826, 9, FALSE)</f>
        <v>0</v>
      </c>
      <c r="K489">
        <f>VLOOKUP($C489, Egli_UPEC_metadata_provided!$A$2:$M$826, 10, FALSE)</f>
        <v>0</v>
      </c>
      <c r="L489" t="str">
        <f>VLOOKUP($C489, Egli_UPEC_metadata_provided!$A$2:$M$826, 11, FALSE)</f>
        <v>non-invasive</v>
      </c>
      <c r="M489">
        <f>VLOOKUP($C489, Egli_UPEC_metadata_provided!$A$2:$M$826, 12, FALSE)</f>
        <v>0</v>
      </c>
      <c r="N489">
        <f>VLOOKUP($C489, Egli_UPEC_metadata_provided!$A$2:$M$826, 13, FALSE)</f>
        <v>0</v>
      </c>
      <c r="O489">
        <f>VLOOKUP($C489, Egli_UPEC_metadata_provided!$A$2:$N$826, 14, FALSE)</f>
        <v>0</v>
      </c>
    </row>
    <row r="490" spans="1:15" x14ac:dyDescent="0.2">
      <c r="A490" t="s">
        <v>455</v>
      </c>
      <c r="B490" t="s">
        <v>3690</v>
      </c>
      <c r="C490" t="s">
        <v>3690</v>
      </c>
      <c r="D490">
        <f>VLOOKUP($C490, Egli_UPEC_metadata_provided!$A$2:$M$826, 3, FALSE)</f>
        <v>2019</v>
      </c>
      <c r="E490" t="str">
        <f>VLOOKUP($C490, Egli_UPEC_metadata_provided!$A$2:$M$826, 4, FALSE)</f>
        <v>A</v>
      </c>
      <c r="F490" t="str">
        <f>VLOOKUP($C490, Egli_UPEC_metadata_provided!$A$2:$M$826, 5, FALSE)</f>
        <v>w</v>
      </c>
      <c r="G490">
        <f>VLOOKUP($C490, Egli_UPEC_metadata_provided!$A$2:$M$826, 6, FALSE)</f>
        <v>0</v>
      </c>
      <c r="H490">
        <f>VLOOKUP($C490, Egli_UPEC_metadata_provided!$A$2:$M$826, 7, FALSE)</f>
        <v>3</v>
      </c>
      <c r="I490">
        <f>VLOOKUP($C490, Egli_UPEC_metadata_provided!$A$2:$M$826, 8, FALSE)</f>
        <v>58.786056049213897</v>
      </c>
      <c r="J490" t="b">
        <f>VLOOKUP($C490, Egli_UPEC_metadata_provided!$A$2:$M$826, 9, FALSE)</f>
        <v>0</v>
      </c>
      <c r="K490">
        <f>VLOOKUP($C490, Egli_UPEC_metadata_provided!$A$2:$M$826, 10, FALSE)</f>
        <v>0</v>
      </c>
      <c r="L490" t="str">
        <f>VLOOKUP($C490, Egli_UPEC_metadata_provided!$A$2:$M$826, 11, FALSE)</f>
        <v>non-invasive</v>
      </c>
      <c r="M490">
        <f>VLOOKUP($C490, Egli_UPEC_metadata_provided!$A$2:$M$826, 12, FALSE)</f>
        <v>0</v>
      </c>
      <c r="N490">
        <f>VLOOKUP($C490, Egli_UPEC_metadata_provided!$A$2:$M$826, 13, FALSE)</f>
        <v>0</v>
      </c>
      <c r="O490">
        <f>VLOOKUP($C490, Egli_UPEC_metadata_provided!$A$2:$N$826, 14, FALSE)</f>
        <v>0</v>
      </c>
    </row>
    <row r="491" spans="1:15" x14ac:dyDescent="0.2">
      <c r="A491" t="s">
        <v>456</v>
      </c>
      <c r="B491" t="s">
        <v>3691</v>
      </c>
      <c r="C491" t="s">
        <v>3691</v>
      </c>
      <c r="D491">
        <f>VLOOKUP($C491, Egli_UPEC_metadata_provided!$A$2:$M$826, 3, FALSE)</f>
        <v>2019</v>
      </c>
      <c r="E491" t="str">
        <f>VLOOKUP($C491, Egli_UPEC_metadata_provided!$A$2:$M$826, 4, FALSE)</f>
        <v>D1</v>
      </c>
      <c r="F491" t="str">
        <f>VLOOKUP($C491, Egli_UPEC_metadata_provided!$A$2:$M$826, 5, FALSE)</f>
        <v>m</v>
      </c>
      <c r="G491">
        <f>VLOOKUP($C491, Egli_UPEC_metadata_provided!$A$2:$M$826, 6, FALSE)</f>
        <v>0</v>
      </c>
      <c r="H491">
        <f>VLOOKUP($C491, Egli_UPEC_metadata_provided!$A$2:$M$826, 7, FALSE)</f>
        <v>2</v>
      </c>
      <c r="I491">
        <f>VLOOKUP($C491, Egli_UPEC_metadata_provided!$A$2:$M$826, 8, FALSE)</f>
        <v>71.362952836637007</v>
      </c>
      <c r="J491" t="b">
        <f>VLOOKUP($C491, Egli_UPEC_metadata_provided!$A$2:$M$826, 9, FALSE)</f>
        <v>0</v>
      </c>
      <c r="K491">
        <f>VLOOKUP($C491, Egli_UPEC_metadata_provided!$A$2:$M$826, 10, FALSE)</f>
        <v>1</v>
      </c>
      <c r="L491" t="str">
        <f>VLOOKUP($C491, Egli_UPEC_metadata_provided!$A$2:$M$826, 11, FALSE)</f>
        <v>non-invasive</v>
      </c>
      <c r="M491">
        <f>VLOOKUP($C491, Egli_UPEC_metadata_provided!$A$2:$M$826, 12, FALSE)</f>
        <v>0</v>
      </c>
      <c r="N491">
        <f>VLOOKUP($C491, Egli_UPEC_metadata_provided!$A$2:$M$826, 13, FALSE)</f>
        <v>0</v>
      </c>
      <c r="O491">
        <f>VLOOKUP($C491, Egli_UPEC_metadata_provided!$A$2:$N$826, 14, FALSE)</f>
        <v>1</v>
      </c>
    </row>
    <row r="492" spans="1:15" x14ac:dyDescent="0.2">
      <c r="A492" t="s">
        <v>457</v>
      </c>
      <c r="B492" t="s">
        <v>3692</v>
      </c>
      <c r="C492" t="s">
        <v>3692</v>
      </c>
      <c r="D492">
        <f>VLOOKUP($C492, Egli_UPEC_metadata_provided!$A$2:$M$826, 3, FALSE)</f>
        <v>2019</v>
      </c>
      <c r="E492" t="str">
        <f>VLOOKUP($C492, Egli_UPEC_metadata_provided!$A$2:$M$826, 4, FALSE)</f>
        <v>C</v>
      </c>
      <c r="F492" t="str">
        <f>VLOOKUP($C492, Egli_UPEC_metadata_provided!$A$2:$M$826, 5, FALSE)</f>
        <v>w</v>
      </c>
      <c r="G492">
        <f>VLOOKUP($C492, Egli_UPEC_metadata_provided!$A$2:$M$826, 6, FALSE)</f>
        <v>0</v>
      </c>
      <c r="H492">
        <f>VLOOKUP($C492, Egli_UPEC_metadata_provided!$A$2:$M$826, 7, FALSE)</f>
        <v>1</v>
      </c>
      <c r="I492">
        <f>VLOOKUP($C492, Egli_UPEC_metadata_provided!$A$2:$M$826, 8, FALSE)</f>
        <v>78.416951469583097</v>
      </c>
      <c r="J492" t="b">
        <f>VLOOKUP($C492, Egli_UPEC_metadata_provided!$A$2:$M$826, 9, FALSE)</f>
        <v>0</v>
      </c>
      <c r="K492">
        <f>VLOOKUP($C492, Egli_UPEC_metadata_provided!$A$2:$M$826, 10, FALSE)</f>
        <v>0</v>
      </c>
      <c r="L492" t="str">
        <f>VLOOKUP($C492, Egli_UPEC_metadata_provided!$A$2:$M$826, 11, FALSE)</f>
        <v>non-invasive</v>
      </c>
      <c r="M492">
        <f>VLOOKUP($C492, Egli_UPEC_metadata_provided!$A$2:$M$826, 12, FALSE)</f>
        <v>0</v>
      </c>
      <c r="N492">
        <f>VLOOKUP($C492, Egli_UPEC_metadata_provided!$A$2:$M$826, 13, FALSE)</f>
        <v>0</v>
      </c>
      <c r="O492">
        <f>VLOOKUP($C492, Egli_UPEC_metadata_provided!$A$2:$N$826, 14, FALSE)</f>
        <v>0</v>
      </c>
    </row>
    <row r="493" spans="1:15" x14ac:dyDescent="0.2">
      <c r="A493" t="s">
        <v>458</v>
      </c>
      <c r="B493" t="s">
        <v>3693</v>
      </c>
      <c r="C493" t="s">
        <v>3693</v>
      </c>
      <c r="D493">
        <f>VLOOKUP($C493, Egli_UPEC_metadata_provided!$A$2:$M$826, 3, FALSE)</f>
        <v>2019</v>
      </c>
      <c r="E493" t="str">
        <f>VLOOKUP($C493, Egli_UPEC_metadata_provided!$A$2:$M$826, 4, FALSE)</f>
        <v>B2-1</v>
      </c>
      <c r="F493" t="str">
        <f>VLOOKUP($C493, Egli_UPEC_metadata_provided!$A$2:$M$826, 5, FALSE)</f>
        <v>w</v>
      </c>
      <c r="G493">
        <f>VLOOKUP($C493, Egli_UPEC_metadata_provided!$A$2:$M$826, 6, FALSE)</f>
        <v>0</v>
      </c>
      <c r="H493">
        <f>VLOOKUP($C493, Egli_UPEC_metadata_provided!$A$2:$M$826, 7, FALSE)</f>
        <v>2</v>
      </c>
      <c r="I493">
        <f>VLOOKUP($C493, Egli_UPEC_metadata_provided!$A$2:$M$826, 8, FALSE)</f>
        <v>76.095693779904295</v>
      </c>
      <c r="J493" t="b">
        <f>VLOOKUP($C493, Egli_UPEC_metadata_provided!$A$2:$M$826, 9, FALSE)</f>
        <v>0</v>
      </c>
      <c r="K493">
        <f>VLOOKUP($C493, Egli_UPEC_metadata_provided!$A$2:$M$826, 10, FALSE)</f>
        <v>1</v>
      </c>
      <c r="L493" t="str">
        <f>VLOOKUP($C493, Egli_UPEC_metadata_provided!$A$2:$M$826, 11, FALSE)</f>
        <v>non-invasive</v>
      </c>
      <c r="M493">
        <f>VLOOKUP($C493, Egli_UPEC_metadata_provided!$A$2:$M$826, 12, FALSE)</f>
        <v>0</v>
      </c>
      <c r="N493">
        <f>VLOOKUP($C493, Egli_UPEC_metadata_provided!$A$2:$M$826, 13, FALSE)</f>
        <v>0</v>
      </c>
      <c r="O493">
        <f>VLOOKUP($C493, Egli_UPEC_metadata_provided!$A$2:$N$826, 14, FALSE)</f>
        <v>0</v>
      </c>
    </row>
    <row r="494" spans="1:15" x14ac:dyDescent="0.2">
      <c r="A494" t="s">
        <v>459</v>
      </c>
      <c r="B494" t="s">
        <v>3694</v>
      </c>
      <c r="C494" t="s">
        <v>3694</v>
      </c>
      <c r="D494">
        <f>VLOOKUP($C494, Egli_UPEC_metadata_provided!$A$2:$M$826, 3, FALSE)</f>
        <v>2019</v>
      </c>
      <c r="E494" t="str">
        <f>VLOOKUP($C494, Egli_UPEC_metadata_provided!$A$2:$M$826, 4, FALSE)</f>
        <v>B2-2</v>
      </c>
      <c r="F494" t="str">
        <f>VLOOKUP($C494, Egli_UPEC_metadata_provided!$A$2:$M$826, 5, FALSE)</f>
        <v>m</v>
      </c>
      <c r="G494">
        <f>VLOOKUP($C494, Egli_UPEC_metadata_provided!$A$2:$M$826, 6, FALSE)</f>
        <v>0</v>
      </c>
      <c r="H494">
        <f>VLOOKUP($C494, Egli_UPEC_metadata_provided!$A$2:$M$826, 7, FALSE)</f>
        <v>6</v>
      </c>
      <c r="I494">
        <f>VLOOKUP($C494, Egli_UPEC_metadata_provided!$A$2:$M$826, 8, FALSE)</f>
        <v>63.956254272043701</v>
      </c>
      <c r="J494" t="b">
        <f>VLOOKUP($C494, Egli_UPEC_metadata_provided!$A$2:$M$826, 9, FALSE)</f>
        <v>0</v>
      </c>
      <c r="K494">
        <f>VLOOKUP($C494, Egli_UPEC_metadata_provided!$A$2:$M$826, 10, FALSE)</f>
        <v>0</v>
      </c>
      <c r="L494" t="str">
        <f>VLOOKUP($C494, Egli_UPEC_metadata_provided!$A$2:$M$826, 11, FALSE)</f>
        <v>non-invasive</v>
      </c>
      <c r="M494">
        <f>VLOOKUP($C494, Egli_UPEC_metadata_provided!$A$2:$M$826, 12, FALSE)</f>
        <v>0</v>
      </c>
      <c r="N494">
        <f>VLOOKUP($C494, Egli_UPEC_metadata_provided!$A$2:$M$826, 13, FALSE)</f>
        <v>0</v>
      </c>
      <c r="O494">
        <f>VLOOKUP($C494, Egli_UPEC_metadata_provided!$A$2:$N$826, 14, FALSE)</f>
        <v>0</v>
      </c>
    </row>
    <row r="495" spans="1:15" x14ac:dyDescent="0.2">
      <c r="A495" t="s">
        <v>460</v>
      </c>
      <c r="B495" t="s">
        <v>3695</v>
      </c>
      <c r="C495" t="s">
        <v>3695</v>
      </c>
      <c r="D495">
        <f>VLOOKUP($C495, Egli_UPEC_metadata_provided!$A$2:$M$826, 3, FALSE)</f>
        <v>2019</v>
      </c>
      <c r="E495" t="str">
        <f>VLOOKUP($C495, Egli_UPEC_metadata_provided!$A$2:$M$826, 4, FALSE)</f>
        <v>B2-2</v>
      </c>
      <c r="F495" t="str">
        <f>VLOOKUP($C495, Egli_UPEC_metadata_provided!$A$2:$M$826, 5, FALSE)</f>
        <v>w</v>
      </c>
      <c r="G495">
        <f>VLOOKUP($C495, Egli_UPEC_metadata_provided!$A$2:$M$826, 6, FALSE)</f>
        <v>0</v>
      </c>
      <c r="H495">
        <f>VLOOKUP($C495, Egli_UPEC_metadata_provided!$A$2:$M$826, 7, FALSE)</f>
        <v>2</v>
      </c>
      <c r="I495">
        <f>VLOOKUP($C495, Egli_UPEC_metadata_provided!$A$2:$M$826, 8, FALSE)</f>
        <v>81.990430622009598</v>
      </c>
      <c r="J495" t="b">
        <f>VLOOKUP($C495, Egli_UPEC_metadata_provided!$A$2:$M$826, 9, FALSE)</f>
        <v>0</v>
      </c>
      <c r="K495">
        <f>VLOOKUP($C495, Egli_UPEC_metadata_provided!$A$2:$M$826, 10, FALSE)</f>
        <v>0</v>
      </c>
      <c r="L495" t="str">
        <f>VLOOKUP($C495, Egli_UPEC_metadata_provided!$A$2:$M$826, 11, FALSE)</f>
        <v>non-invasive</v>
      </c>
      <c r="M495">
        <f>VLOOKUP($C495, Egli_UPEC_metadata_provided!$A$2:$M$826, 12, FALSE)</f>
        <v>0</v>
      </c>
      <c r="N495">
        <f>VLOOKUP($C495, Egli_UPEC_metadata_provided!$A$2:$M$826, 13, FALSE)</f>
        <v>1</v>
      </c>
      <c r="O495">
        <f>VLOOKUP($C495, Egli_UPEC_metadata_provided!$A$2:$N$826, 14, FALSE)</f>
        <v>0</v>
      </c>
    </row>
    <row r="496" spans="1:15" x14ac:dyDescent="0.2">
      <c r="A496" t="s">
        <v>461</v>
      </c>
      <c r="B496" t="s">
        <v>3696</v>
      </c>
      <c r="C496" t="s">
        <v>3696</v>
      </c>
      <c r="D496">
        <f>VLOOKUP($C496, Egli_UPEC_metadata_provided!$A$2:$M$826, 3, FALSE)</f>
        <v>2019</v>
      </c>
      <c r="E496" t="str">
        <f>VLOOKUP($C496, Egli_UPEC_metadata_provided!$A$2:$M$826, 4, FALSE)</f>
        <v>B2-1</v>
      </c>
      <c r="F496" t="str">
        <f>VLOOKUP($C496, Egli_UPEC_metadata_provided!$A$2:$M$826, 5, FALSE)</f>
        <v>m</v>
      </c>
      <c r="G496">
        <f>VLOOKUP($C496, Egli_UPEC_metadata_provided!$A$2:$M$826, 6, FALSE)</f>
        <v>0</v>
      </c>
      <c r="H496">
        <f>VLOOKUP($C496, Egli_UPEC_metadata_provided!$A$2:$M$826, 7, FALSE)</f>
        <v>2</v>
      </c>
      <c r="I496">
        <f>VLOOKUP($C496, Egli_UPEC_metadata_provided!$A$2:$M$826, 8, FALSE)</f>
        <v>57.864661654135297</v>
      </c>
      <c r="J496" t="b">
        <f>VLOOKUP($C496, Egli_UPEC_metadata_provided!$A$2:$M$826, 9, FALSE)</f>
        <v>0</v>
      </c>
      <c r="K496">
        <f>VLOOKUP($C496, Egli_UPEC_metadata_provided!$A$2:$M$826, 10, FALSE)</f>
        <v>0</v>
      </c>
      <c r="L496" t="str">
        <f>VLOOKUP($C496, Egli_UPEC_metadata_provided!$A$2:$M$826, 11, FALSE)</f>
        <v>non-invasive</v>
      </c>
      <c r="M496">
        <f>VLOOKUP($C496, Egli_UPEC_metadata_provided!$A$2:$M$826, 12, FALSE)</f>
        <v>1</v>
      </c>
      <c r="N496">
        <f>VLOOKUP($C496, Egli_UPEC_metadata_provided!$A$2:$M$826, 13, FALSE)</f>
        <v>0</v>
      </c>
      <c r="O496">
        <f>VLOOKUP($C496, Egli_UPEC_metadata_provided!$A$2:$N$826, 14, FALSE)</f>
        <v>0</v>
      </c>
    </row>
    <row r="497" spans="1:15" x14ac:dyDescent="0.2">
      <c r="A497" t="s">
        <v>462</v>
      </c>
      <c r="B497" t="s">
        <v>3697</v>
      </c>
      <c r="C497" t="s">
        <v>3697</v>
      </c>
      <c r="D497">
        <f>VLOOKUP($C497, Egli_UPEC_metadata_provided!$A$2:$M$826, 3, FALSE)</f>
        <v>2019</v>
      </c>
      <c r="E497" t="str">
        <f>VLOOKUP($C497, Egli_UPEC_metadata_provided!$A$2:$M$826, 4, FALSE)</f>
        <v>B1</v>
      </c>
      <c r="F497" t="str">
        <f>VLOOKUP($C497, Egli_UPEC_metadata_provided!$A$2:$M$826, 5, FALSE)</f>
        <v>w</v>
      </c>
      <c r="G497">
        <f>VLOOKUP($C497, Egli_UPEC_metadata_provided!$A$2:$M$826, 6, FALSE)</f>
        <v>1</v>
      </c>
      <c r="H497">
        <f>VLOOKUP($C497, Egli_UPEC_metadata_provided!$A$2:$M$826, 7, FALSE)</f>
        <v>3</v>
      </c>
      <c r="I497">
        <f>VLOOKUP($C497, Egli_UPEC_metadata_provided!$A$2:$M$826, 8, FALSE)</f>
        <v>70.600136705399905</v>
      </c>
      <c r="J497" t="b">
        <f>VLOOKUP($C497, Egli_UPEC_metadata_provided!$A$2:$M$826, 9, FALSE)</f>
        <v>0</v>
      </c>
      <c r="K497">
        <f>VLOOKUP($C497, Egli_UPEC_metadata_provided!$A$2:$M$826, 10, FALSE)</f>
        <v>0</v>
      </c>
      <c r="L497" t="str">
        <f>VLOOKUP($C497, Egli_UPEC_metadata_provided!$A$2:$M$826, 11, FALSE)</f>
        <v>non-invasive</v>
      </c>
      <c r="M497">
        <f>VLOOKUP($C497, Egli_UPEC_metadata_provided!$A$2:$M$826, 12, FALSE)</f>
        <v>0</v>
      </c>
      <c r="N497">
        <f>VLOOKUP($C497, Egli_UPEC_metadata_provided!$A$2:$M$826, 13, FALSE)</f>
        <v>0</v>
      </c>
      <c r="O497">
        <f>VLOOKUP($C497, Egli_UPEC_metadata_provided!$A$2:$N$826, 14, FALSE)</f>
        <v>1</v>
      </c>
    </row>
    <row r="498" spans="1:15" x14ac:dyDescent="0.2">
      <c r="A498" t="s">
        <v>463</v>
      </c>
      <c r="B498" t="s">
        <v>3698</v>
      </c>
      <c r="C498" t="s">
        <v>3698</v>
      </c>
      <c r="D498">
        <f>VLOOKUP($C498, Egli_UPEC_metadata_provided!$A$2:$M$826, 3, FALSE)</f>
        <v>2019</v>
      </c>
      <c r="E498" t="str">
        <f>VLOOKUP($C498, Egli_UPEC_metadata_provided!$A$2:$M$826, 4, FALSE)</f>
        <v>B2-1</v>
      </c>
      <c r="F498" t="str">
        <f>VLOOKUP($C498, Egli_UPEC_metadata_provided!$A$2:$M$826, 5, FALSE)</f>
        <v>m</v>
      </c>
      <c r="G498">
        <f>VLOOKUP($C498, Egli_UPEC_metadata_provided!$A$2:$M$826, 6, FALSE)</f>
        <v>0</v>
      </c>
      <c r="H498">
        <f>VLOOKUP($C498, Egli_UPEC_metadata_provided!$A$2:$M$826, 7, FALSE)</f>
        <v>7</v>
      </c>
      <c r="I498">
        <f>VLOOKUP($C498, Egli_UPEC_metadata_provided!$A$2:$M$826, 8, FALSE)</f>
        <v>82.786056049213897</v>
      </c>
      <c r="J498" t="b">
        <f>VLOOKUP($C498, Egli_UPEC_metadata_provided!$A$2:$M$826, 9, FALSE)</f>
        <v>1</v>
      </c>
      <c r="K498">
        <f>VLOOKUP($C498, Egli_UPEC_metadata_provided!$A$2:$M$826, 10, FALSE)</f>
        <v>1</v>
      </c>
      <c r="L498" t="str">
        <f>VLOOKUP($C498, Egli_UPEC_metadata_provided!$A$2:$M$826, 11, FALSE)</f>
        <v>non-invasive</v>
      </c>
      <c r="M498">
        <f>VLOOKUP($C498, Egli_UPEC_metadata_provided!$A$2:$M$826, 12, FALSE)</f>
        <v>0</v>
      </c>
      <c r="N498">
        <f>VLOOKUP($C498, Egli_UPEC_metadata_provided!$A$2:$M$826, 13, FALSE)</f>
        <v>0</v>
      </c>
      <c r="O498">
        <f>VLOOKUP($C498, Egli_UPEC_metadata_provided!$A$2:$N$826, 14, FALSE)</f>
        <v>0</v>
      </c>
    </row>
    <row r="499" spans="1:15" x14ac:dyDescent="0.2">
      <c r="A499" t="s">
        <v>464</v>
      </c>
      <c r="B499" t="s">
        <v>3699</v>
      </c>
      <c r="C499" t="s">
        <v>3699</v>
      </c>
      <c r="D499">
        <f>VLOOKUP($C499, Egli_UPEC_metadata_provided!$A$2:$M$826, 3, FALSE)</f>
        <v>2019</v>
      </c>
      <c r="E499" t="str">
        <f>VLOOKUP($C499, Egli_UPEC_metadata_provided!$A$2:$M$826, 4, FALSE)</f>
        <v>B1</v>
      </c>
      <c r="F499" t="str">
        <f>VLOOKUP($C499, Egli_UPEC_metadata_provided!$A$2:$M$826, 5, FALSE)</f>
        <v>w</v>
      </c>
      <c r="G499">
        <f>VLOOKUP($C499, Egli_UPEC_metadata_provided!$A$2:$M$826, 6, FALSE)</f>
        <v>1</v>
      </c>
      <c r="H499">
        <f>VLOOKUP($C499, Egli_UPEC_metadata_provided!$A$2:$M$826, 7, FALSE)</f>
        <v>3</v>
      </c>
      <c r="I499">
        <f>VLOOKUP($C499, Egli_UPEC_metadata_provided!$A$2:$M$826, 8, FALSE)</f>
        <v>79.833219412166798</v>
      </c>
      <c r="J499" t="b">
        <f>VLOOKUP($C499, Egli_UPEC_metadata_provided!$A$2:$M$826, 9, FALSE)</f>
        <v>0</v>
      </c>
      <c r="K499">
        <f>VLOOKUP($C499, Egli_UPEC_metadata_provided!$A$2:$M$826, 10, FALSE)</f>
        <v>0</v>
      </c>
      <c r="L499" t="str">
        <f>VLOOKUP($C499, Egli_UPEC_metadata_provided!$A$2:$M$826, 11, FALSE)</f>
        <v>non-invasive</v>
      </c>
      <c r="M499">
        <f>VLOOKUP($C499, Egli_UPEC_metadata_provided!$A$2:$M$826, 12, FALSE)</f>
        <v>1</v>
      </c>
      <c r="N499">
        <f>VLOOKUP($C499, Egli_UPEC_metadata_provided!$A$2:$M$826, 13, FALSE)</f>
        <v>0</v>
      </c>
      <c r="O499">
        <f>VLOOKUP($C499, Egli_UPEC_metadata_provided!$A$2:$N$826, 14, FALSE)</f>
        <v>0</v>
      </c>
    </row>
    <row r="500" spans="1:15" x14ac:dyDescent="0.2">
      <c r="A500" t="s">
        <v>465</v>
      </c>
      <c r="B500" t="s">
        <v>3700</v>
      </c>
      <c r="C500" t="s">
        <v>3700</v>
      </c>
      <c r="D500">
        <f>VLOOKUP($C500, Egli_UPEC_metadata_provided!$A$2:$M$826, 3, FALSE)</f>
        <v>2019</v>
      </c>
      <c r="E500" t="str">
        <f>VLOOKUP($C500, Egli_UPEC_metadata_provided!$A$2:$M$826, 4, FALSE)</f>
        <v>D1</v>
      </c>
      <c r="F500" t="str">
        <f>VLOOKUP($C500, Egli_UPEC_metadata_provided!$A$2:$M$826, 5, FALSE)</f>
        <v>w</v>
      </c>
      <c r="G500">
        <f>VLOOKUP($C500, Egli_UPEC_metadata_provided!$A$2:$M$826, 6, FALSE)</f>
        <v>0</v>
      </c>
      <c r="H500">
        <f>VLOOKUP($C500, Egli_UPEC_metadata_provided!$A$2:$M$826, 7, FALSE)</f>
        <v>0</v>
      </c>
      <c r="I500">
        <f>VLOOKUP($C500, Egli_UPEC_metadata_provided!$A$2:$M$826, 8, FALSE)</f>
        <v>58.452494873547501</v>
      </c>
      <c r="J500" t="b">
        <f>VLOOKUP($C500, Egli_UPEC_metadata_provided!$A$2:$M$826, 9, FALSE)</f>
        <v>1</v>
      </c>
      <c r="K500">
        <f>VLOOKUP($C500, Egli_UPEC_metadata_provided!$A$2:$M$826, 10, FALSE)</f>
        <v>0</v>
      </c>
      <c r="L500" t="str">
        <f>VLOOKUP($C500, Egli_UPEC_metadata_provided!$A$2:$M$826, 11, FALSE)</f>
        <v>non-invasive</v>
      </c>
      <c r="M500">
        <f>VLOOKUP($C500, Egli_UPEC_metadata_provided!$A$2:$M$826, 12, FALSE)</f>
        <v>1</v>
      </c>
      <c r="N500">
        <f>VLOOKUP($C500, Egli_UPEC_metadata_provided!$A$2:$M$826, 13, FALSE)</f>
        <v>0</v>
      </c>
      <c r="O500">
        <f>VLOOKUP($C500, Egli_UPEC_metadata_provided!$A$2:$N$826, 14, FALSE)</f>
        <v>1</v>
      </c>
    </row>
    <row r="501" spans="1:15" x14ac:dyDescent="0.2">
      <c r="A501" t="s">
        <v>466</v>
      </c>
      <c r="B501" t="s">
        <v>3701</v>
      </c>
      <c r="C501" t="s">
        <v>3701</v>
      </c>
      <c r="D501">
        <f>VLOOKUP($C501, Egli_UPEC_metadata_provided!$A$2:$M$826, 3, FALSE)</f>
        <v>2019</v>
      </c>
      <c r="E501" t="str">
        <f>VLOOKUP($C501, Egli_UPEC_metadata_provided!$A$2:$M$826, 4, FALSE)</f>
        <v>B2-2</v>
      </c>
      <c r="F501" t="str">
        <f>VLOOKUP($C501, Egli_UPEC_metadata_provided!$A$2:$M$826, 5, FALSE)</f>
        <v>w</v>
      </c>
      <c r="G501">
        <f>VLOOKUP($C501, Egli_UPEC_metadata_provided!$A$2:$M$826, 6, FALSE)</f>
        <v>0</v>
      </c>
      <c r="H501">
        <f>VLOOKUP($C501, Egli_UPEC_metadata_provided!$A$2:$M$826, 7, FALSE)</f>
        <v>0</v>
      </c>
      <c r="I501">
        <f>VLOOKUP($C501, Egli_UPEC_metadata_provided!$A$2:$M$826, 8, FALSE)</f>
        <v>65.684210526315795</v>
      </c>
      <c r="J501" t="b">
        <f>VLOOKUP($C501, Egli_UPEC_metadata_provided!$A$2:$M$826, 9, FALSE)</f>
        <v>0</v>
      </c>
      <c r="K501">
        <f>VLOOKUP($C501, Egli_UPEC_metadata_provided!$A$2:$M$826, 10, FALSE)</f>
        <v>0</v>
      </c>
      <c r="L501" t="str">
        <f>VLOOKUP($C501, Egli_UPEC_metadata_provided!$A$2:$M$826, 11, FALSE)</f>
        <v>non-invasive</v>
      </c>
      <c r="M501">
        <f>VLOOKUP($C501, Egli_UPEC_metadata_provided!$A$2:$M$826, 12, FALSE)</f>
        <v>0</v>
      </c>
      <c r="N501">
        <f>VLOOKUP($C501, Egli_UPEC_metadata_provided!$A$2:$M$826, 13, FALSE)</f>
        <v>0</v>
      </c>
      <c r="O501">
        <f>VLOOKUP($C501, Egli_UPEC_metadata_provided!$A$2:$N$826, 14, FALSE)</f>
        <v>0</v>
      </c>
    </row>
    <row r="502" spans="1:15" x14ac:dyDescent="0.2">
      <c r="A502" t="s">
        <v>467</v>
      </c>
      <c r="B502" t="s">
        <v>3702</v>
      </c>
      <c r="C502" t="s">
        <v>3702</v>
      </c>
      <c r="D502">
        <f>VLOOKUP($C502, Egli_UPEC_metadata_provided!$A$2:$M$826, 3, FALSE)</f>
        <v>2019</v>
      </c>
      <c r="E502" t="str">
        <f>VLOOKUP($C502, Egli_UPEC_metadata_provided!$A$2:$M$826, 4, FALSE)</f>
        <v>B2-2</v>
      </c>
      <c r="F502" t="str">
        <f>VLOOKUP($C502, Egli_UPEC_metadata_provided!$A$2:$M$826, 5, FALSE)</f>
        <v>m</v>
      </c>
      <c r="G502">
        <f>VLOOKUP($C502, Egli_UPEC_metadata_provided!$A$2:$M$826, 6, FALSE)</f>
        <v>0</v>
      </c>
      <c r="H502">
        <f>VLOOKUP($C502, Egli_UPEC_metadata_provided!$A$2:$M$826, 7, FALSE)</f>
        <v>2</v>
      </c>
      <c r="I502">
        <f>VLOOKUP($C502, Egli_UPEC_metadata_provided!$A$2:$M$826, 8, FALSE)</f>
        <v>80.817498291182503</v>
      </c>
      <c r="J502" t="b">
        <f>VLOOKUP($C502, Egli_UPEC_metadata_provided!$A$2:$M$826, 9, FALSE)</f>
        <v>0</v>
      </c>
      <c r="K502">
        <f>VLOOKUP($C502, Egli_UPEC_metadata_provided!$A$2:$M$826, 10, FALSE)</f>
        <v>0</v>
      </c>
      <c r="L502" t="str">
        <f>VLOOKUP($C502, Egli_UPEC_metadata_provided!$A$2:$M$826, 11, FALSE)</f>
        <v>non-invasive</v>
      </c>
      <c r="M502">
        <f>VLOOKUP($C502, Egli_UPEC_metadata_provided!$A$2:$M$826, 12, FALSE)</f>
        <v>0</v>
      </c>
      <c r="N502">
        <f>VLOOKUP($C502, Egli_UPEC_metadata_provided!$A$2:$M$826, 13, FALSE)</f>
        <v>0</v>
      </c>
      <c r="O502">
        <f>VLOOKUP($C502, Egli_UPEC_metadata_provided!$A$2:$N$826, 14, FALSE)</f>
        <v>1</v>
      </c>
    </row>
    <row r="503" spans="1:15" x14ac:dyDescent="0.2">
      <c r="A503" t="s">
        <v>468</v>
      </c>
      <c r="B503" t="s">
        <v>3703</v>
      </c>
      <c r="C503" t="s">
        <v>3703</v>
      </c>
      <c r="D503">
        <f>VLOOKUP($C503, Egli_UPEC_metadata_provided!$A$2:$M$826, 3, FALSE)</f>
        <v>2019</v>
      </c>
      <c r="E503" t="str">
        <f>VLOOKUP($C503, Egli_UPEC_metadata_provided!$A$2:$M$826, 4, FALSE)</f>
        <v>B2-2</v>
      </c>
      <c r="F503" t="str">
        <f>VLOOKUP($C503, Egli_UPEC_metadata_provided!$A$2:$M$826, 5, FALSE)</f>
        <v>w</v>
      </c>
      <c r="G503">
        <f>VLOOKUP($C503, Egli_UPEC_metadata_provided!$A$2:$M$826, 6, FALSE)</f>
        <v>0</v>
      </c>
      <c r="H503">
        <f>VLOOKUP($C503, Egli_UPEC_metadata_provided!$A$2:$M$826, 7, FALSE)</f>
        <v>0</v>
      </c>
      <c r="I503">
        <f>VLOOKUP($C503, Egli_UPEC_metadata_provided!$A$2:$M$826, 8, FALSE)</f>
        <v>81.079972658919999</v>
      </c>
      <c r="J503" t="b">
        <f>VLOOKUP($C503, Egli_UPEC_metadata_provided!$A$2:$M$826, 9, FALSE)</f>
        <v>1</v>
      </c>
      <c r="K503">
        <f>VLOOKUP($C503, Egli_UPEC_metadata_provided!$A$2:$M$826, 10, FALSE)</f>
        <v>0</v>
      </c>
      <c r="L503" t="str">
        <f>VLOOKUP($C503, Egli_UPEC_metadata_provided!$A$2:$M$826, 11, FALSE)</f>
        <v>non-invasive</v>
      </c>
      <c r="M503">
        <f>VLOOKUP($C503, Egli_UPEC_metadata_provided!$A$2:$M$826, 12, FALSE)</f>
        <v>0</v>
      </c>
      <c r="N503">
        <f>VLOOKUP($C503, Egli_UPEC_metadata_provided!$A$2:$M$826, 13, FALSE)</f>
        <v>1</v>
      </c>
      <c r="O503">
        <f>VLOOKUP($C503, Egli_UPEC_metadata_provided!$A$2:$N$826, 14, FALSE)</f>
        <v>0</v>
      </c>
    </row>
    <row r="504" spans="1:15" x14ac:dyDescent="0.2">
      <c r="A504" t="s">
        <v>469</v>
      </c>
      <c r="B504" t="s">
        <v>3704</v>
      </c>
      <c r="C504" t="s">
        <v>3704</v>
      </c>
      <c r="D504">
        <f>VLOOKUP($C504, Egli_UPEC_metadata_provided!$A$2:$M$826, 3, FALSE)</f>
        <v>2019</v>
      </c>
      <c r="E504" t="str">
        <f>VLOOKUP($C504, Egli_UPEC_metadata_provided!$A$2:$M$826, 4, FALSE)</f>
        <v>B2-2</v>
      </c>
      <c r="F504" t="str">
        <f>VLOOKUP($C504, Egli_UPEC_metadata_provided!$A$2:$M$826, 5, FALSE)</f>
        <v>w</v>
      </c>
      <c r="G504">
        <f>VLOOKUP($C504, Egli_UPEC_metadata_provided!$A$2:$M$826, 6, FALSE)</f>
        <v>0</v>
      </c>
      <c r="H504">
        <f>VLOOKUP($C504, Egli_UPEC_metadata_provided!$A$2:$M$826, 7, FALSE)</f>
        <v>0</v>
      </c>
      <c r="I504">
        <f>VLOOKUP($C504, Egli_UPEC_metadata_provided!$A$2:$M$826, 8, FALSE)</f>
        <v>60.133971291865997</v>
      </c>
      <c r="J504" t="b">
        <f>VLOOKUP($C504, Egli_UPEC_metadata_provided!$A$2:$M$826, 9, FALSE)</f>
        <v>0</v>
      </c>
      <c r="K504">
        <f>VLOOKUP($C504, Egli_UPEC_metadata_provided!$A$2:$M$826, 10, FALSE)</f>
        <v>0</v>
      </c>
      <c r="L504" t="str">
        <f>VLOOKUP($C504, Egli_UPEC_metadata_provided!$A$2:$M$826, 11, FALSE)</f>
        <v>non-invasive</v>
      </c>
      <c r="M504">
        <f>VLOOKUP($C504, Egli_UPEC_metadata_provided!$A$2:$M$826, 12, FALSE)</f>
        <v>0</v>
      </c>
      <c r="N504">
        <f>VLOOKUP($C504, Egli_UPEC_metadata_provided!$A$2:$M$826, 13, FALSE)</f>
        <v>0</v>
      </c>
      <c r="O504">
        <f>VLOOKUP($C504, Egli_UPEC_metadata_provided!$A$2:$N$826, 14, FALSE)</f>
        <v>0</v>
      </c>
    </row>
    <row r="505" spans="1:15" x14ac:dyDescent="0.2">
      <c r="A505" t="s">
        <v>470</v>
      </c>
      <c r="B505" t="s">
        <v>3705</v>
      </c>
      <c r="C505" t="s">
        <v>3705</v>
      </c>
      <c r="D505">
        <f>VLOOKUP($C505, Egli_UPEC_metadata_provided!$A$2:$M$826, 3, FALSE)</f>
        <v>2019</v>
      </c>
      <c r="E505" t="str">
        <f>VLOOKUP($C505, Egli_UPEC_metadata_provided!$A$2:$M$826, 4, FALSE)</f>
        <v>E2</v>
      </c>
      <c r="F505" t="str">
        <f>VLOOKUP($C505, Egli_UPEC_metadata_provided!$A$2:$M$826, 5, FALSE)</f>
        <v>w</v>
      </c>
      <c r="G505">
        <f>VLOOKUP($C505, Egli_UPEC_metadata_provided!$A$2:$M$826, 6, FALSE)</f>
        <v>1</v>
      </c>
      <c r="H505">
        <f>VLOOKUP($C505, Egli_UPEC_metadata_provided!$A$2:$M$826, 7, FALSE)</f>
        <v>4</v>
      </c>
      <c r="I505">
        <f>VLOOKUP($C505, Egli_UPEC_metadata_provided!$A$2:$M$826, 8, FALSE)</f>
        <v>60.322624743677402</v>
      </c>
      <c r="J505" t="b">
        <f>VLOOKUP($C505, Egli_UPEC_metadata_provided!$A$2:$M$826, 9, FALSE)</f>
        <v>0</v>
      </c>
      <c r="K505">
        <f>VLOOKUP($C505, Egli_UPEC_metadata_provided!$A$2:$M$826, 10, FALSE)</f>
        <v>0</v>
      </c>
      <c r="L505" t="str">
        <f>VLOOKUP($C505, Egli_UPEC_metadata_provided!$A$2:$M$826, 11, FALSE)</f>
        <v>non-invasive</v>
      </c>
      <c r="M505">
        <f>VLOOKUP($C505, Egli_UPEC_metadata_provided!$A$2:$M$826, 12, FALSE)</f>
        <v>0</v>
      </c>
      <c r="N505">
        <f>VLOOKUP($C505, Egli_UPEC_metadata_provided!$A$2:$M$826, 13, FALSE)</f>
        <v>0</v>
      </c>
      <c r="O505">
        <f>VLOOKUP($C505, Egli_UPEC_metadata_provided!$A$2:$N$826, 14, FALSE)</f>
        <v>1</v>
      </c>
    </row>
    <row r="506" spans="1:15" x14ac:dyDescent="0.2">
      <c r="A506" t="s">
        <v>471</v>
      </c>
      <c r="B506" t="s">
        <v>3706</v>
      </c>
      <c r="C506" t="s">
        <v>3706</v>
      </c>
      <c r="D506">
        <f>VLOOKUP($C506, Egli_UPEC_metadata_provided!$A$2:$M$826, 3, FALSE)</f>
        <v>2019</v>
      </c>
      <c r="E506" t="str">
        <f>VLOOKUP($C506, Egli_UPEC_metadata_provided!$A$2:$M$826, 4, FALSE)</f>
        <v>B1</v>
      </c>
      <c r="F506" t="str">
        <f>VLOOKUP($C506, Egli_UPEC_metadata_provided!$A$2:$M$826, 5, FALSE)</f>
        <v>w</v>
      </c>
      <c r="G506">
        <f>VLOOKUP($C506, Egli_UPEC_metadata_provided!$A$2:$M$826, 6, FALSE)</f>
        <v>0</v>
      </c>
      <c r="H506">
        <f>VLOOKUP($C506, Egli_UPEC_metadata_provided!$A$2:$M$826, 7, FALSE)</f>
        <v>2</v>
      </c>
      <c r="I506">
        <f>VLOOKUP($C506, Egli_UPEC_metadata_provided!$A$2:$M$826, 8, FALSE)</f>
        <v>61.391660970608299</v>
      </c>
      <c r="J506" t="b">
        <f>VLOOKUP($C506, Egli_UPEC_metadata_provided!$A$2:$M$826, 9, FALSE)</f>
        <v>0</v>
      </c>
      <c r="K506">
        <f>VLOOKUP($C506, Egli_UPEC_metadata_provided!$A$2:$M$826, 10, FALSE)</f>
        <v>0</v>
      </c>
      <c r="L506" t="str">
        <f>VLOOKUP($C506, Egli_UPEC_metadata_provided!$A$2:$M$826, 11, FALSE)</f>
        <v>non-invasive</v>
      </c>
      <c r="M506">
        <f>VLOOKUP($C506, Egli_UPEC_metadata_provided!$A$2:$M$826, 12, FALSE)</f>
        <v>0</v>
      </c>
      <c r="N506">
        <f>VLOOKUP($C506, Egli_UPEC_metadata_provided!$A$2:$M$826, 13, FALSE)</f>
        <v>0</v>
      </c>
      <c r="O506">
        <f>VLOOKUP($C506, Egli_UPEC_metadata_provided!$A$2:$N$826, 14, FALSE)</f>
        <v>1</v>
      </c>
    </row>
    <row r="507" spans="1:15" x14ac:dyDescent="0.2">
      <c r="A507" t="s">
        <v>473</v>
      </c>
      <c r="B507" t="s">
        <v>3708</v>
      </c>
      <c r="C507" t="s">
        <v>3708</v>
      </c>
      <c r="D507">
        <f>VLOOKUP($C507, Egli_UPEC_metadata_provided!$A$2:$M$826, 3, FALSE)</f>
        <v>2019</v>
      </c>
      <c r="E507" t="str">
        <f>VLOOKUP($C507, Egli_UPEC_metadata_provided!$A$2:$M$826, 4, FALSE)</f>
        <v>B2-1</v>
      </c>
      <c r="F507" t="str">
        <f>VLOOKUP($C507, Egli_UPEC_metadata_provided!$A$2:$M$826, 5, FALSE)</f>
        <v>w</v>
      </c>
      <c r="G507">
        <f>VLOOKUP($C507, Egli_UPEC_metadata_provided!$A$2:$M$826, 6, FALSE)</f>
        <v>0</v>
      </c>
      <c r="H507">
        <f>VLOOKUP($C507, Egli_UPEC_metadata_provided!$A$2:$M$826, 7, FALSE)</f>
        <v>1</v>
      </c>
      <c r="I507">
        <f>VLOOKUP($C507, Egli_UPEC_metadata_provided!$A$2:$M$826, 8, FALSE)</f>
        <v>68.664388243335594</v>
      </c>
      <c r="J507" t="b">
        <f>VLOOKUP($C507, Egli_UPEC_metadata_provided!$A$2:$M$826, 9, FALSE)</f>
        <v>0</v>
      </c>
      <c r="K507">
        <f>VLOOKUP($C507, Egli_UPEC_metadata_provided!$A$2:$M$826, 10, FALSE)</f>
        <v>0</v>
      </c>
      <c r="L507" t="str">
        <f>VLOOKUP($C507, Egli_UPEC_metadata_provided!$A$2:$M$826, 11, FALSE)</f>
        <v>non-invasive</v>
      </c>
      <c r="M507">
        <f>VLOOKUP($C507, Egli_UPEC_metadata_provided!$A$2:$M$826, 12, FALSE)</f>
        <v>0</v>
      </c>
      <c r="N507">
        <f>VLOOKUP($C507, Egli_UPEC_metadata_provided!$A$2:$M$826, 13, FALSE)</f>
        <v>0</v>
      </c>
      <c r="O507">
        <f>VLOOKUP($C507, Egli_UPEC_metadata_provided!$A$2:$N$826, 14, FALSE)</f>
        <v>1</v>
      </c>
    </row>
    <row r="508" spans="1:15" x14ac:dyDescent="0.2">
      <c r="A508" t="s">
        <v>474</v>
      </c>
      <c r="B508" t="s">
        <v>3709</v>
      </c>
      <c r="C508" t="s">
        <v>3709</v>
      </c>
      <c r="D508">
        <f>VLOOKUP($C508, Egli_UPEC_metadata_provided!$A$2:$M$826, 3, FALSE)</f>
        <v>2019</v>
      </c>
      <c r="E508" t="str">
        <f>VLOOKUP($C508, Egli_UPEC_metadata_provided!$A$2:$M$826, 4, FALSE)</f>
        <v>D1</v>
      </c>
      <c r="F508" t="str">
        <f>VLOOKUP($C508, Egli_UPEC_metadata_provided!$A$2:$M$826, 5, FALSE)</f>
        <v>w</v>
      </c>
      <c r="G508">
        <f>VLOOKUP($C508, Egli_UPEC_metadata_provided!$A$2:$M$826, 6, FALSE)</f>
        <v>0</v>
      </c>
      <c r="H508">
        <f>VLOOKUP($C508, Egli_UPEC_metadata_provided!$A$2:$M$826, 7, FALSE)</f>
        <v>6</v>
      </c>
      <c r="I508">
        <f>VLOOKUP($C508, Egli_UPEC_metadata_provided!$A$2:$M$826, 8, FALSE)</f>
        <v>70.657552973342405</v>
      </c>
      <c r="J508" t="b">
        <f>VLOOKUP($C508, Egli_UPEC_metadata_provided!$A$2:$M$826, 9, FALSE)</f>
        <v>1</v>
      </c>
      <c r="K508">
        <f>VLOOKUP($C508, Egli_UPEC_metadata_provided!$A$2:$M$826, 10, FALSE)</f>
        <v>0</v>
      </c>
      <c r="L508" t="str">
        <f>VLOOKUP($C508, Egli_UPEC_metadata_provided!$A$2:$M$826, 11, FALSE)</f>
        <v>non-invasive</v>
      </c>
      <c r="M508">
        <f>VLOOKUP($C508, Egli_UPEC_metadata_provided!$A$2:$M$826, 12, FALSE)</f>
        <v>0</v>
      </c>
      <c r="N508">
        <f>VLOOKUP($C508, Egli_UPEC_metadata_provided!$A$2:$M$826, 13, FALSE)</f>
        <v>0</v>
      </c>
      <c r="O508">
        <f>VLOOKUP($C508, Egli_UPEC_metadata_provided!$A$2:$N$826, 14, FALSE)</f>
        <v>1</v>
      </c>
    </row>
    <row r="509" spans="1:15" x14ac:dyDescent="0.2">
      <c r="A509" t="s">
        <v>475</v>
      </c>
      <c r="B509" t="s">
        <v>3710</v>
      </c>
      <c r="C509" t="s">
        <v>3710</v>
      </c>
      <c r="D509">
        <f>VLOOKUP($C509, Egli_UPEC_metadata_provided!$A$2:$M$826, 3, FALSE)</f>
        <v>2019</v>
      </c>
      <c r="E509" t="str">
        <f>VLOOKUP($C509, Egli_UPEC_metadata_provided!$A$2:$M$826, 4, FALSE)</f>
        <v>D2</v>
      </c>
      <c r="F509" t="str">
        <f>VLOOKUP($C509, Egli_UPEC_metadata_provided!$A$2:$M$826, 5, FALSE)</f>
        <v>m</v>
      </c>
      <c r="G509">
        <f>VLOOKUP($C509, Egli_UPEC_metadata_provided!$A$2:$M$826, 6, FALSE)</f>
        <v>0</v>
      </c>
      <c r="H509">
        <f>VLOOKUP($C509, Egli_UPEC_metadata_provided!$A$2:$M$826, 7, FALSE)</f>
        <v>2</v>
      </c>
      <c r="I509">
        <f>VLOOKUP($C509, Egli_UPEC_metadata_provided!$A$2:$M$826, 8, FALSE)</f>
        <v>61.167464114832498</v>
      </c>
      <c r="J509" t="b">
        <f>VLOOKUP($C509, Egli_UPEC_metadata_provided!$A$2:$M$826, 9, FALSE)</f>
        <v>0</v>
      </c>
      <c r="K509">
        <f>VLOOKUP($C509, Egli_UPEC_metadata_provided!$A$2:$M$826, 10, FALSE)</f>
        <v>0</v>
      </c>
      <c r="L509" t="str">
        <f>VLOOKUP($C509, Egli_UPEC_metadata_provided!$A$2:$M$826, 11, FALSE)</f>
        <v>non-invasive</v>
      </c>
      <c r="M509">
        <f>VLOOKUP($C509, Egli_UPEC_metadata_provided!$A$2:$M$826, 12, FALSE)</f>
        <v>0</v>
      </c>
      <c r="N509">
        <f>VLOOKUP($C509, Egli_UPEC_metadata_provided!$A$2:$M$826, 13, FALSE)</f>
        <v>0</v>
      </c>
      <c r="O509">
        <f>VLOOKUP($C509, Egli_UPEC_metadata_provided!$A$2:$N$826, 14, FALSE)</f>
        <v>0</v>
      </c>
    </row>
    <row r="510" spans="1:15" x14ac:dyDescent="0.2">
      <c r="A510" t="s">
        <v>476</v>
      </c>
      <c r="B510" t="s">
        <v>3711</v>
      </c>
      <c r="C510" t="s">
        <v>3711</v>
      </c>
      <c r="D510">
        <f>VLOOKUP($C510, Egli_UPEC_metadata_provided!$A$2:$M$826, 3, FALSE)</f>
        <v>2019</v>
      </c>
      <c r="E510" t="str">
        <f>VLOOKUP($C510, Egli_UPEC_metadata_provided!$A$2:$M$826, 4, FALSE)</f>
        <v>B2-1</v>
      </c>
      <c r="F510" t="str">
        <f>VLOOKUP($C510, Egli_UPEC_metadata_provided!$A$2:$M$826, 5, FALSE)</f>
        <v>w</v>
      </c>
      <c r="G510">
        <f>VLOOKUP($C510, Egli_UPEC_metadata_provided!$A$2:$M$826, 6, FALSE)</f>
        <v>0</v>
      </c>
      <c r="H510">
        <f>VLOOKUP($C510, Egli_UPEC_metadata_provided!$A$2:$M$826, 7, FALSE)</f>
        <v>0</v>
      </c>
      <c r="I510">
        <f>VLOOKUP($C510, Egli_UPEC_metadata_provided!$A$2:$M$826, 8, FALSE)</f>
        <v>75.269993164729996</v>
      </c>
      <c r="J510" t="b">
        <f>VLOOKUP($C510, Egli_UPEC_metadata_provided!$A$2:$M$826, 9, FALSE)</f>
        <v>0</v>
      </c>
      <c r="K510">
        <f>VLOOKUP($C510, Egli_UPEC_metadata_provided!$A$2:$M$826, 10, FALSE)</f>
        <v>1</v>
      </c>
      <c r="L510" t="str">
        <f>VLOOKUP($C510, Egli_UPEC_metadata_provided!$A$2:$M$826, 11, FALSE)</f>
        <v>non-invasive</v>
      </c>
      <c r="M510">
        <f>VLOOKUP($C510, Egli_UPEC_metadata_provided!$A$2:$M$826, 12, FALSE)</f>
        <v>0</v>
      </c>
      <c r="N510">
        <f>VLOOKUP($C510, Egli_UPEC_metadata_provided!$A$2:$M$826, 13, FALSE)</f>
        <v>0</v>
      </c>
      <c r="O510">
        <f>VLOOKUP($C510, Egli_UPEC_metadata_provided!$A$2:$N$826, 14, FALSE)</f>
        <v>0</v>
      </c>
    </row>
    <row r="511" spans="1:15" x14ac:dyDescent="0.2">
      <c r="A511" t="s">
        <v>477</v>
      </c>
      <c r="B511" t="s">
        <v>3712</v>
      </c>
      <c r="C511" t="s">
        <v>3712</v>
      </c>
      <c r="D511">
        <f>VLOOKUP($C511, Egli_UPEC_metadata_provided!$A$2:$M$826, 3, FALSE)</f>
        <v>2019</v>
      </c>
      <c r="E511" t="str">
        <f>VLOOKUP($C511, Egli_UPEC_metadata_provided!$A$2:$M$826, 4, FALSE)</f>
        <v>F</v>
      </c>
      <c r="F511" t="str">
        <f>VLOOKUP($C511, Egli_UPEC_metadata_provided!$A$2:$M$826, 5, FALSE)</f>
        <v>w</v>
      </c>
      <c r="G511">
        <f>VLOOKUP($C511, Egli_UPEC_metadata_provided!$A$2:$M$826, 6, FALSE)</f>
        <v>0</v>
      </c>
      <c r="H511">
        <f>VLOOKUP($C511, Egli_UPEC_metadata_provided!$A$2:$M$826, 7, FALSE)</f>
        <v>0</v>
      </c>
      <c r="I511">
        <f>VLOOKUP($C511, Egli_UPEC_metadata_provided!$A$2:$M$826, 8, FALSE)</f>
        <v>63.420369104579599</v>
      </c>
      <c r="J511" t="b">
        <f>VLOOKUP($C511, Egli_UPEC_metadata_provided!$A$2:$M$826, 9, FALSE)</f>
        <v>0</v>
      </c>
      <c r="K511">
        <f>VLOOKUP($C511, Egli_UPEC_metadata_provided!$A$2:$M$826, 10, FALSE)</f>
        <v>0</v>
      </c>
      <c r="L511" t="str">
        <f>VLOOKUP($C511, Egli_UPEC_metadata_provided!$A$2:$M$826, 11, FALSE)</f>
        <v>non-invasive</v>
      </c>
      <c r="M511">
        <f>VLOOKUP($C511, Egli_UPEC_metadata_provided!$A$2:$M$826, 12, FALSE)</f>
        <v>1</v>
      </c>
      <c r="N511">
        <f>VLOOKUP($C511, Egli_UPEC_metadata_provided!$A$2:$M$826, 13, FALSE)</f>
        <v>0</v>
      </c>
      <c r="O511">
        <f>VLOOKUP($C511, Egli_UPEC_metadata_provided!$A$2:$N$826, 14, FALSE)</f>
        <v>0</v>
      </c>
    </row>
    <row r="512" spans="1:15" x14ac:dyDescent="0.2">
      <c r="A512" t="s">
        <v>478</v>
      </c>
      <c r="B512" t="s">
        <v>3713</v>
      </c>
      <c r="C512" t="s">
        <v>3713</v>
      </c>
      <c r="D512">
        <f>VLOOKUP($C512, Egli_UPEC_metadata_provided!$A$2:$M$826, 3, FALSE)</f>
        <v>2019</v>
      </c>
      <c r="E512" t="str">
        <f>VLOOKUP($C512, Egli_UPEC_metadata_provided!$A$2:$M$826, 4, FALSE)</f>
        <v>B2-2</v>
      </c>
      <c r="F512" t="str">
        <f>VLOOKUP($C512, Egli_UPEC_metadata_provided!$A$2:$M$826, 5, FALSE)</f>
        <v>w</v>
      </c>
      <c r="G512">
        <f>VLOOKUP($C512, Egli_UPEC_metadata_provided!$A$2:$M$826, 6, FALSE)</f>
        <v>0</v>
      </c>
      <c r="H512">
        <f>VLOOKUP($C512, Egli_UPEC_metadata_provided!$A$2:$M$826, 7, FALSE)</f>
        <v>0</v>
      </c>
      <c r="I512">
        <f>VLOOKUP($C512, Egli_UPEC_metadata_provided!$A$2:$M$826, 8, FALSE)</f>
        <v>26.805194805194802</v>
      </c>
      <c r="J512" t="b">
        <f>VLOOKUP($C512, Egli_UPEC_metadata_provided!$A$2:$M$826, 9, FALSE)</f>
        <v>0</v>
      </c>
      <c r="K512">
        <f>VLOOKUP($C512, Egli_UPEC_metadata_provided!$A$2:$M$826, 10, FALSE)</f>
        <v>0</v>
      </c>
      <c r="L512" t="str">
        <f>VLOOKUP($C512, Egli_UPEC_metadata_provided!$A$2:$M$826, 11, FALSE)</f>
        <v>non-invasive</v>
      </c>
      <c r="M512">
        <f>VLOOKUP($C512, Egli_UPEC_metadata_provided!$A$2:$M$826, 12, FALSE)</f>
        <v>0</v>
      </c>
      <c r="N512">
        <f>VLOOKUP($C512, Egli_UPEC_metadata_provided!$A$2:$M$826, 13, FALSE)</f>
        <v>0</v>
      </c>
      <c r="O512">
        <f>VLOOKUP($C512, Egli_UPEC_metadata_provided!$A$2:$N$826, 14, FALSE)</f>
        <v>0</v>
      </c>
    </row>
    <row r="513" spans="1:15" x14ac:dyDescent="0.2">
      <c r="A513" t="s">
        <v>479</v>
      </c>
      <c r="B513" t="s">
        <v>3714</v>
      </c>
      <c r="C513" t="s">
        <v>3714</v>
      </c>
      <c r="D513">
        <f>VLOOKUP($C513, Egli_UPEC_metadata_provided!$A$2:$M$826, 3, FALSE)</f>
        <v>2019</v>
      </c>
      <c r="E513" t="str">
        <f>VLOOKUP($C513, Egli_UPEC_metadata_provided!$A$2:$M$826, 4, FALSE)</f>
        <v>B2-2</v>
      </c>
      <c r="F513" t="str">
        <f>VLOOKUP($C513, Egli_UPEC_metadata_provided!$A$2:$M$826, 5, FALSE)</f>
        <v>w</v>
      </c>
      <c r="G513">
        <f>VLOOKUP($C513, Egli_UPEC_metadata_provided!$A$2:$M$826, 6, FALSE)</f>
        <v>0</v>
      </c>
      <c r="H513">
        <f>VLOOKUP($C513, Egli_UPEC_metadata_provided!$A$2:$M$826, 7, FALSE)</f>
        <v>0</v>
      </c>
      <c r="I513">
        <f>VLOOKUP($C513, Egli_UPEC_metadata_provided!$A$2:$M$826, 8, FALSE)</f>
        <v>36.404647983595403</v>
      </c>
      <c r="J513" t="b">
        <f>VLOOKUP($C513, Egli_UPEC_metadata_provided!$A$2:$M$826, 9, FALSE)</f>
        <v>1</v>
      </c>
      <c r="K513">
        <f>VLOOKUP($C513, Egli_UPEC_metadata_provided!$A$2:$M$826, 10, FALSE)</f>
        <v>0</v>
      </c>
      <c r="L513" t="str">
        <f>VLOOKUP($C513, Egli_UPEC_metadata_provided!$A$2:$M$826, 11, FALSE)</f>
        <v>non-invasive</v>
      </c>
      <c r="M513">
        <f>VLOOKUP($C513, Egli_UPEC_metadata_provided!$A$2:$M$826, 12, FALSE)</f>
        <v>0</v>
      </c>
      <c r="N513">
        <f>VLOOKUP($C513, Egli_UPEC_metadata_provided!$A$2:$M$826, 13, FALSE)</f>
        <v>0</v>
      </c>
      <c r="O513">
        <f>VLOOKUP($C513, Egli_UPEC_metadata_provided!$A$2:$N$826, 14, FALSE)</f>
        <v>0</v>
      </c>
    </row>
    <row r="514" spans="1:15" x14ac:dyDescent="0.2">
      <c r="A514" t="s">
        <v>480</v>
      </c>
      <c r="B514" t="s">
        <v>3715</v>
      </c>
      <c r="C514" t="s">
        <v>3715</v>
      </c>
      <c r="D514">
        <f>VLOOKUP($C514, Egli_UPEC_metadata_provided!$A$2:$M$826, 3, FALSE)</f>
        <v>2019</v>
      </c>
      <c r="E514" t="str">
        <f>VLOOKUP($C514, Egli_UPEC_metadata_provided!$A$2:$M$826, 4, FALSE)</f>
        <v>B2-1</v>
      </c>
      <c r="F514" t="str">
        <f>VLOOKUP($C514, Egli_UPEC_metadata_provided!$A$2:$M$826, 5, FALSE)</f>
        <v>w</v>
      </c>
      <c r="G514">
        <f>VLOOKUP($C514, Egli_UPEC_metadata_provided!$A$2:$M$826, 6, FALSE)</f>
        <v>0</v>
      </c>
      <c r="H514">
        <f>VLOOKUP($C514, Egli_UPEC_metadata_provided!$A$2:$M$826, 7, FALSE)</f>
        <v>8</v>
      </c>
      <c r="I514">
        <f>VLOOKUP($C514, Egli_UPEC_metadata_provided!$A$2:$M$826, 8, FALSE)</f>
        <v>63.663704716336298</v>
      </c>
      <c r="J514" t="b">
        <f>VLOOKUP($C514, Egli_UPEC_metadata_provided!$A$2:$M$826, 9, FALSE)</f>
        <v>0</v>
      </c>
      <c r="K514">
        <f>VLOOKUP($C514, Egli_UPEC_metadata_provided!$A$2:$M$826, 10, FALSE)</f>
        <v>0</v>
      </c>
      <c r="L514" t="str">
        <f>VLOOKUP($C514, Egli_UPEC_metadata_provided!$A$2:$M$826, 11, FALSE)</f>
        <v>invasive</v>
      </c>
      <c r="M514">
        <f>VLOOKUP($C514, Egli_UPEC_metadata_provided!$A$2:$M$826, 12, FALSE)</f>
        <v>0</v>
      </c>
      <c r="N514">
        <f>VLOOKUP($C514, Egli_UPEC_metadata_provided!$A$2:$M$826, 13, FALSE)</f>
        <v>0</v>
      </c>
      <c r="O514">
        <f>VLOOKUP($C514, Egli_UPEC_metadata_provided!$A$2:$N$826, 14, FALSE)</f>
        <v>0</v>
      </c>
    </row>
    <row r="515" spans="1:15" x14ac:dyDescent="0.2">
      <c r="A515" t="s">
        <v>482</v>
      </c>
      <c r="B515" t="s">
        <v>3717</v>
      </c>
      <c r="C515" t="s">
        <v>3717</v>
      </c>
      <c r="D515">
        <f>VLOOKUP($C515, Egli_UPEC_metadata_provided!$A$2:$M$826, 3, FALSE)</f>
        <v>2019</v>
      </c>
      <c r="E515" t="str">
        <f>VLOOKUP($C515, Egli_UPEC_metadata_provided!$A$2:$M$826, 4, FALSE)</f>
        <v>B2-2</v>
      </c>
      <c r="F515" t="str">
        <f>VLOOKUP($C515, Egli_UPEC_metadata_provided!$A$2:$M$826, 5, FALSE)</f>
        <v>w</v>
      </c>
      <c r="G515">
        <f>VLOOKUP($C515, Egli_UPEC_metadata_provided!$A$2:$M$826, 6, FALSE)</f>
        <v>0</v>
      </c>
      <c r="H515">
        <f>VLOOKUP($C515, Egli_UPEC_metadata_provided!$A$2:$M$826, 7, FALSE)</f>
        <v>3</v>
      </c>
      <c r="I515">
        <f>VLOOKUP($C515, Egli_UPEC_metadata_provided!$A$2:$M$826, 8, FALSE)</f>
        <v>89.654135338345895</v>
      </c>
      <c r="J515" t="b">
        <f>VLOOKUP($C515, Egli_UPEC_metadata_provided!$A$2:$M$826, 9, FALSE)</f>
        <v>1</v>
      </c>
      <c r="K515">
        <f>VLOOKUP($C515, Egli_UPEC_metadata_provided!$A$2:$M$826, 10, FALSE)</f>
        <v>1</v>
      </c>
      <c r="L515" t="str">
        <f>VLOOKUP($C515, Egli_UPEC_metadata_provided!$A$2:$M$826, 11, FALSE)</f>
        <v>non-invasive</v>
      </c>
      <c r="M515">
        <f>VLOOKUP($C515, Egli_UPEC_metadata_provided!$A$2:$M$826, 12, FALSE)</f>
        <v>0</v>
      </c>
      <c r="N515">
        <f>VLOOKUP($C515, Egli_UPEC_metadata_provided!$A$2:$M$826, 13, FALSE)</f>
        <v>1</v>
      </c>
      <c r="O515">
        <f>VLOOKUP($C515, Egli_UPEC_metadata_provided!$A$2:$N$826, 14, FALSE)</f>
        <v>0</v>
      </c>
    </row>
    <row r="516" spans="1:15" x14ac:dyDescent="0.2">
      <c r="A516" t="s">
        <v>483</v>
      </c>
      <c r="B516" t="s">
        <v>3718</v>
      </c>
      <c r="C516" t="s">
        <v>3718</v>
      </c>
      <c r="D516">
        <f>VLOOKUP($C516, Egli_UPEC_metadata_provided!$A$2:$M$826, 3, FALSE)</f>
        <v>2019</v>
      </c>
      <c r="E516" t="str">
        <f>VLOOKUP($C516, Egli_UPEC_metadata_provided!$A$2:$M$826, 4, FALSE)</f>
        <v>B2-2</v>
      </c>
      <c r="F516" t="str">
        <f>VLOOKUP($C516, Egli_UPEC_metadata_provided!$A$2:$M$826, 5, FALSE)</f>
        <v>w</v>
      </c>
      <c r="G516">
        <f>VLOOKUP($C516, Egli_UPEC_metadata_provided!$A$2:$M$826, 6, FALSE)</f>
        <v>0</v>
      </c>
      <c r="H516">
        <f>VLOOKUP($C516, Egli_UPEC_metadata_provided!$A$2:$M$826, 7, FALSE)</f>
        <v>3</v>
      </c>
      <c r="I516">
        <f>VLOOKUP($C516, Egli_UPEC_metadata_provided!$A$2:$M$826, 8, FALSE)</f>
        <v>76.434723171565295</v>
      </c>
      <c r="J516" t="b">
        <f>VLOOKUP($C516, Egli_UPEC_metadata_provided!$A$2:$M$826, 9, FALSE)</f>
        <v>0</v>
      </c>
      <c r="K516">
        <f>VLOOKUP($C516, Egli_UPEC_metadata_provided!$A$2:$M$826, 10, FALSE)</f>
        <v>0</v>
      </c>
      <c r="L516" t="str">
        <f>VLOOKUP($C516, Egli_UPEC_metadata_provided!$A$2:$M$826, 11, FALSE)</f>
        <v>non-invasive</v>
      </c>
      <c r="M516">
        <f>VLOOKUP($C516, Egli_UPEC_metadata_provided!$A$2:$M$826, 12, FALSE)</f>
        <v>0</v>
      </c>
      <c r="N516">
        <f>VLOOKUP($C516, Egli_UPEC_metadata_provided!$A$2:$M$826, 13, FALSE)</f>
        <v>0</v>
      </c>
      <c r="O516">
        <f>VLOOKUP($C516, Egli_UPEC_metadata_provided!$A$2:$N$826, 14, FALSE)</f>
        <v>0</v>
      </c>
    </row>
    <row r="517" spans="1:15" x14ac:dyDescent="0.2">
      <c r="A517" t="s">
        <v>484</v>
      </c>
      <c r="B517" t="s">
        <v>3719</v>
      </c>
      <c r="C517" t="s">
        <v>3719</v>
      </c>
      <c r="D517">
        <f>VLOOKUP($C517, Egli_UPEC_metadata_provided!$A$2:$M$826, 3, FALSE)</f>
        <v>2019</v>
      </c>
      <c r="E517" t="str">
        <f>VLOOKUP($C517, Egli_UPEC_metadata_provided!$A$2:$M$826, 4, FALSE)</f>
        <v>B1</v>
      </c>
      <c r="F517" t="str">
        <f>VLOOKUP($C517, Egli_UPEC_metadata_provided!$A$2:$M$826, 5, FALSE)</f>
        <v>w</v>
      </c>
      <c r="G517">
        <f>VLOOKUP($C517, Egli_UPEC_metadata_provided!$A$2:$M$826, 6, FALSE)</f>
        <v>0</v>
      </c>
      <c r="H517">
        <f>VLOOKUP($C517, Egli_UPEC_metadata_provided!$A$2:$M$826, 7, FALSE)</f>
        <v>2</v>
      </c>
      <c r="I517">
        <f>VLOOKUP($C517, Egli_UPEC_metadata_provided!$A$2:$M$826, 8, FALSE)</f>
        <v>77.224880382775098</v>
      </c>
      <c r="J517" t="b">
        <f>VLOOKUP($C517, Egli_UPEC_metadata_provided!$A$2:$M$826, 9, FALSE)</f>
        <v>0</v>
      </c>
      <c r="K517">
        <f>VLOOKUP($C517, Egli_UPEC_metadata_provided!$A$2:$M$826, 10, FALSE)</f>
        <v>0</v>
      </c>
      <c r="L517" t="str">
        <f>VLOOKUP($C517, Egli_UPEC_metadata_provided!$A$2:$M$826, 11, FALSE)</f>
        <v>non-invasive</v>
      </c>
      <c r="M517">
        <f>VLOOKUP($C517, Egli_UPEC_metadata_provided!$A$2:$M$826, 12, FALSE)</f>
        <v>1</v>
      </c>
      <c r="N517">
        <f>VLOOKUP($C517, Egli_UPEC_metadata_provided!$A$2:$M$826, 13, FALSE)</f>
        <v>1</v>
      </c>
      <c r="O517">
        <f>VLOOKUP($C517, Egli_UPEC_metadata_provided!$A$2:$N$826, 14, FALSE)</f>
        <v>0</v>
      </c>
    </row>
    <row r="518" spans="1:15" x14ac:dyDescent="0.2">
      <c r="A518" t="s">
        <v>486</v>
      </c>
      <c r="B518" t="s">
        <v>3721</v>
      </c>
      <c r="C518" t="s">
        <v>3721</v>
      </c>
      <c r="D518">
        <f>VLOOKUP($C518, Egli_UPEC_metadata_provided!$A$2:$M$826, 3, FALSE)</f>
        <v>2019</v>
      </c>
      <c r="E518" t="str">
        <f>VLOOKUP($C518, Egli_UPEC_metadata_provided!$A$2:$M$826, 4, FALSE)</f>
        <v>B2-2</v>
      </c>
      <c r="F518" t="str">
        <f>VLOOKUP($C518, Egli_UPEC_metadata_provided!$A$2:$M$826, 5, FALSE)</f>
        <v>w</v>
      </c>
      <c r="G518">
        <f>VLOOKUP($C518, Egli_UPEC_metadata_provided!$A$2:$M$826, 6, FALSE)</f>
        <v>0</v>
      </c>
      <c r="H518">
        <f>VLOOKUP($C518, Egli_UPEC_metadata_provided!$A$2:$M$826, 7, FALSE)</f>
        <v>7</v>
      </c>
      <c r="I518">
        <f>VLOOKUP($C518, Egli_UPEC_metadata_provided!$A$2:$M$826, 8, FALSE)</f>
        <v>77.585782638414202</v>
      </c>
      <c r="J518" t="b">
        <f>VLOOKUP($C518, Egli_UPEC_metadata_provided!$A$2:$M$826, 9, FALSE)</f>
        <v>0</v>
      </c>
      <c r="K518">
        <f>VLOOKUP($C518, Egli_UPEC_metadata_provided!$A$2:$M$826, 10, FALSE)</f>
        <v>0</v>
      </c>
      <c r="L518" t="str">
        <f>VLOOKUP($C518, Egli_UPEC_metadata_provided!$A$2:$M$826, 11, FALSE)</f>
        <v>non-invasive</v>
      </c>
      <c r="M518">
        <f>VLOOKUP($C518, Egli_UPEC_metadata_provided!$A$2:$M$826, 12, FALSE)</f>
        <v>1</v>
      </c>
      <c r="N518">
        <f>VLOOKUP($C518, Egli_UPEC_metadata_provided!$A$2:$M$826, 13, FALSE)</f>
        <v>0</v>
      </c>
      <c r="O518">
        <f>VLOOKUP($C518, Egli_UPEC_metadata_provided!$A$2:$N$826, 14, FALSE)</f>
        <v>1</v>
      </c>
    </row>
    <row r="519" spans="1:15" x14ac:dyDescent="0.2">
      <c r="A519" t="s">
        <v>487</v>
      </c>
      <c r="B519" t="s">
        <v>3722</v>
      </c>
      <c r="C519" t="s">
        <v>3722</v>
      </c>
      <c r="D519">
        <f>VLOOKUP($C519, Egli_UPEC_metadata_provided!$A$2:$M$826, 3, FALSE)</f>
        <v>2019</v>
      </c>
      <c r="E519" t="str">
        <f>VLOOKUP($C519, Egli_UPEC_metadata_provided!$A$2:$M$826, 4, FALSE)</f>
        <v>D2</v>
      </c>
      <c r="F519" t="str">
        <f>VLOOKUP($C519, Egli_UPEC_metadata_provided!$A$2:$M$826, 5, FALSE)</f>
        <v>w</v>
      </c>
      <c r="G519">
        <f>VLOOKUP($C519, Egli_UPEC_metadata_provided!$A$2:$M$826, 6, FALSE)</f>
        <v>0</v>
      </c>
      <c r="H519">
        <f>VLOOKUP($C519, Egli_UPEC_metadata_provided!$A$2:$M$826, 7, FALSE)</f>
        <v>3</v>
      </c>
      <c r="I519">
        <f>VLOOKUP($C519, Egli_UPEC_metadata_provided!$A$2:$M$826, 8, FALSE)</f>
        <v>84.451127819548901</v>
      </c>
      <c r="J519" t="b">
        <f>VLOOKUP($C519, Egli_UPEC_metadata_provided!$A$2:$M$826, 9, FALSE)</f>
        <v>0</v>
      </c>
      <c r="K519">
        <f>VLOOKUP($C519, Egli_UPEC_metadata_provided!$A$2:$M$826, 10, FALSE)</f>
        <v>0</v>
      </c>
      <c r="L519" t="str">
        <f>VLOOKUP($C519, Egli_UPEC_metadata_provided!$A$2:$M$826, 11, FALSE)</f>
        <v>non-invasive</v>
      </c>
      <c r="M519">
        <f>VLOOKUP($C519, Egli_UPEC_metadata_provided!$A$2:$M$826, 12, FALSE)</f>
        <v>1</v>
      </c>
      <c r="N519">
        <f>VLOOKUP($C519, Egli_UPEC_metadata_provided!$A$2:$M$826, 13, FALSE)</f>
        <v>0</v>
      </c>
      <c r="O519">
        <f>VLOOKUP($C519, Egli_UPEC_metadata_provided!$A$2:$N$826, 14, FALSE)</f>
        <v>0</v>
      </c>
    </row>
    <row r="520" spans="1:15" x14ac:dyDescent="0.2">
      <c r="A520" t="s">
        <v>488</v>
      </c>
      <c r="B520" t="s">
        <v>3723</v>
      </c>
      <c r="C520" t="s">
        <v>3723</v>
      </c>
      <c r="D520">
        <f>VLOOKUP($C520, Egli_UPEC_metadata_provided!$A$2:$M$826, 3, FALSE)</f>
        <v>2019</v>
      </c>
      <c r="E520" t="str">
        <f>VLOOKUP($C520, Egli_UPEC_metadata_provided!$A$2:$M$826, 4, FALSE)</f>
        <v>B2-2</v>
      </c>
      <c r="F520" t="str">
        <f>VLOOKUP($C520, Egli_UPEC_metadata_provided!$A$2:$M$826, 5, FALSE)</f>
        <v>w</v>
      </c>
      <c r="G520">
        <f>VLOOKUP($C520, Egli_UPEC_metadata_provided!$A$2:$M$826, 6, FALSE)</f>
        <v>0</v>
      </c>
      <c r="H520">
        <f>VLOOKUP($C520, Egli_UPEC_metadata_provided!$A$2:$M$826, 7, FALSE)</f>
        <v>4</v>
      </c>
      <c r="I520">
        <f>VLOOKUP($C520, Egli_UPEC_metadata_provided!$A$2:$M$826, 8, FALSE)</f>
        <v>73.640464798359503</v>
      </c>
      <c r="J520" t="b">
        <f>VLOOKUP($C520, Egli_UPEC_metadata_provided!$A$2:$M$826, 9, FALSE)</f>
        <v>0</v>
      </c>
      <c r="K520">
        <f>VLOOKUP($C520, Egli_UPEC_metadata_provided!$A$2:$M$826, 10, FALSE)</f>
        <v>0</v>
      </c>
      <c r="L520" t="str">
        <f>VLOOKUP($C520, Egli_UPEC_metadata_provided!$A$2:$M$826, 11, FALSE)</f>
        <v>non-invasive</v>
      </c>
      <c r="M520">
        <f>VLOOKUP($C520, Egli_UPEC_metadata_provided!$A$2:$M$826, 12, FALSE)</f>
        <v>0</v>
      </c>
      <c r="N520">
        <f>VLOOKUP($C520, Egli_UPEC_metadata_provided!$A$2:$M$826, 13, FALSE)</f>
        <v>0</v>
      </c>
      <c r="O520">
        <f>VLOOKUP($C520, Egli_UPEC_metadata_provided!$A$2:$N$826, 14, FALSE)</f>
        <v>1</v>
      </c>
    </row>
    <row r="521" spans="1:15" x14ac:dyDescent="0.2">
      <c r="A521" t="s">
        <v>489</v>
      </c>
      <c r="B521" t="s">
        <v>3724</v>
      </c>
      <c r="C521" t="s">
        <v>3724</v>
      </c>
      <c r="D521">
        <f>VLOOKUP($C521, Egli_UPEC_metadata_provided!$A$2:$M$826, 3, FALSE)</f>
        <v>2019</v>
      </c>
      <c r="E521" t="str">
        <f>VLOOKUP($C521, Egli_UPEC_metadata_provided!$A$2:$M$826, 4, FALSE)</f>
        <v>B2-2</v>
      </c>
      <c r="F521" t="str">
        <f>VLOOKUP($C521, Egli_UPEC_metadata_provided!$A$2:$M$826, 5, FALSE)</f>
        <v>m</v>
      </c>
      <c r="G521">
        <f>VLOOKUP($C521, Egli_UPEC_metadata_provided!$A$2:$M$826, 6, FALSE)</f>
        <v>0</v>
      </c>
      <c r="H521">
        <f>VLOOKUP($C521, Egli_UPEC_metadata_provided!$A$2:$M$826, 7, FALSE)</f>
        <v>2</v>
      </c>
      <c r="I521">
        <f>VLOOKUP($C521, Egli_UPEC_metadata_provided!$A$2:$M$826, 8, FALSE)</f>
        <v>86.736842105263193</v>
      </c>
      <c r="J521" t="b">
        <f>VLOOKUP($C521, Egli_UPEC_metadata_provided!$A$2:$M$826, 9, FALSE)</f>
        <v>0</v>
      </c>
      <c r="K521">
        <f>VLOOKUP($C521, Egli_UPEC_metadata_provided!$A$2:$M$826, 10, FALSE)</f>
        <v>0</v>
      </c>
      <c r="L521" t="str">
        <f>VLOOKUP($C521, Egli_UPEC_metadata_provided!$A$2:$M$826, 11, FALSE)</f>
        <v>non-invasive</v>
      </c>
      <c r="M521">
        <f>VLOOKUP($C521, Egli_UPEC_metadata_provided!$A$2:$M$826, 12, FALSE)</f>
        <v>1</v>
      </c>
      <c r="N521">
        <f>VLOOKUP($C521, Egli_UPEC_metadata_provided!$A$2:$M$826, 13, FALSE)</f>
        <v>0</v>
      </c>
      <c r="O521">
        <f>VLOOKUP($C521, Egli_UPEC_metadata_provided!$A$2:$N$826, 14, FALSE)</f>
        <v>0</v>
      </c>
    </row>
    <row r="522" spans="1:15" x14ac:dyDescent="0.2">
      <c r="A522" t="s">
        <v>490</v>
      </c>
      <c r="B522" t="s">
        <v>3725</v>
      </c>
      <c r="C522" t="s">
        <v>3725</v>
      </c>
      <c r="D522">
        <f>VLOOKUP($C522, Egli_UPEC_metadata_provided!$A$2:$M$826, 3, FALSE)</f>
        <v>2019</v>
      </c>
      <c r="E522" t="str">
        <f>VLOOKUP($C522, Egli_UPEC_metadata_provided!$A$2:$M$826, 4, FALSE)</f>
        <v>D1</v>
      </c>
      <c r="F522" t="str">
        <f>VLOOKUP($C522, Egli_UPEC_metadata_provided!$A$2:$M$826, 5, FALSE)</f>
        <v>w</v>
      </c>
      <c r="G522">
        <f>VLOOKUP($C522, Egli_UPEC_metadata_provided!$A$2:$M$826, 6, FALSE)</f>
        <v>0</v>
      </c>
      <c r="H522">
        <f>VLOOKUP($C522, Egli_UPEC_metadata_provided!$A$2:$M$826, 7, FALSE)</f>
        <v>0</v>
      </c>
      <c r="I522">
        <f>VLOOKUP($C522, Egli_UPEC_metadata_provided!$A$2:$M$826, 8, FALSE)</f>
        <v>27.4258373205742</v>
      </c>
      <c r="J522" t="b">
        <f>VLOOKUP($C522, Egli_UPEC_metadata_provided!$A$2:$M$826, 9, FALSE)</f>
        <v>0</v>
      </c>
      <c r="K522">
        <f>VLOOKUP($C522, Egli_UPEC_metadata_provided!$A$2:$M$826, 10, FALSE)</f>
        <v>1</v>
      </c>
      <c r="L522" t="str">
        <f>VLOOKUP($C522, Egli_UPEC_metadata_provided!$A$2:$M$826, 11, FALSE)</f>
        <v>non-invasive</v>
      </c>
      <c r="M522">
        <f>VLOOKUP($C522, Egli_UPEC_metadata_provided!$A$2:$M$826, 12, FALSE)</f>
        <v>0</v>
      </c>
      <c r="N522">
        <f>VLOOKUP($C522, Egli_UPEC_metadata_provided!$A$2:$M$826, 13, FALSE)</f>
        <v>0</v>
      </c>
      <c r="O522">
        <f>VLOOKUP($C522, Egli_UPEC_metadata_provided!$A$2:$N$826, 14, FALSE)</f>
        <v>1</v>
      </c>
    </row>
    <row r="523" spans="1:15" x14ac:dyDescent="0.2">
      <c r="A523" t="s">
        <v>491</v>
      </c>
      <c r="B523" t="s">
        <v>3726</v>
      </c>
      <c r="C523" t="s">
        <v>3726</v>
      </c>
      <c r="D523">
        <f>VLOOKUP($C523, Egli_UPEC_metadata_provided!$A$2:$M$826, 3, FALSE)</f>
        <v>2019</v>
      </c>
      <c r="E523" t="str">
        <f>VLOOKUP($C523, Egli_UPEC_metadata_provided!$A$2:$M$826, 4, FALSE)</f>
        <v>D1</v>
      </c>
      <c r="F523" t="str">
        <f>VLOOKUP($C523, Egli_UPEC_metadata_provided!$A$2:$M$826, 5, FALSE)</f>
        <v>w</v>
      </c>
      <c r="G523">
        <f>VLOOKUP($C523, Egli_UPEC_metadata_provided!$A$2:$M$826, 6, FALSE)</f>
        <v>0</v>
      </c>
      <c r="H523">
        <f>VLOOKUP($C523, Egli_UPEC_metadata_provided!$A$2:$M$826, 7, FALSE)</f>
        <v>0</v>
      </c>
      <c r="I523">
        <f>VLOOKUP($C523, Egli_UPEC_metadata_provided!$A$2:$M$826, 8, FALSE)</f>
        <v>87.505126452494906</v>
      </c>
      <c r="J523" t="b">
        <f>VLOOKUP($C523, Egli_UPEC_metadata_provided!$A$2:$M$826, 9, FALSE)</f>
        <v>0</v>
      </c>
      <c r="K523">
        <f>VLOOKUP($C523, Egli_UPEC_metadata_provided!$A$2:$M$826, 10, FALSE)</f>
        <v>0</v>
      </c>
      <c r="L523" t="str">
        <f>VLOOKUP($C523, Egli_UPEC_metadata_provided!$A$2:$M$826, 11, FALSE)</f>
        <v>non-invasive</v>
      </c>
      <c r="M523">
        <f>VLOOKUP($C523, Egli_UPEC_metadata_provided!$A$2:$M$826, 12, FALSE)</f>
        <v>1</v>
      </c>
      <c r="N523">
        <f>VLOOKUP($C523, Egli_UPEC_metadata_provided!$A$2:$M$826, 13, FALSE)</f>
        <v>0</v>
      </c>
      <c r="O523">
        <f>VLOOKUP($C523, Egli_UPEC_metadata_provided!$A$2:$N$826, 14, FALSE)</f>
        <v>0</v>
      </c>
    </row>
    <row r="524" spans="1:15" x14ac:dyDescent="0.2">
      <c r="A524" t="s">
        <v>492</v>
      </c>
      <c r="B524" t="s">
        <v>3727</v>
      </c>
      <c r="C524" t="s">
        <v>3727</v>
      </c>
      <c r="D524">
        <f>VLOOKUP($C524, Egli_UPEC_metadata_provided!$A$2:$M$826, 3, FALSE)</f>
        <v>2019</v>
      </c>
      <c r="E524" t="str">
        <f>VLOOKUP($C524, Egli_UPEC_metadata_provided!$A$2:$M$826, 4, FALSE)</f>
        <v>D2</v>
      </c>
      <c r="F524" t="str">
        <f>VLOOKUP($C524, Egli_UPEC_metadata_provided!$A$2:$M$826, 5, FALSE)</f>
        <v>w</v>
      </c>
      <c r="G524">
        <f>VLOOKUP($C524, Egli_UPEC_metadata_provided!$A$2:$M$826, 6, FALSE)</f>
        <v>0</v>
      </c>
      <c r="H524">
        <f>VLOOKUP($C524, Egli_UPEC_metadata_provided!$A$2:$M$826, 7, FALSE)</f>
        <v>5</v>
      </c>
      <c r="I524">
        <f>VLOOKUP($C524, Egli_UPEC_metadata_provided!$A$2:$M$826, 8, FALSE)</f>
        <v>77.681476418318496</v>
      </c>
      <c r="J524" t="b">
        <f>VLOOKUP($C524, Egli_UPEC_metadata_provided!$A$2:$M$826, 9, FALSE)</f>
        <v>0</v>
      </c>
      <c r="K524">
        <f>VLOOKUP($C524, Egli_UPEC_metadata_provided!$A$2:$M$826, 10, FALSE)</f>
        <v>0</v>
      </c>
      <c r="L524" t="str">
        <f>VLOOKUP($C524, Egli_UPEC_metadata_provided!$A$2:$M$826, 11, FALSE)</f>
        <v>non-invasive</v>
      </c>
      <c r="M524">
        <f>VLOOKUP($C524, Egli_UPEC_metadata_provided!$A$2:$M$826, 12, FALSE)</f>
        <v>1</v>
      </c>
      <c r="N524">
        <f>VLOOKUP($C524, Egli_UPEC_metadata_provided!$A$2:$M$826, 13, FALSE)</f>
        <v>0</v>
      </c>
      <c r="O524">
        <f>VLOOKUP($C524, Egli_UPEC_metadata_provided!$A$2:$N$826, 14, FALSE)</f>
        <v>0</v>
      </c>
    </row>
    <row r="525" spans="1:15" x14ac:dyDescent="0.2">
      <c r="A525" t="s">
        <v>493</v>
      </c>
      <c r="B525" t="s">
        <v>3728</v>
      </c>
      <c r="C525" t="s">
        <v>3728</v>
      </c>
      <c r="D525">
        <f>VLOOKUP($C525, Egli_UPEC_metadata_provided!$A$2:$M$826, 3, FALSE)</f>
        <v>2019</v>
      </c>
      <c r="E525" t="str">
        <f>VLOOKUP($C525, Egli_UPEC_metadata_provided!$A$2:$M$826, 4, FALSE)</f>
        <v>F</v>
      </c>
      <c r="F525" t="str">
        <f>VLOOKUP($C525, Egli_UPEC_metadata_provided!$A$2:$M$826, 5, FALSE)</f>
        <v>w</v>
      </c>
      <c r="G525">
        <f>VLOOKUP($C525, Egli_UPEC_metadata_provided!$A$2:$M$826, 6, FALSE)</f>
        <v>0</v>
      </c>
      <c r="H525">
        <f>VLOOKUP($C525, Egli_UPEC_metadata_provided!$A$2:$M$826, 7, FALSE)</f>
        <v>1</v>
      </c>
      <c r="I525">
        <f>VLOOKUP($C525, Egli_UPEC_metadata_provided!$A$2:$M$826, 8, FALSE)</f>
        <v>93.525632262474403</v>
      </c>
      <c r="J525" t="b">
        <f>VLOOKUP($C525, Egli_UPEC_metadata_provided!$A$2:$M$826, 9, FALSE)</f>
        <v>1</v>
      </c>
      <c r="K525">
        <f>VLOOKUP($C525, Egli_UPEC_metadata_provided!$A$2:$M$826, 10, FALSE)</f>
        <v>0</v>
      </c>
      <c r="L525" t="str">
        <f>VLOOKUP($C525, Egli_UPEC_metadata_provided!$A$2:$M$826, 11, FALSE)</f>
        <v>non-invasive</v>
      </c>
      <c r="M525">
        <f>VLOOKUP($C525, Egli_UPEC_metadata_provided!$A$2:$M$826, 12, FALSE)</f>
        <v>0</v>
      </c>
      <c r="N525">
        <f>VLOOKUP($C525, Egli_UPEC_metadata_provided!$A$2:$M$826, 13, FALSE)</f>
        <v>0</v>
      </c>
      <c r="O525">
        <f>VLOOKUP($C525, Egli_UPEC_metadata_provided!$A$2:$N$826, 14, FALSE)</f>
        <v>0</v>
      </c>
    </row>
    <row r="526" spans="1:15" x14ac:dyDescent="0.2">
      <c r="A526" t="s">
        <v>494</v>
      </c>
      <c r="B526" t="s">
        <v>3729</v>
      </c>
      <c r="C526" t="s">
        <v>3729</v>
      </c>
      <c r="D526">
        <f>VLOOKUP($C526, Egli_UPEC_metadata_provided!$A$2:$M$826, 3, FALSE)</f>
        <v>2019</v>
      </c>
      <c r="E526" t="str">
        <f>VLOOKUP($C526, Egli_UPEC_metadata_provided!$A$2:$M$826, 4, FALSE)</f>
        <v>B1</v>
      </c>
      <c r="F526" t="str">
        <f>VLOOKUP($C526, Egli_UPEC_metadata_provided!$A$2:$M$826, 5, FALSE)</f>
        <v>w</v>
      </c>
      <c r="G526">
        <f>VLOOKUP($C526, Egli_UPEC_metadata_provided!$A$2:$M$826, 6, FALSE)</f>
        <v>0</v>
      </c>
      <c r="H526">
        <f>VLOOKUP($C526, Egli_UPEC_metadata_provided!$A$2:$M$826, 7, FALSE)</f>
        <v>0</v>
      </c>
      <c r="I526">
        <f>VLOOKUP($C526, Egli_UPEC_metadata_provided!$A$2:$M$826, 8, FALSE)</f>
        <v>90.870813397129197</v>
      </c>
      <c r="J526" t="b">
        <f>VLOOKUP($C526, Egli_UPEC_metadata_provided!$A$2:$M$826, 9, FALSE)</f>
        <v>0</v>
      </c>
      <c r="K526">
        <f>VLOOKUP($C526, Egli_UPEC_metadata_provided!$A$2:$M$826, 10, FALSE)</f>
        <v>0</v>
      </c>
      <c r="L526" t="str">
        <f>VLOOKUP($C526, Egli_UPEC_metadata_provided!$A$2:$M$826, 11, FALSE)</f>
        <v>non-invasive</v>
      </c>
      <c r="M526">
        <f>VLOOKUP($C526, Egli_UPEC_metadata_provided!$A$2:$M$826, 12, FALSE)</f>
        <v>0</v>
      </c>
      <c r="N526">
        <f>VLOOKUP($C526, Egli_UPEC_metadata_provided!$A$2:$M$826, 13, FALSE)</f>
        <v>0</v>
      </c>
      <c r="O526">
        <f>VLOOKUP($C526, Egli_UPEC_metadata_provided!$A$2:$N$826, 14, FALSE)</f>
        <v>0</v>
      </c>
    </row>
    <row r="527" spans="1:15" x14ac:dyDescent="0.2">
      <c r="A527" t="s">
        <v>495</v>
      </c>
      <c r="B527" t="s">
        <v>3730</v>
      </c>
      <c r="C527" t="s">
        <v>3730</v>
      </c>
      <c r="D527">
        <f>VLOOKUP($C527, Egli_UPEC_metadata_provided!$A$2:$M$826, 3, FALSE)</f>
        <v>2019</v>
      </c>
      <c r="E527" t="str">
        <f>VLOOKUP($C527, Egli_UPEC_metadata_provided!$A$2:$M$826, 4, FALSE)</f>
        <v>B2-2</v>
      </c>
      <c r="F527" t="str">
        <f>VLOOKUP($C527, Egli_UPEC_metadata_provided!$A$2:$M$826, 5, FALSE)</f>
        <v>m</v>
      </c>
      <c r="G527">
        <f>VLOOKUP($C527, Egli_UPEC_metadata_provided!$A$2:$M$826, 6, FALSE)</f>
        <v>0</v>
      </c>
      <c r="H527">
        <f>VLOOKUP($C527, Egli_UPEC_metadata_provided!$A$2:$M$826, 7, FALSE)</f>
        <v>0</v>
      </c>
      <c r="I527">
        <f>VLOOKUP($C527, Egli_UPEC_metadata_provided!$A$2:$M$826, 8, FALSE)</f>
        <v>90.835269993164701</v>
      </c>
      <c r="J527" t="b">
        <f>VLOOKUP($C527, Egli_UPEC_metadata_provided!$A$2:$M$826, 9, FALSE)</f>
        <v>0</v>
      </c>
      <c r="K527">
        <f>VLOOKUP($C527, Egli_UPEC_metadata_provided!$A$2:$M$826, 10, FALSE)</f>
        <v>0</v>
      </c>
      <c r="L527" t="str">
        <f>VLOOKUP($C527, Egli_UPEC_metadata_provided!$A$2:$M$826, 11, FALSE)</f>
        <v>non-invasive</v>
      </c>
      <c r="M527">
        <f>VLOOKUP($C527, Egli_UPEC_metadata_provided!$A$2:$M$826, 12, FALSE)</f>
        <v>1</v>
      </c>
      <c r="N527">
        <f>VLOOKUP($C527, Egli_UPEC_metadata_provided!$A$2:$M$826, 13, FALSE)</f>
        <v>0</v>
      </c>
      <c r="O527">
        <f>VLOOKUP($C527, Egli_UPEC_metadata_provided!$A$2:$N$826, 14, FALSE)</f>
        <v>1</v>
      </c>
    </row>
    <row r="528" spans="1:15" x14ac:dyDescent="0.2">
      <c r="A528" t="s">
        <v>496</v>
      </c>
      <c r="B528" t="s">
        <v>3731</v>
      </c>
      <c r="C528" t="s">
        <v>3731</v>
      </c>
      <c r="D528">
        <f>VLOOKUP($C528, Egli_UPEC_metadata_provided!$A$2:$M$826, 3, FALSE)</f>
        <v>2019</v>
      </c>
      <c r="E528" t="str">
        <f>VLOOKUP($C528, Egli_UPEC_metadata_provided!$A$2:$M$826, 4, FALSE)</f>
        <v>B2-2</v>
      </c>
      <c r="F528" t="str">
        <f>VLOOKUP($C528, Egli_UPEC_metadata_provided!$A$2:$M$826, 5, FALSE)</f>
        <v>w</v>
      </c>
      <c r="G528">
        <f>VLOOKUP($C528, Egli_UPEC_metadata_provided!$A$2:$M$826, 6, FALSE)</f>
        <v>0</v>
      </c>
      <c r="H528">
        <f>VLOOKUP($C528, Egli_UPEC_metadata_provided!$A$2:$M$826, 7, FALSE)</f>
        <v>4</v>
      </c>
      <c r="I528">
        <f>VLOOKUP($C528, Egli_UPEC_metadata_provided!$A$2:$M$826, 8, FALSE)</f>
        <v>65.719753930280206</v>
      </c>
      <c r="J528" t="b">
        <f>VLOOKUP($C528, Egli_UPEC_metadata_provided!$A$2:$M$826, 9, FALSE)</f>
        <v>0</v>
      </c>
      <c r="K528">
        <f>VLOOKUP($C528, Egli_UPEC_metadata_provided!$A$2:$M$826, 10, FALSE)</f>
        <v>0</v>
      </c>
      <c r="L528" t="str">
        <f>VLOOKUP($C528, Egli_UPEC_metadata_provided!$A$2:$M$826, 11, FALSE)</f>
        <v>non-invasive</v>
      </c>
      <c r="M528">
        <f>VLOOKUP($C528, Egli_UPEC_metadata_provided!$A$2:$M$826, 12, FALSE)</f>
        <v>0</v>
      </c>
      <c r="N528">
        <f>VLOOKUP($C528, Egli_UPEC_metadata_provided!$A$2:$M$826, 13, FALSE)</f>
        <v>0</v>
      </c>
      <c r="O528">
        <f>VLOOKUP($C528, Egli_UPEC_metadata_provided!$A$2:$N$826, 14, FALSE)</f>
        <v>0</v>
      </c>
    </row>
    <row r="529" spans="1:15" x14ac:dyDescent="0.2">
      <c r="A529" t="s">
        <v>497</v>
      </c>
      <c r="B529" t="s">
        <v>3732</v>
      </c>
      <c r="C529" t="s">
        <v>3732</v>
      </c>
      <c r="D529">
        <f>VLOOKUP($C529, Egli_UPEC_metadata_provided!$A$2:$M$826, 3, FALSE)</f>
        <v>2019</v>
      </c>
      <c r="E529" t="str">
        <f>VLOOKUP($C529, Egli_UPEC_metadata_provided!$A$2:$M$826, 4, FALSE)</f>
        <v>B1</v>
      </c>
      <c r="F529" t="str">
        <f>VLOOKUP($C529, Egli_UPEC_metadata_provided!$A$2:$M$826, 5, FALSE)</f>
        <v>w</v>
      </c>
      <c r="G529">
        <f>VLOOKUP($C529, Egli_UPEC_metadata_provided!$A$2:$M$826, 6, FALSE)</f>
        <v>0</v>
      </c>
      <c r="H529">
        <f>VLOOKUP($C529, Egli_UPEC_metadata_provided!$A$2:$M$826, 7, FALSE)</f>
        <v>2</v>
      </c>
      <c r="I529">
        <f>VLOOKUP($C529, Egli_UPEC_metadata_provided!$A$2:$M$826, 8, FALSE)</f>
        <v>73.000683526999296</v>
      </c>
      <c r="J529" t="b">
        <f>VLOOKUP($C529, Egli_UPEC_metadata_provided!$A$2:$M$826, 9, FALSE)</f>
        <v>0</v>
      </c>
      <c r="K529">
        <f>VLOOKUP($C529, Egli_UPEC_metadata_provided!$A$2:$M$826, 10, FALSE)</f>
        <v>0</v>
      </c>
      <c r="L529" t="str">
        <f>VLOOKUP($C529, Egli_UPEC_metadata_provided!$A$2:$M$826, 11, FALSE)</f>
        <v>non-invasive</v>
      </c>
      <c r="M529">
        <f>VLOOKUP($C529, Egli_UPEC_metadata_provided!$A$2:$M$826, 12, FALSE)</f>
        <v>0</v>
      </c>
      <c r="N529">
        <f>VLOOKUP($C529, Egli_UPEC_metadata_provided!$A$2:$M$826, 13, FALSE)</f>
        <v>0</v>
      </c>
      <c r="O529">
        <f>VLOOKUP($C529, Egli_UPEC_metadata_provided!$A$2:$N$826, 14, FALSE)</f>
        <v>1</v>
      </c>
    </row>
    <row r="530" spans="1:15" x14ac:dyDescent="0.2">
      <c r="A530" t="s">
        <v>498</v>
      </c>
      <c r="B530" t="s">
        <v>3733</v>
      </c>
      <c r="C530" t="s">
        <v>3733</v>
      </c>
      <c r="D530">
        <f>VLOOKUP($C530, Egli_UPEC_metadata_provided!$A$2:$M$826, 3, FALSE)</f>
        <v>2019</v>
      </c>
      <c r="E530" t="str">
        <f>VLOOKUP($C530, Egli_UPEC_metadata_provided!$A$2:$M$826, 4, FALSE)</f>
        <v>B2-2</v>
      </c>
      <c r="F530" t="str">
        <f>VLOOKUP($C530, Egli_UPEC_metadata_provided!$A$2:$M$826, 5, FALSE)</f>
        <v>m</v>
      </c>
      <c r="G530" t="str">
        <f>VLOOKUP($C530, Egli_UPEC_metadata_provided!$A$2:$M$826, 6, FALSE)</f>
        <v>NA</v>
      </c>
      <c r="H530" t="str">
        <f>VLOOKUP($C530, Egli_UPEC_metadata_provided!$A$2:$M$826, 7, FALSE)</f>
        <v>NA</v>
      </c>
      <c r="I530">
        <f>VLOOKUP($C530, Egli_UPEC_metadata_provided!$A$2:$M$826, 8, FALSE)</f>
        <v>78.477101845522895</v>
      </c>
      <c r="J530" t="b">
        <f>VLOOKUP($C530, Egli_UPEC_metadata_provided!$A$2:$M$826, 9, FALSE)</f>
        <v>0</v>
      </c>
      <c r="K530">
        <f>VLOOKUP($C530, Egli_UPEC_metadata_provided!$A$2:$M$826, 10, FALSE)</f>
        <v>0</v>
      </c>
      <c r="L530" t="str">
        <f>VLOOKUP($C530, Egli_UPEC_metadata_provided!$A$2:$M$826, 11, FALSE)</f>
        <v>non-invasive</v>
      </c>
      <c r="M530" t="str">
        <f>VLOOKUP($C530, Egli_UPEC_metadata_provided!$A$2:$M$826, 12, FALSE)</f>
        <v>NA</v>
      </c>
      <c r="N530" t="str">
        <f>VLOOKUP($C530, Egli_UPEC_metadata_provided!$A$2:$M$826, 13, FALSE)</f>
        <v>NA</v>
      </c>
      <c r="O530" t="str">
        <f>VLOOKUP($C530, Egli_UPEC_metadata_provided!$A$2:$N$826, 14, FALSE)</f>
        <v>NA</v>
      </c>
    </row>
    <row r="531" spans="1:15" x14ac:dyDescent="0.2">
      <c r="A531" t="s">
        <v>499</v>
      </c>
      <c r="B531" t="s">
        <v>3734</v>
      </c>
      <c r="C531" t="s">
        <v>3734</v>
      </c>
      <c r="D531">
        <f>VLOOKUP($C531, Egli_UPEC_metadata_provided!$A$2:$M$826, 3, FALSE)</f>
        <v>2019</v>
      </c>
      <c r="E531" t="str">
        <f>VLOOKUP($C531, Egli_UPEC_metadata_provided!$A$2:$M$826, 4, FALSE)</f>
        <v>B2-2</v>
      </c>
      <c r="F531" t="str">
        <f>VLOOKUP($C531, Egli_UPEC_metadata_provided!$A$2:$M$826, 5, FALSE)</f>
        <v>w</v>
      </c>
      <c r="G531">
        <f>VLOOKUP($C531, Egli_UPEC_metadata_provided!$A$2:$M$826, 6, FALSE)</f>
        <v>0</v>
      </c>
      <c r="H531">
        <f>VLOOKUP($C531, Egli_UPEC_metadata_provided!$A$2:$M$826, 7, FALSE)</f>
        <v>7</v>
      </c>
      <c r="I531">
        <f>VLOOKUP($C531, Egli_UPEC_metadata_provided!$A$2:$M$826, 8, FALSE)</f>
        <v>70.2693096377307</v>
      </c>
      <c r="J531" t="b">
        <f>VLOOKUP($C531, Egli_UPEC_metadata_provided!$A$2:$M$826, 9, FALSE)</f>
        <v>0</v>
      </c>
      <c r="K531">
        <f>VLOOKUP($C531, Egli_UPEC_metadata_provided!$A$2:$M$826, 10, FALSE)</f>
        <v>0</v>
      </c>
      <c r="L531" t="str">
        <f>VLOOKUP($C531, Egli_UPEC_metadata_provided!$A$2:$M$826, 11, FALSE)</f>
        <v>non-invasive</v>
      </c>
      <c r="M531">
        <f>VLOOKUP($C531, Egli_UPEC_metadata_provided!$A$2:$M$826, 12, FALSE)</f>
        <v>0</v>
      </c>
      <c r="N531">
        <f>VLOOKUP($C531, Egli_UPEC_metadata_provided!$A$2:$M$826, 13, FALSE)</f>
        <v>0</v>
      </c>
      <c r="O531">
        <f>VLOOKUP($C531, Egli_UPEC_metadata_provided!$A$2:$N$826, 14, FALSE)</f>
        <v>0</v>
      </c>
    </row>
    <row r="532" spans="1:15" x14ac:dyDescent="0.2">
      <c r="A532" t="s">
        <v>500</v>
      </c>
      <c r="B532" t="s">
        <v>3735</v>
      </c>
      <c r="C532" t="s">
        <v>3735</v>
      </c>
      <c r="D532">
        <f>VLOOKUP($C532, Egli_UPEC_metadata_provided!$A$2:$M$826, 3, FALSE)</f>
        <v>2019</v>
      </c>
      <c r="E532" t="str">
        <f>VLOOKUP($C532, Egli_UPEC_metadata_provided!$A$2:$M$826, 4, FALSE)</f>
        <v>B1</v>
      </c>
      <c r="F532" t="str">
        <f>VLOOKUP($C532, Egli_UPEC_metadata_provided!$A$2:$M$826, 5, FALSE)</f>
        <v>w</v>
      </c>
      <c r="G532">
        <f>VLOOKUP($C532, Egli_UPEC_metadata_provided!$A$2:$M$826, 6, FALSE)</f>
        <v>0</v>
      </c>
      <c r="H532">
        <f>VLOOKUP($C532, Egli_UPEC_metadata_provided!$A$2:$M$826, 7, FALSE)</f>
        <v>2</v>
      </c>
      <c r="I532">
        <f>VLOOKUP($C532, Egli_UPEC_metadata_provided!$A$2:$M$826, 8, FALSE)</f>
        <v>65.525632262474403</v>
      </c>
      <c r="J532" t="b">
        <f>VLOOKUP($C532, Egli_UPEC_metadata_provided!$A$2:$M$826, 9, FALSE)</f>
        <v>0</v>
      </c>
      <c r="K532">
        <f>VLOOKUP($C532, Egli_UPEC_metadata_provided!$A$2:$M$826, 10, FALSE)</f>
        <v>0</v>
      </c>
      <c r="L532" t="str">
        <f>VLOOKUP($C532, Egli_UPEC_metadata_provided!$A$2:$M$826, 11, FALSE)</f>
        <v>non-invasive</v>
      </c>
      <c r="M532">
        <f>VLOOKUP($C532, Egli_UPEC_metadata_provided!$A$2:$M$826, 12, FALSE)</f>
        <v>0</v>
      </c>
      <c r="N532">
        <f>VLOOKUP($C532, Egli_UPEC_metadata_provided!$A$2:$M$826, 13, FALSE)</f>
        <v>0</v>
      </c>
      <c r="O532">
        <f>VLOOKUP($C532, Egli_UPEC_metadata_provided!$A$2:$N$826, 14, FALSE)</f>
        <v>1</v>
      </c>
    </row>
    <row r="533" spans="1:15" x14ac:dyDescent="0.2">
      <c r="A533" t="s">
        <v>501</v>
      </c>
      <c r="B533" t="s">
        <v>3736</v>
      </c>
      <c r="C533" t="s">
        <v>3736</v>
      </c>
      <c r="D533">
        <f>VLOOKUP($C533, Egli_UPEC_metadata_provided!$A$2:$M$826, 3, FALSE)</f>
        <v>2019</v>
      </c>
      <c r="E533" t="str">
        <f>VLOOKUP($C533, Egli_UPEC_metadata_provided!$A$2:$M$826, 4, FALSE)</f>
        <v>B2-1</v>
      </c>
      <c r="F533" t="str">
        <f>VLOOKUP($C533, Egli_UPEC_metadata_provided!$A$2:$M$826, 5, FALSE)</f>
        <v>w</v>
      </c>
      <c r="G533">
        <f>VLOOKUP($C533, Egli_UPEC_metadata_provided!$A$2:$M$826, 6, FALSE)</f>
        <v>0</v>
      </c>
      <c r="H533">
        <f>VLOOKUP($C533, Egli_UPEC_metadata_provided!$A$2:$M$826, 7, FALSE)</f>
        <v>2</v>
      </c>
      <c r="I533">
        <f>VLOOKUP($C533, Egli_UPEC_metadata_provided!$A$2:$M$826, 8, FALSE)</f>
        <v>83.781271360218696</v>
      </c>
      <c r="J533" t="b">
        <f>VLOOKUP($C533, Egli_UPEC_metadata_provided!$A$2:$M$826, 9, FALSE)</f>
        <v>0</v>
      </c>
      <c r="K533">
        <f>VLOOKUP($C533, Egli_UPEC_metadata_provided!$A$2:$M$826, 10, FALSE)</f>
        <v>0</v>
      </c>
      <c r="L533" t="str">
        <f>VLOOKUP($C533, Egli_UPEC_metadata_provided!$A$2:$M$826, 11, FALSE)</f>
        <v>non-invasive</v>
      </c>
      <c r="M533">
        <f>VLOOKUP($C533, Egli_UPEC_metadata_provided!$A$2:$M$826, 12, FALSE)</f>
        <v>0</v>
      </c>
      <c r="N533">
        <f>VLOOKUP($C533, Egli_UPEC_metadata_provided!$A$2:$M$826, 13, FALSE)</f>
        <v>0</v>
      </c>
      <c r="O533">
        <f>VLOOKUP($C533, Egli_UPEC_metadata_provided!$A$2:$N$826, 14, FALSE)</f>
        <v>1</v>
      </c>
    </row>
    <row r="534" spans="1:15" x14ac:dyDescent="0.2">
      <c r="A534" t="s">
        <v>502</v>
      </c>
      <c r="B534" t="s">
        <v>3737</v>
      </c>
      <c r="C534" t="s">
        <v>3737</v>
      </c>
      <c r="D534">
        <f>VLOOKUP($C534, Egli_UPEC_metadata_provided!$A$2:$M$826, 3, FALSE)</f>
        <v>2019</v>
      </c>
      <c r="E534" t="str">
        <f>VLOOKUP($C534, Egli_UPEC_metadata_provided!$A$2:$M$826, 4, FALSE)</f>
        <v>B2-2</v>
      </c>
      <c r="F534" t="str">
        <f>VLOOKUP($C534, Egli_UPEC_metadata_provided!$A$2:$M$826, 5, FALSE)</f>
        <v>w</v>
      </c>
      <c r="G534">
        <f>VLOOKUP($C534, Egli_UPEC_metadata_provided!$A$2:$M$826, 6, FALSE)</f>
        <v>0</v>
      </c>
      <c r="H534">
        <f>VLOOKUP($C534, Egli_UPEC_metadata_provided!$A$2:$M$826, 7, FALSE)</f>
        <v>5</v>
      </c>
      <c r="I534">
        <f>VLOOKUP($C534, Egli_UPEC_metadata_provided!$A$2:$M$826, 8, FALSE)</f>
        <v>62.728639781271397</v>
      </c>
      <c r="J534" t="b">
        <f>VLOOKUP($C534, Egli_UPEC_metadata_provided!$A$2:$M$826, 9, FALSE)</f>
        <v>0</v>
      </c>
      <c r="K534">
        <f>VLOOKUP($C534, Egli_UPEC_metadata_provided!$A$2:$M$826, 10, FALSE)</f>
        <v>0</v>
      </c>
      <c r="L534" t="str">
        <f>VLOOKUP($C534, Egli_UPEC_metadata_provided!$A$2:$M$826, 11, FALSE)</f>
        <v>non-invasive</v>
      </c>
      <c r="M534">
        <f>VLOOKUP($C534, Egli_UPEC_metadata_provided!$A$2:$M$826, 12, FALSE)</f>
        <v>0</v>
      </c>
      <c r="N534">
        <f>VLOOKUP($C534, Egli_UPEC_metadata_provided!$A$2:$M$826, 13, FALSE)</f>
        <v>0</v>
      </c>
      <c r="O534">
        <f>VLOOKUP($C534, Egli_UPEC_metadata_provided!$A$2:$N$826, 14, FALSE)</f>
        <v>1</v>
      </c>
    </row>
    <row r="535" spans="1:15" x14ac:dyDescent="0.2">
      <c r="A535" t="s">
        <v>503</v>
      </c>
      <c r="B535" t="s">
        <v>3738</v>
      </c>
      <c r="C535" t="s">
        <v>3738</v>
      </c>
      <c r="D535">
        <f>VLOOKUP($C535, Egli_UPEC_metadata_provided!$A$2:$M$826, 3, FALSE)</f>
        <v>2019</v>
      </c>
      <c r="E535" t="str">
        <f>VLOOKUP($C535, Egli_UPEC_metadata_provided!$A$2:$M$826, 4, FALSE)</f>
        <v>B2-2</v>
      </c>
      <c r="F535" t="str">
        <f>VLOOKUP($C535, Egli_UPEC_metadata_provided!$A$2:$M$826, 5, FALSE)</f>
        <v>w</v>
      </c>
      <c r="G535">
        <f>VLOOKUP($C535, Egli_UPEC_metadata_provided!$A$2:$M$826, 6, FALSE)</f>
        <v>0</v>
      </c>
      <c r="H535">
        <f>VLOOKUP($C535, Egli_UPEC_metadata_provided!$A$2:$M$826, 7, FALSE)</f>
        <v>1</v>
      </c>
      <c r="I535">
        <f>VLOOKUP($C535, Egli_UPEC_metadata_provided!$A$2:$M$826, 8, FALSE)</f>
        <v>70.534518113465495</v>
      </c>
      <c r="J535" t="b">
        <f>VLOOKUP($C535, Egli_UPEC_metadata_provided!$A$2:$M$826, 9, FALSE)</f>
        <v>0</v>
      </c>
      <c r="K535">
        <f>VLOOKUP($C535, Egli_UPEC_metadata_provided!$A$2:$M$826, 10, FALSE)</f>
        <v>0</v>
      </c>
      <c r="L535" t="str">
        <f>VLOOKUP($C535, Egli_UPEC_metadata_provided!$A$2:$M$826, 11, FALSE)</f>
        <v>non-invasive</v>
      </c>
      <c r="M535">
        <f>VLOOKUP($C535, Egli_UPEC_metadata_provided!$A$2:$M$826, 12, FALSE)</f>
        <v>0</v>
      </c>
      <c r="N535">
        <f>VLOOKUP($C535, Egli_UPEC_metadata_provided!$A$2:$M$826, 13, FALSE)</f>
        <v>0</v>
      </c>
      <c r="O535">
        <f>VLOOKUP($C535, Egli_UPEC_metadata_provided!$A$2:$N$826, 14, FALSE)</f>
        <v>1</v>
      </c>
    </row>
    <row r="536" spans="1:15" x14ac:dyDescent="0.2">
      <c r="A536" t="s">
        <v>504</v>
      </c>
      <c r="B536" t="s">
        <v>3739</v>
      </c>
      <c r="C536" t="s">
        <v>3739</v>
      </c>
      <c r="D536">
        <f>VLOOKUP($C536, Egli_UPEC_metadata_provided!$A$2:$M$826, 3, FALSE)</f>
        <v>2019</v>
      </c>
      <c r="E536" t="str">
        <f>VLOOKUP($C536, Egli_UPEC_metadata_provided!$A$2:$M$826, 4, FALSE)</f>
        <v>D1</v>
      </c>
      <c r="F536" t="str">
        <f>VLOOKUP($C536, Egli_UPEC_metadata_provided!$A$2:$M$826, 5, FALSE)</f>
        <v>m</v>
      </c>
      <c r="G536">
        <f>VLOOKUP($C536, Egli_UPEC_metadata_provided!$A$2:$M$826, 6, FALSE)</f>
        <v>1</v>
      </c>
      <c r="H536">
        <f>VLOOKUP($C536, Egli_UPEC_metadata_provided!$A$2:$M$826, 7, FALSE)</f>
        <v>10</v>
      </c>
      <c r="I536">
        <f>VLOOKUP($C536, Egli_UPEC_metadata_provided!$A$2:$M$826, 8, FALSE)</f>
        <v>66.332194121667797</v>
      </c>
      <c r="J536" t="b">
        <f>VLOOKUP($C536, Egli_UPEC_metadata_provided!$A$2:$M$826, 9, FALSE)</f>
        <v>0</v>
      </c>
      <c r="K536">
        <f>VLOOKUP($C536, Egli_UPEC_metadata_provided!$A$2:$M$826, 10, FALSE)</f>
        <v>0</v>
      </c>
      <c r="L536" t="str">
        <f>VLOOKUP($C536, Egli_UPEC_metadata_provided!$A$2:$M$826, 11, FALSE)</f>
        <v>non-invasive</v>
      </c>
      <c r="M536">
        <f>VLOOKUP($C536, Egli_UPEC_metadata_provided!$A$2:$M$826, 12, FALSE)</f>
        <v>0</v>
      </c>
      <c r="N536">
        <f>VLOOKUP($C536, Egli_UPEC_metadata_provided!$A$2:$M$826, 13, FALSE)</f>
        <v>0</v>
      </c>
      <c r="O536">
        <f>VLOOKUP($C536, Egli_UPEC_metadata_provided!$A$2:$N$826, 14, FALSE)</f>
        <v>0</v>
      </c>
    </row>
    <row r="537" spans="1:15" x14ac:dyDescent="0.2">
      <c r="A537" t="s">
        <v>505</v>
      </c>
      <c r="B537" t="s">
        <v>3740</v>
      </c>
      <c r="C537" t="s">
        <v>3740</v>
      </c>
      <c r="D537">
        <f>VLOOKUP($C537, Egli_UPEC_metadata_provided!$A$2:$M$826, 3, FALSE)</f>
        <v>2019</v>
      </c>
      <c r="E537" t="str">
        <f>VLOOKUP($C537, Egli_UPEC_metadata_provided!$A$2:$M$826, 4, FALSE)</f>
        <v>D1</v>
      </c>
      <c r="F537" t="str">
        <f>VLOOKUP($C537, Egli_UPEC_metadata_provided!$A$2:$M$826, 5, FALSE)</f>
        <v>w</v>
      </c>
      <c r="G537">
        <f>VLOOKUP($C537, Egli_UPEC_metadata_provided!$A$2:$M$826, 6, FALSE)</f>
        <v>0</v>
      </c>
      <c r="H537">
        <f>VLOOKUP($C537, Egli_UPEC_metadata_provided!$A$2:$M$826, 7, FALSE)</f>
        <v>0</v>
      </c>
      <c r="I537">
        <f>VLOOKUP($C537, Egli_UPEC_metadata_provided!$A$2:$M$826, 8, FALSE)</f>
        <v>31.182501708817501</v>
      </c>
      <c r="J537" t="b">
        <f>VLOOKUP($C537, Egli_UPEC_metadata_provided!$A$2:$M$826, 9, FALSE)</f>
        <v>0</v>
      </c>
      <c r="K537">
        <f>VLOOKUP($C537, Egli_UPEC_metadata_provided!$A$2:$M$826, 10, FALSE)</f>
        <v>0</v>
      </c>
      <c r="L537" t="str">
        <f>VLOOKUP($C537, Egli_UPEC_metadata_provided!$A$2:$M$826, 11, FALSE)</f>
        <v>non-invasive</v>
      </c>
      <c r="M537">
        <f>VLOOKUP($C537, Egli_UPEC_metadata_provided!$A$2:$M$826, 12, FALSE)</f>
        <v>0</v>
      </c>
      <c r="N537">
        <f>VLOOKUP($C537, Egli_UPEC_metadata_provided!$A$2:$M$826, 13, FALSE)</f>
        <v>0</v>
      </c>
      <c r="O537">
        <f>VLOOKUP($C537, Egli_UPEC_metadata_provided!$A$2:$N$826, 14, FALSE)</f>
        <v>0</v>
      </c>
    </row>
    <row r="538" spans="1:15" x14ac:dyDescent="0.2">
      <c r="A538" t="s">
        <v>506</v>
      </c>
      <c r="B538" t="s">
        <v>3741</v>
      </c>
      <c r="C538" t="s">
        <v>3741</v>
      </c>
      <c r="D538">
        <f>VLOOKUP($C538, Egli_UPEC_metadata_provided!$A$2:$M$826, 3, FALSE)</f>
        <v>2019</v>
      </c>
      <c r="E538" t="str">
        <f>VLOOKUP($C538, Egli_UPEC_metadata_provided!$A$2:$M$826, 4, FALSE)</f>
        <v>A</v>
      </c>
      <c r="F538" t="str">
        <f>VLOOKUP($C538, Egli_UPEC_metadata_provided!$A$2:$M$826, 5, FALSE)</f>
        <v>w</v>
      </c>
      <c r="G538">
        <f>VLOOKUP($C538, Egli_UPEC_metadata_provided!$A$2:$M$826, 6, FALSE)</f>
        <v>0</v>
      </c>
      <c r="H538">
        <f>VLOOKUP($C538, Egli_UPEC_metadata_provided!$A$2:$M$826, 7, FALSE)</f>
        <v>2</v>
      </c>
      <c r="I538">
        <f>VLOOKUP($C538, Egli_UPEC_metadata_provided!$A$2:$M$826, 8, FALSE)</f>
        <v>88.161312371838704</v>
      </c>
      <c r="J538" t="b">
        <f>VLOOKUP($C538, Egli_UPEC_metadata_provided!$A$2:$M$826, 9, FALSE)</f>
        <v>0</v>
      </c>
      <c r="K538">
        <f>VLOOKUP($C538, Egli_UPEC_metadata_provided!$A$2:$M$826, 10, FALSE)</f>
        <v>0</v>
      </c>
      <c r="L538" t="str">
        <f>VLOOKUP($C538, Egli_UPEC_metadata_provided!$A$2:$M$826, 11, FALSE)</f>
        <v>non-invasive</v>
      </c>
      <c r="M538">
        <f>VLOOKUP($C538, Egli_UPEC_metadata_provided!$A$2:$M$826, 12, FALSE)</f>
        <v>1</v>
      </c>
      <c r="N538">
        <f>VLOOKUP($C538, Egli_UPEC_metadata_provided!$A$2:$M$826, 13, FALSE)</f>
        <v>0</v>
      </c>
      <c r="O538">
        <f>VLOOKUP($C538, Egli_UPEC_metadata_provided!$A$2:$N$826, 14, FALSE)</f>
        <v>0</v>
      </c>
    </row>
    <row r="539" spans="1:15" x14ac:dyDescent="0.2">
      <c r="A539" t="s">
        <v>507</v>
      </c>
      <c r="B539" t="s">
        <v>3742</v>
      </c>
      <c r="C539" t="s">
        <v>3742</v>
      </c>
      <c r="D539">
        <f>VLOOKUP($C539, Egli_UPEC_metadata_provided!$A$2:$M$826, 3, FALSE)</f>
        <v>2019</v>
      </c>
      <c r="E539" t="str">
        <f>VLOOKUP($C539, Egli_UPEC_metadata_provided!$A$2:$M$826, 4, FALSE)</f>
        <v>B2-2</v>
      </c>
      <c r="F539" t="str">
        <f>VLOOKUP($C539, Egli_UPEC_metadata_provided!$A$2:$M$826, 5, FALSE)</f>
        <v>w</v>
      </c>
      <c r="G539">
        <f>VLOOKUP($C539, Egli_UPEC_metadata_provided!$A$2:$M$826, 6, FALSE)</f>
        <v>0</v>
      </c>
      <c r="H539">
        <f>VLOOKUP($C539, Egli_UPEC_metadata_provided!$A$2:$M$826, 7, FALSE)</f>
        <v>0</v>
      </c>
      <c r="I539">
        <f>VLOOKUP($C539, Egli_UPEC_metadata_provided!$A$2:$M$826, 8, FALSE)</f>
        <v>20.251537935748502</v>
      </c>
      <c r="J539" t="b">
        <f>VLOOKUP($C539, Egli_UPEC_metadata_provided!$A$2:$M$826, 9, FALSE)</f>
        <v>0</v>
      </c>
      <c r="K539">
        <f>VLOOKUP($C539, Egli_UPEC_metadata_provided!$A$2:$M$826, 10, FALSE)</f>
        <v>0</v>
      </c>
      <c r="L539" t="str">
        <f>VLOOKUP($C539, Egli_UPEC_metadata_provided!$A$2:$M$826, 11, FALSE)</f>
        <v>invasive</v>
      </c>
      <c r="M539">
        <f>VLOOKUP($C539, Egli_UPEC_metadata_provided!$A$2:$M$826, 12, FALSE)</f>
        <v>1</v>
      </c>
      <c r="N539">
        <f>VLOOKUP($C539, Egli_UPEC_metadata_provided!$A$2:$M$826, 13, FALSE)</f>
        <v>0</v>
      </c>
      <c r="O539">
        <f>VLOOKUP($C539, Egli_UPEC_metadata_provided!$A$2:$N$826, 14, FALSE)</f>
        <v>0</v>
      </c>
    </row>
    <row r="540" spans="1:15" x14ac:dyDescent="0.2">
      <c r="A540" t="s">
        <v>508</v>
      </c>
      <c r="B540" t="s">
        <v>3743</v>
      </c>
      <c r="C540" t="s">
        <v>3743</v>
      </c>
      <c r="D540">
        <f>VLOOKUP($C540, Egli_UPEC_metadata_provided!$A$2:$M$826, 3, FALSE)</f>
        <v>2019</v>
      </c>
      <c r="E540" t="str">
        <f>VLOOKUP($C540, Egli_UPEC_metadata_provided!$A$2:$M$826, 4, FALSE)</f>
        <v>B2-2</v>
      </c>
      <c r="F540" t="str">
        <f>VLOOKUP($C540, Egli_UPEC_metadata_provided!$A$2:$M$826, 5, FALSE)</f>
        <v>m</v>
      </c>
      <c r="G540">
        <f>VLOOKUP($C540, Egli_UPEC_metadata_provided!$A$2:$M$826, 6, FALSE)</f>
        <v>0</v>
      </c>
      <c r="H540">
        <f>VLOOKUP($C540, Egli_UPEC_metadata_provided!$A$2:$M$826, 7, FALSE)</f>
        <v>0</v>
      </c>
      <c r="I540">
        <f>VLOOKUP($C540, Egli_UPEC_metadata_provided!$A$2:$M$826, 8, FALSE)</f>
        <v>74.802460697197503</v>
      </c>
      <c r="J540" t="b">
        <f>VLOOKUP($C540, Egli_UPEC_metadata_provided!$A$2:$M$826, 9, FALSE)</f>
        <v>0</v>
      </c>
      <c r="K540">
        <f>VLOOKUP($C540, Egli_UPEC_metadata_provided!$A$2:$M$826, 10, FALSE)</f>
        <v>0</v>
      </c>
      <c r="L540" t="str">
        <f>VLOOKUP($C540, Egli_UPEC_metadata_provided!$A$2:$M$826, 11, FALSE)</f>
        <v>non-invasive</v>
      </c>
      <c r="M540">
        <f>VLOOKUP($C540, Egli_UPEC_metadata_provided!$A$2:$M$826, 12, FALSE)</f>
        <v>1</v>
      </c>
      <c r="N540">
        <f>VLOOKUP($C540, Egli_UPEC_metadata_provided!$A$2:$M$826, 13, FALSE)</f>
        <v>0</v>
      </c>
      <c r="O540">
        <f>VLOOKUP($C540, Egli_UPEC_metadata_provided!$A$2:$N$826, 14, FALSE)</f>
        <v>0</v>
      </c>
    </row>
    <row r="541" spans="1:15" x14ac:dyDescent="0.2">
      <c r="A541" t="s">
        <v>509</v>
      </c>
      <c r="B541" t="s">
        <v>3744</v>
      </c>
      <c r="C541" t="s">
        <v>3744</v>
      </c>
      <c r="D541">
        <f>VLOOKUP($C541, Egli_UPEC_metadata_provided!$A$2:$M$826, 3, FALSE)</f>
        <v>2019</v>
      </c>
      <c r="E541" t="str">
        <f>VLOOKUP($C541, Egli_UPEC_metadata_provided!$A$2:$M$826, 4, FALSE)</f>
        <v>D1</v>
      </c>
      <c r="F541" t="str">
        <f>VLOOKUP($C541, Egli_UPEC_metadata_provided!$A$2:$M$826, 5, FALSE)</f>
        <v>w</v>
      </c>
      <c r="G541">
        <f>VLOOKUP($C541, Egli_UPEC_metadata_provided!$A$2:$M$826, 6, FALSE)</f>
        <v>0</v>
      </c>
      <c r="H541">
        <f>VLOOKUP($C541, Egli_UPEC_metadata_provided!$A$2:$M$826, 7, FALSE)</f>
        <v>1</v>
      </c>
      <c r="I541">
        <f>VLOOKUP($C541, Egli_UPEC_metadata_provided!$A$2:$M$826, 8, FALSE)</f>
        <v>76.959671907040303</v>
      </c>
      <c r="J541" t="b">
        <f>VLOOKUP($C541, Egli_UPEC_metadata_provided!$A$2:$M$826, 9, FALSE)</f>
        <v>0</v>
      </c>
      <c r="K541">
        <f>VLOOKUP($C541, Egli_UPEC_metadata_provided!$A$2:$M$826, 10, FALSE)</f>
        <v>0</v>
      </c>
      <c r="L541" t="str">
        <f>VLOOKUP($C541, Egli_UPEC_metadata_provided!$A$2:$M$826, 11, FALSE)</f>
        <v>invasive</v>
      </c>
      <c r="M541">
        <f>VLOOKUP($C541, Egli_UPEC_metadata_provided!$A$2:$M$826, 12, FALSE)</f>
        <v>0</v>
      </c>
      <c r="N541">
        <f>VLOOKUP($C541, Egli_UPEC_metadata_provided!$A$2:$M$826, 13, FALSE)</f>
        <v>0</v>
      </c>
      <c r="O541">
        <f>VLOOKUP($C541, Egli_UPEC_metadata_provided!$A$2:$N$826, 14, FALSE)</f>
        <v>1</v>
      </c>
    </row>
    <row r="542" spans="1:15" x14ac:dyDescent="0.2">
      <c r="A542" t="s">
        <v>510</v>
      </c>
      <c r="B542" t="s">
        <v>3745</v>
      </c>
      <c r="C542" t="s">
        <v>3745</v>
      </c>
      <c r="D542">
        <f>VLOOKUP($C542, Egli_UPEC_metadata_provided!$A$2:$M$826, 3, FALSE)</f>
        <v>2019</v>
      </c>
      <c r="E542" t="str">
        <f>VLOOKUP($C542, Egli_UPEC_metadata_provided!$A$2:$M$826, 4, FALSE)</f>
        <v>B2-2</v>
      </c>
      <c r="F542" t="str">
        <f>VLOOKUP($C542, Egli_UPEC_metadata_provided!$A$2:$M$826, 5, FALSE)</f>
        <v>m</v>
      </c>
      <c r="G542">
        <f>VLOOKUP($C542, Egli_UPEC_metadata_provided!$A$2:$M$826, 6, FALSE)</f>
        <v>0</v>
      </c>
      <c r="H542">
        <f>VLOOKUP($C542, Egli_UPEC_metadata_provided!$A$2:$M$826, 7, FALSE)</f>
        <v>2</v>
      </c>
      <c r="I542">
        <f>VLOOKUP($C542, Egli_UPEC_metadata_provided!$A$2:$M$826, 8, FALSE)</f>
        <v>93.306903622693099</v>
      </c>
      <c r="J542" t="b">
        <f>VLOOKUP($C542, Egli_UPEC_metadata_provided!$A$2:$M$826, 9, FALSE)</f>
        <v>1</v>
      </c>
      <c r="K542">
        <f>VLOOKUP($C542, Egli_UPEC_metadata_provided!$A$2:$M$826, 10, FALSE)</f>
        <v>0</v>
      </c>
      <c r="L542" t="str">
        <f>VLOOKUP($C542, Egli_UPEC_metadata_provided!$A$2:$M$826, 11, FALSE)</f>
        <v>non-invasive</v>
      </c>
      <c r="M542">
        <f>VLOOKUP($C542, Egli_UPEC_metadata_provided!$A$2:$M$826, 12, FALSE)</f>
        <v>0</v>
      </c>
      <c r="N542">
        <f>VLOOKUP($C542, Egli_UPEC_metadata_provided!$A$2:$M$826, 13, FALSE)</f>
        <v>1</v>
      </c>
      <c r="O542">
        <f>VLOOKUP($C542, Egli_UPEC_metadata_provided!$A$2:$N$826, 14, FALSE)</f>
        <v>0</v>
      </c>
    </row>
    <row r="543" spans="1:15" x14ac:dyDescent="0.2">
      <c r="A543" t="s">
        <v>511</v>
      </c>
      <c r="B543" t="s">
        <v>3746</v>
      </c>
      <c r="C543" t="s">
        <v>3746</v>
      </c>
      <c r="D543">
        <f>VLOOKUP($C543, Egli_UPEC_metadata_provided!$A$2:$M$826, 3, FALSE)</f>
        <v>2019</v>
      </c>
      <c r="E543" t="str">
        <f>VLOOKUP($C543, Egli_UPEC_metadata_provided!$A$2:$M$826, 4, FALSE)</f>
        <v>B2-1</v>
      </c>
      <c r="F543" t="str">
        <f>VLOOKUP($C543, Egli_UPEC_metadata_provided!$A$2:$M$826, 5, FALSE)</f>
        <v>w</v>
      </c>
      <c r="G543">
        <f>VLOOKUP($C543, Egli_UPEC_metadata_provided!$A$2:$M$826, 6, FALSE)</f>
        <v>0</v>
      </c>
      <c r="H543">
        <f>VLOOKUP($C543, Egli_UPEC_metadata_provided!$A$2:$M$826, 7, FALSE)</f>
        <v>1</v>
      </c>
      <c r="I543">
        <f>VLOOKUP($C543, Egli_UPEC_metadata_provided!$A$2:$M$826, 8, FALSE)</f>
        <v>84.749145591250894</v>
      </c>
      <c r="J543" t="b">
        <f>VLOOKUP($C543, Egli_UPEC_metadata_provided!$A$2:$M$826, 9, FALSE)</f>
        <v>0</v>
      </c>
      <c r="K543">
        <f>VLOOKUP($C543, Egli_UPEC_metadata_provided!$A$2:$M$826, 10, FALSE)</f>
        <v>0</v>
      </c>
      <c r="L543" t="str">
        <f>VLOOKUP($C543, Egli_UPEC_metadata_provided!$A$2:$M$826, 11, FALSE)</f>
        <v>non-invasive</v>
      </c>
      <c r="M543">
        <f>VLOOKUP($C543, Egli_UPEC_metadata_provided!$A$2:$M$826, 12, FALSE)</f>
        <v>0</v>
      </c>
      <c r="N543">
        <f>VLOOKUP($C543, Egli_UPEC_metadata_provided!$A$2:$M$826, 13, FALSE)</f>
        <v>0</v>
      </c>
      <c r="O543">
        <f>VLOOKUP($C543, Egli_UPEC_metadata_provided!$A$2:$N$826, 14, FALSE)</f>
        <v>0</v>
      </c>
    </row>
    <row r="544" spans="1:15" x14ac:dyDescent="0.2">
      <c r="A544" t="s">
        <v>512</v>
      </c>
      <c r="B544" t="s">
        <v>3747</v>
      </c>
      <c r="C544" t="s">
        <v>3747</v>
      </c>
      <c r="D544">
        <f>VLOOKUP($C544, Egli_UPEC_metadata_provided!$A$2:$M$826, 3, FALSE)</f>
        <v>2019</v>
      </c>
      <c r="E544" t="str">
        <f>VLOOKUP($C544, Egli_UPEC_metadata_provided!$A$2:$M$826, 4, FALSE)</f>
        <v>B2-2</v>
      </c>
      <c r="F544" t="str">
        <f>VLOOKUP($C544, Egli_UPEC_metadata_provided!$A$2:$M$826, 5, FALSE)</f>
        <v>w</v>
      </c>
      <c r="G544">
        <f>VLOOKUP($C544, Egli_UPEC_metadata_provided!$A$2:$M$826, 6, FALSE)</f>
        <v>0</v>
      </c>
      <c r="H544">
        <f>VLOOKUP($C544, Egli_UPEC_metadata_provided!$A$2:$M$826, 7, FALSE)</f>
        <v>2</v>
      </c>
      <c r="I544">
        <f>VLOOKUP($C544, Egli_UPEC_metadata_provided!$A$2:$M$826, 8, FALSE)</f>
        <v>50.892686261107301</v>
      </c>
      <c r="J544" t="b">
        <f>VLOOKUP($C544, Egli_UPEC_metadata_provided!$A$2:$M$826, 9, FALSE)</f>
        <v>0</v>
      </c>
      <c r="K544">
        <f>VLOOKUP($C544, Egli_UPEC_metadata_provided!$A$2:$M$826, 10, FALSE)</f>
        <v>0</v>
      </c>
      <c r="L544" t="str">
        <f>VLOOKUP($C544, Egli_UPEC_metadata_provided!$A$2:$M$826, 11, FALSE)</f>
        <v>non-invasive</v>
      </c>
      <c r="M544">
        <f>VLOOKUP($C544, Egli_UPEC_metadata_provided!$A$2:$M$826, 12, FALSE)</f>
        <v>1</v>
      </c>
      <c r="N544">
        <f>VLOOKUP($C544, Egli_UPEC_metadata_provided!$A$2:$M$826, 13, FALSE)</f>
        <v>0</v>
      </c>
      <c r="O544">
        <f>VLOOKUP($C544, Egli_UPEC_metadata_provided!$A$2:$N$826, 14, FALSE)</f>
        <v>0</v>
      </c>
    </row>
    <row r="545" spans="1:15" x14ac:dyDescent="0.2">
      <c r="A545" t="s">
        <v>513</v>
      </c>
      <c r="B545" t="s">
        <v>3748</v>
      </c>
      <c r="C545" t="s">
        <v>3748</v>
      </c>
      <c r="D545">
        <f>VLOOKUP($C545, Egli_UPEC_metadata_provided!$A$2:$M$826, 3, FALSE)</f>
        <v>2019</v>
      </c>
      <c r="E545" t="str">
        <f>VLOOKUP($C545, Egli_UPEC_metadata_provided!$A$2:$M$826, 4, FALSE)</f>
        <v>B2-2</v>
      </c>
      <c r="F545" t="str">
        <f>VLOOKUP($C545, Egli_UPEC_metadata_provided!$A$2:$M$826, 5, FALSE)</f>
        <v>w</v>
      </c>
      <c r="G545">
        <f>VLOOKUP($C545, Egli_UPEC_metadata_provided!$A$2:$M$826, 6, FALSE)</f>
        <v>0</v>
      </c>
      <c r="H545">
        <f>VLOOKUP($C545, Egli_UPEC_metadata_provided!$A$2:$M$826, 7, FALSE)</f>
        <v>3</v>
      </c>
      <c r="I545">
        <f>VLOOKUP($C545, Egli_UPEC_metadata_provided!$A$2:$M$826, 8, FALSE)</f>
        <v>84.806561859193394</v>
      </c>
      <c r="J545" t="b">
        <f>VLOOKUP($C545, Egli_UPEC_metadata_provided!$A$2:$M$826, 9, FALSE)</f>
        <v>1</v>
      </c>
      <c r="K545">
        <f>VLOOKUP($C545, Egli_UPEC_metadata_provided!$A$2:$M$826, 10, FALSE)</f>
        <v>0</v>
      </c>
      <c r="L545" t="str">
        <f>VLOOKUP($C545, Egli_UPEC_metadata_provided!$A$2:$M$826, 11, FALSE)</f>
        <v>non-invasive</v>
      </c>
      <c r="M545">
        <f>VLOOKUP($C545, Egli_UPEC_metadata_provided!$A$2:$M$826, 12, FALSE)</f>
        <v>1</v>
      </c>
      <c r="N545">
        <f>VLOOKUP($C545, Egli_UPEC_metadata_provided!$A$2:$M$826, 13, FALSE)</f>
        <v>0</v>
      </c>
      <c r="O545">
        <f>VLOOKUP($C545, Egli_UPEC_metadata_provided!$A$2:$N$826, 14, FALSE)</f>
        <v>0</v>
      </c>
    </row>
    <row r="546" spans="1:15" x14ac:dyDescent="0.2">
      <c r="A546" t="s">
        <v>514</v>
      </c>
      <c r="B546" t="s">
        <v>3749</v>
      </c>
      <c r="C546" t="s">
        <v>3749</v>
      </c>
      <c r="D546">
        <f>VLOOKUP($C546, Egli_UPEC_metadata_provided!$A$2:$M$826, 3, FALSE)</f>
        <v>2019</v>
      </c>
      <c r="E546" t="str">
        <f>VLOOKUP($C546, Egli_UPEC_metadata_provided!$A$2:$M$826, 4, FALSE)</f>
        <v>B2-1</v>
      </c>
      <c r="F546" t="str">
        <f>VLOOKUP($C546, Egli_UPEC_metadata_provided!$A$2:$M$826, 5, FALSE)</f>
        <v>w</v>
      </c>
      <c r="G546">
        <f>VLOOKUP($C546, Egli_UPEC_metadata_provided!$A$2:$M$826, 6, FALSE)</f>
        <v>0</v>
      </c>
      <c r="H546">
        <f>VLOOKUP($C546, Egli_UPEC_metadata_provided!$A$2:$M$826, 7, FALSE)</f>
        <v>3</v>
      </c>
      <c r="I546">
        <f>VLOOKUP($C546, Egli_UPEC_metadata_provided!$A$2:$M$826, 8, FALSE)</f>
        <v>73.203007518796994</v>
      </c>
      <c r="J546" t="b">
        <f>VLOOKUP($C546, Egli_UPEC_metadata_provided!$A$2:$M$826, 9, FALSE)</f>
        <v>0</v>
      </c>
      <c r="K546">
        <f>VLOOKUP($C546, Egli_UPEC_metadata_provided!$A$2:$M$826, 10, FALSE)</f>
        <v>1</v>
      </c>
      <c r="L546" t="str">
        <f>VLOOKUP($C546, Egli_UPEC_metadata_provided!$A$2:$M$826, 11, FALSE)</f>
        <v>non-invasive</v>
      </c>
      <c r="M546">
        <f>VLOOKUP($C546, Egli_UPEC_metadata_provided!$A$2:$M$826, 12, FALSE)</f>
        <v>0</v>
      </c>
      <c r="N546">
        <f>VLOOKUP($C546, Egli_UPEC_metadata_provided!$A$2:$M$826, 13, FALSE)</f>
        <v>0</v>
      </c>
      <c r="O546">
        <f>VLOOKUP($C546, Egli_UPEC_metadata_provided!$A$2:$N$826, 14, FALSE)</f>
        <v>0</v>
      </c>
    </row>
    <row r="547" spans="1:15" x14ac:dyDescent="0.2">
      <c r="A547" t="s">
        <v>515</v>
      </c>
      <c r="B547" t="s">
        <v>3750</v>
      </c>
      <c r="C547" t="s">
        <v>3750</v>
      </c>
      <c r="D547">
        <f>VLOOKUP($C547, Egli_UPEC_metadata_provided!$A$2:$M$826, 3, FALSE)</f>
        <v>2019</v>
      </c>
      <c r="E547" t="str">
        <f>VLOOKUP($C547, Egli_UPEC_metadata_provided!$A$2:$M$826, 4, FALSE)</f>
        <v>B2-2</v>
      </c>
      <c r="F547" t="str">
        <f>VLOOKUP($C547, Egli_UPEC_metadata_provided!$A$2:$M$826, 5, FALSE)</f>
        <v>w</v>
      </c>
      <c r="G547">
        <f>VLOOKUP($C547, Egli_UPEC_metadata_provided!$A$2:$M$826, 6, FALSE)</f>
        <v>0</v>
      </c>
      <c r="H547">
        <f>VLOOKUP($C547, Egli_UPEC_metadata_provided!$A$2:$M$826, 7, FALSE)</f>
        <v>0</v>
      </c>
      <c r="I547">
        <f>VLOOKUP($C547, Egli_UPEC_metadata_provided!$A$2:$M$826, 8, FALSE)</f>
        <v>74.794258373205693</v>
      </c>
      <c r="J547" t="b">
        <f>VLOOKUP($C547, Egli_UPEC_metadata_provided!$A$2:$M$826, 9, FALSE)</f>
        <v>0</v>
      </c>
      <c r="K547">
        <f>VLOOKUP($C547, Egli_UPEC_metadata_provided!$A$2:$M$826, 10, FALSE)</f>
        <v>0</v>
      </c>
      <c r="L547" t="str">
        <f>VLOOKUP($C547, Egli_UPEC_metadata_provided!$A$2:$M$826, 11, FALSE)</f>
        <v>non-invasive</v>
      </c>
      <c r="M547">
        <f>VLOOKUP($C547, Egli_UPEC_metadata_provided!$A$2:$M$826, 12, FALSE)</f>
        <v>0</v>
      </c>
      <c r="N547">
        <f>VLOOKUP($C547, Egli_UPEC_metadata_provided!$A$2:$M$826, 13, FALSE)</f>
        <v>0</v>
      </c>
      <c r="O547">
        <f>VLOOKUP($C547, Egli_UPEC_metadata_provided!$A$2:$N$826, 14, FALSE)</f>
        <v>1</v>
      </c>
    </row>
    <row r="548" spans="1:15" x14ac:dyDescent="0.2">
      <c r="A548" t="s">
        <v>516</v>
      </c>
      <c r="B548" t="s">
        <v>3751</v>
      </c>
      <c r="C548" t="s">
        <v>3751</v>
      </c>
      <c r="D548">
        <f>VLOOKUP($C548, Egli_UPEC_metadata_provided!$A$2:$M$826, 3, FALSE)</f>
        <v>2019</v>
      </c>
      <c r="E548" t="str">
        <f>VLOOKUP($C548, Egli_UPEC_metadata_provided!$A$2:$M$826, 4, FALSE)</f>
        <v>D1</v>
      </c>
      <c r="F548" t="str">
        <f>VLOOKUP($C548, Egli_UPEC_metadata_provided!$A$2:$M$826, 5, FALSE)</f>
        <v>w</v>
      </c>
      <c r="G548">
        <f>VLOOKUP($C548, Egli_UPEC_metadata_provided!$A$2:$M$826, 6, FALSE)</f>
        <v>0</v>
      </c>
      <c r="H548">
        <f>VLOOKUP($C548, Egli_UPEC_metadata_provided!$A$2:$M$826, 7, FALSE)</f>
        <v>8</v>
      </c>
      <c r="I548">
        <f>VLOOKUP($C548, Egli_UPEC_metadata_provided!$A$2:$M$826, 8, FALSE)</f>
        <v>71.100478468899496</v>
      </c>
      <c r="J548" t="b">
        <f>VLOOKUP($C548, Egli_UPEC_metadata_provided!$A$2:$M$826, 9, FALSE)</f>
        <v>1</v>
      </c>
      <c r="K548">
        <f>VLOOKUP($C548, Egli_UPEC_metadata_provided!$A$2:$M$826, 10, FALSE)</f>
        <v>1</v>
      </c>
      <c r="L548" t="str">
        <f>VLOOKUP($C548, Egli_UPEC_metadata_provided!$A$2:$M$826, 11, FALSE)</f>
        <v>non-invasive</v>
      </c>
      <c r="M548">
        <f>VLOOKUP($C548, Egli_UPEC_metadata_provided!$A$2:$M$826, 12, FALSE)</f>
        <v>1</v>
      </c>
      <c r="N548">
        <f>VLOOKUP($C548, Egli_UPEC_metadata_provided!$A$2:$M$826, 13, FALSE)</f>
        <v>0</v>
      </c>
      <c r="O548">
        <f>VLOOKUP($C548, Egli_UPEC_metadata_provided!$A$2:$N$826, 14, FALSE)</f>
        <v>0</v>
      </c>
    </row>
    <row r="549" spans="1:15" x14ac:dyDescent="0.2">
      <c r="A549" t="s">
        <v>517</v>
      </c>
      <c r="B549" t="s">
        <v>3752</v>
      </c>
      <c r="C549" t="s">
        <v>3752</v>
      </c>
      <c r="D549">
        <f>VLOOKUP($C549, Egli_UPEC_metadata_provided!$A$2:$M$826, 3, FALSE)</f>
        <v>2019</v>
      </c>
      <c r="E549" t="str">
        <f>VLOOKUP($C549, Egli_UPEC_metadata_provided!$A$2:$M$826, 4, FALSE)</f>
        <v>D3</v>
      </c>
      <c r="F549" t="str">
        <f>VLOOKUP($C549, Egli_UPEC_metadata_provided!$A$2:$M$826, 5, FALSE)</f>
        <v>w</v>
      </c>
      <c r="G549">
        <f>VLOOKUP($C549, Egli_UPEC_metadata_provided!$A$2:$M$826, 6, FALSE)</f>
        <v>0</v>
      </c>
      <c r="H549">
        <f>VLOOKUP($C549, Egli_UPEC_metadata_provided!$A$2:$M$826, 7, FALSE)</f>
        <v>6</v>
      </c>
      <c r="I549">
        <f>VLOOKUP($C549, Egli_UPEC_metadata_provided!$A$2:$M$826, 8, FALSE)</f>
        <v>65.323308270676705</v>
      </c>
      <c r="J549" t="b">
        <f>VLOOKUP($C549, Egli_UPEC_metadata_provided!$A$2:$M$826, 9, FALSE)</f>
        <v>0</v>
      </c>
      <c r="K549">
        <f>VLOOKUP($C549, Egli_UPEC_metadata_provided!$A$2:$M$826, 10, FALSE)</f>
        <v>1</v>
      </c>
      <c r="L549" t="str">
        <f>VLOOKUP($C549, Egli_UPEC_metadata_provided!$A$2:$M$826, 11, FALSE)</f>
        <v>non-invasive</v>
      </c>
      <c r="M549">
        <f>VLOOKUP($C549, Egli_UPEC_metadata_provided!$A$2:$M$826, 12, FALSE)</f>
        <v>0</v>
      </c>
      <c r="N549">
        <f>VLOOKUP($C549, Egli_UPEC_metadata_provided!$A$2:$M$826, 13, FALSE)</f>
        <v>0</v>
      </c>
      <c r="O549">
        <f>VLOOKUP($C549, Egli_UPEC_metadata_provided!$A$2:$N$826, 14, FALSE)</f>
        <v>0</v>
      </c>
    </row>
    <row r="550" spans="1:15" x14ac:dyDescent="0.2">
      <c r="A550" t="s">
        <v>518</v>
      </c>
      <c r="B550" t="s">
        <v>3753</v>
      </c>
      <c r="C550" t="s">
        <v>3753</v>
      </c>
      <c r="D550">
        <f>VLOOKUP($C550, Egli_UPEC_metadata_provided!$A$2:$M$826, 3, FALSE)</f>
        <v>2019</v>
      </c>
      <c r="E550" t="str">
        <f>VLOOKUP($C550, Egli_UPEC_metadata_provided!$A$2:$M$826, 4, FALSE)</f>
        <v>B2-2</v>
      </c>
      <c r="F550" t="str">
        <f>VLOOKUP($C550, Egli_UPEC_metadata_provided!$A$2:$M$826, 5, FALSE)</f>
        <v>w</v>
      </c>
      <c r="G550">
        <f>VLOOKUP($C550, Egli_UPEC_metadata_provided!$A$2:$M$826, 6, FALSE)</f>
        <v>0</v>
      </c>
      <c r="H550">
        <f>VLOOKUP($C550, Egli_UPEC_metadata_provided!$A$2:$M$826, 7, FALSE)</f>
        <v>1</v>
      </c>
      <c r="I550">
        <f>VLOOKUP($C550, Egli_UPEC_metadata_provided!$A$2:$M$826, 8, FALSE)</f>
        <v>68.792891319207101</v>
      </c>
      <c r="J550" t="b">
        <f>VLOOKUP($C550, Egli_UPEC_metadata_provided!$A$2:$M$826, 9, FALSE)</f>
        <v>0</v>
      </c>
      <c r="K550">
        <f>VLOOKUP($C550, Egli_UPEC_metadata_provided!$A$2:$M$826, 10, FALSE)</f>
        <v>0</v>
      </c>
      <c r="L550" t="str">
        <f>VLOOKUP($C550, Egli_UPEC_metadata_provided!$A$2:$M$826, 11, FALSE)</f>
        <v>non-invasive</v>
      </c>
      <c r="M550">
        <f>VLOOKUP($C550, Egli_UPEC_metadata_provided!$A$2:$M$826, 12, FALSE)</f>
        <v>0</v>
      </c>
      <c r="N550">
        <f>VLOOKUP($C550, Egli_UPEC_metadata_provided!$A$2:$M$826, 13, FALSE)</f>
        <v>0</v>
      </c>
      <c r="O550">
        <f>VLOOKUP($C550, Egli_UPEC_metadata_provided!$A$2:$N$826, 14, FALSE)</f>
        <v>0</v>
      </c>
    </row>
    <row r="551" spans="1:15" x14ac:dyDescent="0.2">
      <c r="A551" t="s">
        <v>519</v>
      </c>
      <c r="B551" t="s">
        <v>3754</v>
      </c>
      <c r="C551" t="s">
        <v>3754</v>
      </c>
      <c r="D551">
        <f>VLOOKUP($C551, Egli_UPEC_metadata_provided!$A$2:$M$826, 3, FALSE)</f>
        <v>2019</v>
      </c>
      <c r="E551" t="str">
        <f>VLOOKUP($C551, Egli_UPEC_metadata_provided!$A$2:$M$826, 4, FALSE)</f>
        <v>B2-2</v>
      </c>
      <c r="F551" t="str">
        <f>VLOOKUP($C551, Egli_UPEC_metadata_provided!$A$2:$M$826, 5, FALSE)</f>
        <v>w</v>
      </c>
      <c r="G551">
        <f>VLOOKUP($C551, Egli_UPEC_metadata_provided!$A$2:$M$826, 6, FALSE)</f>
        <v>0</v>
      </c>
      <c r="H551">
        <f>VLOOKUP($C551, Egli_UPEC_metadata_provided!$A$2:$M$826, 7, FALSE)</f>
        <v>6</v>
      </c>
      <c r="I551">
        <f>VLOOKUP($C551, Egli_UPEC_metadata_provided!$A$2:$M$826, 8, FALSE)</f>
        <v>68.970608339029397</v>
      </c>
      <c r="J551" t="b">
        <f>VLOOKUP($C551, Egli_UPEC_metadata_provided!$A$2:$M$826, 9, FALSE)</f>
        <v>0</v>
      </c>
      <c r="K551">
        <f>VLOOKUP($C551, Egli_UPEC_metadata_provided!$A$2:$M$826, 10, FALSE)</f>
        <v>0</v>
      </c>
      <c r="L551" t="str">
        <f>VLOOKUP($C551, Egli_UPEC_metadata_provided!$A$2:$M$826, 11, FALSE)</f>
        <v>non-invasive</v>
      </c>
      <c r="M551">
        <f>VLOOKUP($C551, Egli_UPEC_metadata_provided!$A$2:$M$826, 12, FALSE)</f>
        <v>0</v>
      </c>
      <c r="N551">
        <f>VLOOKUP($C551, Egli_UPEC_metadata_provided!$A$2:$M$826, 13, FALSE)</f>
        <v>0</v>
      </c>
      <c r="O551">
        <f>VLOOKUP($C551, Egli_UPEC_metadata_provided!$A$2:$N$826, 14, FALSE)</f>
        <v>0</v>
      </c>
    </row>
    <row r="552" spans="1:15" x14ac:dyDescent="0.2">
      <c r="A552" t="s">
        <v>520</v>
      </c>
      <c r="B552" t="s">
        <v>3755</v>
      </c>
      <c r="C552" t="s">
        <v>3755</v>
      </c>
      <c r="D552">
        <f>VLOOKUP($C552, Egli_UPEC_metadata_provided!$A$2:$M$826, 3, FALSE)</f>
        <v>2019</v>
      </c>
      <c r="E552" t="str">
        <f>VLOOKUP($C552, Egli_UPEC_metadata_provided!$A$2:$M$826, 4, FALSE)</f>
        <v>D3</v>
      </c>
      <c r="F552" t="str">
        <f>VLOOKUP($C552, Egli_UPEC_metadata_provided!$A$2:$M$826, 5, FALSE)</f>
        <v>w</v>
      </c>
      <c r="G552">
        <f>VLOOKUP($C552, Egli_UPEC_metadata_provided!$A$2:$M$826, 6, FALSE)</f>
        <v>0</v>
      </c>
      <c r="H552">
        <f>VLOOKUP($C552, Egli_UPEC_metadata_provided!$A$2:$M$826, 7, FALSE)</f>
        <v>0</v>
      </c>
      <c r="I552">
        <f>VLOOKUP($C552, Egli_UPEC_metadata_provided!$A$2:$M$826, 8, FALSE)</f>
        <v>53.793574846206397</v>
      </c>
      <c r="J552" t="b">
        <f>VLOOKUP($C552, Egli_UPEC_metadata_provided!$A$2:$M$826, 9, FALSE)</f>
        <v>0</v>
      </c>
      <c r="K552">
        <f>VLOOKUP($C552, Egli_UPEC_metadata_provided!$A$2:$M$826, 10, FALSE)</f>
        <v>1</v>
      </c>
      <c r="L552" t="str">
        <f>VLOOKUP($C552, Egli_UPEC_metadata_provided!$A$2:$M$826, 11, FALSE)</f>
        <v>non-invasive</v>
      </c>
      <c r="M552">
        <f>VLOOKUP($C552, Egli_UPEC_metadata_provided!$A$2:$M$826, 12, FALSE)</f>
        <v>0</v>
      </c>
      <c r="N552">
        <f>VLOOKUP($C552, Egli_UPEC_metadata_provided!$A$2:$M$826, 13, FALSE)</f>
        <v>0</v>
      </c>
      <c r="O552">
        <f>VLOOKUP($C552, Egli_UPEC_metadata_provided!$A$2:$N$826, 14, FALSE)</f>
        <v>0</v>
      </c>
    </row>
    <row r="553" spans="1:15" x14ac:dyDescent="0.2">
      <c r="A553" t="s">
        <v>521</v>
      </c>
      <c r="B553" t="s">
        <v>3756</v>
      </c>
      <c r="C553" t="s">
        <v>3756</v>
      </c>
      <c r="D553">
        <f>VLOOKUP($C553, Egli_UPEC_metadata_provided!$A$2:$M$826, 3, FALSE)</f>
        <v>2019</v>
      </c>
      <c r="E553" t="str">
        <f>VLOOKUP($C553, Egli_UPEC_metadata_provided!$A$2:$M$826, 4, FALSE)</f>
        <v>B2-1</v>
      </c>
      <c r="F553" t="str">
        <f>VLOOKUP($C553, Egli_UPEC_metadata_provided!$A$2:$M$826, 5, FALSE)</f>
        <v>w</v>
      </c>
      <c r="G553">
        <f>VLOOKUP($C553, Egli_UPEC_metadata_provided!$A$2:$M$826, 6, FALSE)</f>
        <v>0</v>
      </c>
      <c r="H553">
        <f>VLOOKUP($C553, Egli_UPEC_metadata_provided!$A$2:$M$826, 7, FALSE)</f>
        <v>2</v>
      </c>
      <c r="I553">
        <f>VLOOKUP($C553, Egli_UPEC_metadata_provided!$A$2:$M$826, 8, FALSE)</f>
        <v>70.739576213260406</v>
      </c>
      <c r="J553" t="b">
        <f>VLOOKUP($C553, Egli_UPEC_metadata_provided!$A$2:$M$826, 9, FALSE)</f>
        <v>1</v>
      </c>
      <c r="K553">
        <f>VLOOKUP($C553, Egli_UPEC_metadata_provided!$A$2:$M$826, 10, FALSE)</f>
        <v>1</v>
      </c>
      <c r="L553" t="str">
        <f>VLOOKUP($C553, Egli_UPEC_metadata_provided!$A$2:$M$826, 11, FALSE)</f>
        <v>non-invasive</v>
      </c>
      <c r="M553">
        <f>VLOOKUP($C553, Egli_UPEC_metadata_provided!$A$2:$M$826, 12, FALSE)</f>
        <v>0</v>
      </c>
      <c r="N553">
        <f>VLOOKUP($C553, Egli_UPEC_metadata_provided!$A$2:$M$826, 13, FALSE)</f>
        <v>0</v>
      </c>
      <c r="O553">
        <f>VLOOKUP($C553, Egli_UPEC_metadata_provided!$A$2:$N$826, 14, FALSE)</f>
        <v>1</v>
      </c>
    </row>
    <row r="554" spans="1:15" x14ac:dyDescent="0.2">
      <c r="A554" t="s">
        <v>522</v>
      </c>
      <c r="B554" t="s">
        <v>3757</v>
      </c>
      <c r="C554" t="s">
        <v>3757</v>
      </c>
      <c r="D554">
        <f>VLOOKUP($C554, Egli_UPEC_metadata_provided!$A$2:$M$826, 3, FALSE)</f>
        <v>2019</v>
      </c>
      <c r="E554" t="str">
        <f>VLOOKUP($C554, Egli_UPEC_metadata_provided!$A$2:$M$826, 4, FALSE)</f>
        <v>B2-2</v>
      </c>
      <c r="F554" t="str">
        <f>VLOOKUP($C554, Egli_UPEC_metadata_provided!$A$2:$M$826, 5, FALSE)</f>
        <v>w</v>
      </c>
      <c r="G554">
        <f>VLOOKUP($C554, Egli_UPEC_metadata_provided!$A$2:$M$826, 6, FALSE)</f>
        <v>0</v>
      </c>
      <c r="H554">
        <f>VLOOKUP($C554, Egli_UPEC_metadata_provided!$A$2:$M$826, 7, FALSE)</f>
        <v>7</v>
      </c>
      <c r="I554">
        <f>VLOOKUP($C554, Egli_UPEC_metadata_provided!$A$2:$M$826, 8, FALSE)</f>
        <v>73.870129870129901</v>
      </c>
      <c r="J554" t="b">
        <f>VLOOKUP($C554, Egli_UPEC_metadata_provided!$A$2:$M$826, 9, FALSE)</f>
        <v>1</v>
      </c>
      <c r="K554">
        <f>VLOOKUP($C554, Egli_UPEC_metadata_provided!$A$2:$M$826, 10, FALSE)</f>
        <v>0</v>
      </c>
      <c r="L554" t="str">
        <f>VLOOKUP($C554, Egli_UPEC_metadata_provided!$A$2:$M$826, 11, FALSE)</f>
        <v>non-invasive</v>
      </c>
      <c r="M554">
        <f>VLOOKUP($C554, Egli_UPEC_metadata_provided!$A$2:$M$826, 12, FALSE)</f>
        <v>0</v>
      </c>
      <c r="N554">
        <f>VLOOKUP($C554, Egli_UPEC_metadata_provided!$A$2:$M$826, 13, FALSE)</f>
        <v>0</v>
      </c>
      <c r="O554">
        <f>VLOOKUP($C554, Egli_UPEC_metadata_provided!$A$2:$N$826, 14, FALSE)</f>
        <v>0</v>
      </c>
    </row>
    <row r="555" spans="1:15" x14ac:dyDescent="0.2">
      <c r="A555" t="s">
        <v>523</v>
      </c>
      <c r="B555" t="s">
        <v>3758</v>
      </c>
      <c r="C555" t="s">
        <v>3758</v>
      </c>
      <c r="D555">
        <f>VLOOKUP($C555, Egli_UPEC_metadata_provided!$A$2:$M$826, 3, FALSE)</f>
        <v>2019</v>
      </c>
      <c r="E555" t="str">
        <f>VLOOKUP($C555, Egli_UPEC_metadata_provided!$A$2:$M$826, 4, FALSE)</f>
        <v>B2-1</v>
      </c>
      <c r="F555" t="str">
        <f>VLOOKUP($C555, Egli_UPEC_metadata_provided!$A$2:$M$826, 5, FALSE)</f>
        <v>w</v>
      </c>
      <c r="G555">
        <f>VLOOKUP($C555, Egli_UPEC_metadata_provided!$A$2:$M$826, 6, FALSE)</f>
        <v>0</v>
      </c>
      <c r="H555">
        <f>VLOOKUP($C555, Egli_UPEC_metadata_provided!$A$2:$M$826, 7, FALSE)</f>
        <v>2</v>
      </c>
      <c r="I555">
        <f>VLOOKUP($C555, Egli_UPEC_metadata_provided!$A$2:$M$826, 8, FALSE)</f>
        <v>77.665071770334904</v>
      </c>
      <c r="J555" t="b">
        <f>VLOOKUP($C555, Egli_UPEC_metadata_provided!$A$2:$M$826, 9, FALSE)</f>
        <v>0</v>
      </c>
      <c r="K555">
        <f>VLOOKUP($C555, Egli_UPEC_metadata_provided!$A$2:$M$826, 10, FALSE)</f>
        <v>0</v>
      </c>
      <c r="L555" t="str">
        <f>VLOOKUP($C555, Egli_UPEC_metadata_provided!$A$2:$M$826, 11, FALSE)</f>
        <v>non-invasive</v>
      </c>
      <c r="M555">
        <f>VLOOKUP($C555, Egli_UPEC_metadata_provided!$A$2:$M$826, 12, FALSE)</f>
        <v>0</v>
      </c>
      <c r="N555">
        <f>VLOOKUP($C555, Egli_UPEC_metadata_provided!$A$2:$M$826, 13, FALSE)</f>
        <v>0</v>
      </c>
      <c r="O555">
        <f>VLOOKUP($C555, Egli_UPEC_metadata_provided!$A$2:$N$826, 14, FALSE)</f>
        <v>1</v>
      </c>
    </row>
    <row r="556" spans="1:15" x14ac:dyDescent="0.2">
      <c r="A556" t="s">
        <v>524</v>
      </c>
      <c r="B556" t="s">
        <v>3759</v>
      </c>
      <c r="C556" t="s">
        <v>3759</v>
      </c>
      <c r="D556">
        <f>VLOOKUP($C556, Egli_UPEC_metadata_provided!$A$2:$M$826, 3, FALSE)</f>
        <v>2019</v>
      </c>
      <c r="E556" t="str">
        <f>VLOOKUP($C556, Egli_UPEC_metadata_provided!$A$2:$M$826, 4, FALSE)</f>
        <v>B2-2</v>
      </c>
      <c r="F556" t="str">
        <f>VLOOKUP($C556, Egli_UPEC_metadata_provided!$A$2:$M$826, 5, FALSE)</f>
        <v>w</v>
      </c>
      <c r="G556">
        <f>VLOOKUP($C556, Egli_UPEC_metadata_provided!$A$2:$M$826, 6, FALSE)</f>
        <v>0</v>
      </c>
      <c r="H556">
        <f>VLOOKUP($C556, Egli_UPEC_metadata_provided!$A$2:$M$826, 7, FALSE)</f>
        <v>1</v>
      </c>
      <c r="I556">
        <f>VLOOKUP($C556, Egli_UPEC_metadata_provided!$A$2:$M$826, 8, FALSE)</f>
        <v>65.807245386192804</v>
      </c>
      <c r="J556" t="b">
        <f>VLOOKUP($C556, Egli_UPEC_metadata_provided!$A$2:$M$826, 9, FALSE)</f>
        <v>0</v>
      </c>
      <c r="K556">
        <f>VLOOKUP($C556, Egli_UPEC_metadata_provided!$A$2:$M$826, 10, FALSE)</f>
        <v>0</v>
      </c>
      <c r="L556" t="str">
        <f>VLOOKUP($C556, Egli_UPEC_metadata_provided!$A$2:$M$826, 11, FALSE)</f>
        <v>non-invasive</v>
      </c>
      <c r="M556">
        <f>VLOOKUP($C556, Egli_UPEC_metadata_provided!$A$2:$M$826, 12, FALSE)</f>
        <v>0</v>
      </c>
      <c r="N556">
        <f>VLOOKUP($C556, Egli_UPEC_metadata_provided!$A$2:$M$826, 13, FALSE)</f>
        <v>0</v>
      </c>
      <c r="O556">
        <f>VLOOKUP($C556, Egli_UPEC_metadata_provided!$A$2:$N$826, 14, FALSE)</f>
        <v>0</v>
      </c>
    </row>
    <row r="557" spans="1:15" x14ac:dyDescent="0.2">
      <c r="A557" t="s">
        <v>525</v>
      </c>
      <c r="B557" t="s">
        <v>3760</v>
      </c>
      <c r="C557" t="s">
        <v>3760</v>
      </c>
      <c r="D557">
        <f>VLOOKUP($C557, Egli_UPEC_metadata_provided!$A$2:$M$826, 3, FALSE)</f>
        <v>2019</v>
      </c>
      <c r="E557" t="str">
        <f>VLOOKUP($C557, Egli_UPEC_metadata_provided!$A$2:$M$826, 4, FALSE)</f>
        <v>B2-2</v>
      </c>
      <c r="F557" t="str">
        <f>VLOOKUP($C557, Egli_UPEC_metadata_provided!$A$2:$M$826, 5, FALSE)</f>
        <v>w</v>
      </c>
      <c r="G557">
        <f>VLOOKUP($C557, Egli_UPEC_metadata_provided!$A$2:$M$826, 6, FALSE)</f>
        <v>0</v>
      </c>
      <c r="H557">
        <f>VLOOKUP($C557, Egli_UPEC_metadata_provided!$A$2:$M$826, 7, FALSE)</f>
        <v>8</v>
      </c>
      <c r="I557">
        <f>VLOOKUP($C557, Egli_UPEC_metadata_provided!$A$2:$M$826, 8, FALSE)</f>
        <v>70.351332877648701</v>
      </c>
      <c r="J557" t="b">
        <f>VLOOKUP($C557, Egli_UPEC_metadata_provided!$A$2:$M$826, 9, FALSE)</f>
        <v>1</v>
      </c>
      <c r="K557">
        <f>VLOOKUP($C557, Egli_UPEC_metadata_provided!$A$2:$M$826, 10, FALSE)</f>
        <v>0</v>
      </c>
      <c r="L557" t="str">
        <f>VLOOKUP($C557, Egli_UPEC_metadata_provided!$A$2:$M$826, 11, FALSE)</f>
        <v>non-invasive</v>
      </c>
      <c r="M557">
        <f>VLOOKUP($C557, Egli_UPEC_metadata_provided!$A$2:$M$826, 12, FALSE)</f>
        <v>1</v>
      </c>
      <c r="N557">
        <f>VLOOKUP($C557, Egli_UPEC_metadata_provided!$A$2:$M$826, 13, FALSE)</f>
        <v>1</v>
      </c>
      <c r="O557">
        <f>VLOOKUP($C557, Egli_UPEC_metadata_provided!$A$2:$N$826, 14, FALSE)</f>
        <v>0</v>
      </c>
    </row>
    <row r="558" spans="1:15" x14ac:dyDescent="0.2">
      <c r="A558" t="s">
        <v>526</v>
      </c>
      <c r="B558" t="s">
        <v>3761</v>
      </c>
      <c r="C558" t="s">
        <v>3761</v>
      </c>
      <c r="D558">
        <f>VLOOKUP($C558, Egli_UPEC_metadata_provided!$A$2:$M$826, 3, FALSE)</f>
        <v>2019</v>
      </c>
      <c r="E558" t="str">
        <f>VLOOKUP($C558, Egli_UPEC_metadata_provided!$A$2:$M$826, 4, FALSE)</f>
        <v>B2-2</v>
      </c>
      <c r="F558" t="str">
        <f>VLOOKUP($C558, Egli_UPEC_metadata_provided!$A$2:$M$826, 5, FALSE)</f>
        <v>m</v>
      </c>
      <c r="G558">
        <f>VLOOKUP($C558, Egli_UPEC_metadata_provided!$A$2:$M$826, 6, FALSE)</f>
        <v>0</v>
      </c>
      <c r="H558">
        <f>VLOOKUP($C558, Egli_UPEC_metadata_provided!$A$2:$M$826, 7, FALSE)</f>
        <v>4</v>
      </c>
      <c r="I558">
        <f>VLOOKUP($C558, Egli_UPEC_metadata_provided!$A$2:$M$826, 8, FALSE)</f>
        <v>73.394395078605598</v>
      </c>
      <c r="J558" t="b">
        <f>VLOOKUP($C558, Egli_UPEC_metadata_provided!$A$2:$M$826, 9, FALSE)</f>
        <v>0</v>
      </c>
      <c r="K558">
        <f>VLOOKUP($C558, Egli_UPEC_metadata_provided!$A$2:$M$826, 10, FALSE)</f>
        <v>0</v>
      </c>
      <c r="L558" t="str">
        <f>VLOOKUP($C558, Egli_UPEC_metadata_provided!$A$2:$M$826, 11, FALSE)</f>
        <v>non-invasive</v>
      </c>
      <c r="M558">
        <f>VLOOKUP($C558, Egli_UPEC_metadata_provided!$A$2:$M$826, 12, FALSE)</f>
        <v>1</v>
      </c>
      <c r="N558">
        <f>VLOOKUP($C558, Egli_UPEC_metadata_provided!$A$2:$M$826, 13, FALSE)</f>
        <v>0</v>
      </c>
      <c r="O558">
        <f>VLOOKUP($C558, Egli_UPEC_metadata_provided!$A$2:$N$826, 14, FALSE)</f>
        <v>0</v>
      </c>
    </row>
    <row r="559" spans="1:15" x14ac:dyDescent="0.2">
      <c r="A559" t="s">
        <v>527</v>
      </c>
      <c r="B559" t="s">
        <v>3762</v>
      </c>
      <c r="C559" t="s">
        <v>3762</v>
      </c>
      <c r="D559">
        <f>VLOOKUP($C559, Egli_UPEC_metadata_provided!$A$2:$M$826, 3, FALSE)</f>
        <v>2019</v>
      </c>
      <c r="E559" t="str">
        <f>VLOOKUP($C559, Egli_UPEC_metadata_provided!$A$2:$M$826, 4, FALSE)</f>
        <v>B2-1</v>
      </c>
      <c r="F559" t="str">
        <f>VLOOKUP($C559, Egli_UPEC_metadata_provided!$A$2:$M$826, 5, FALSE)</f>
        <v>w</v>
      </c>
      <c r="G559">
        <f>VLOOKUP($C559, Egli_UPEC_metadata_provided!$A$2:$M$826, 6, FALSE)</f>
        <v>0</v>
      </c>
      <c r="H559">
        <f>VLOOKUP($C559, Egli_UPEC_metadata_provided!$A$2:$M$826, 7, FALSE)</f>
        <v>4</v>
      </c>
      <c r="I559">
        <f>VLOOKUP($C559, Egli_UPEC_metadata_provided!$A$2:$M$826, 8, FALSE)</f>
        <v>76.587833219412204</v>
      </c>
      <c r="J559" t="b">
        <f>VLOOKUP($C559, Egli_UPEC_metadata_provided!$A$2:$M$826, 9, FALSE)</f>
        <v>0</v>
      </c>
      <c r="K559">
        <f>VLOOKUP($C559, Egli_UPEC_metadata_provided!$A$2:$M$826, 10, FALSE)</f>
        <v>1</v>
      </c>
      <c r="L559" t="str">
        <f>VLOOKUP($C559, Egli_UPEC_metadata_provided!$A$2:$M$826, 11, FALSE)</f>
        <v>non-invasive</v>
      </c>
      <c r="M559">
        <f>VLOOKUP($C559, Egli_UPEC_metadata_provided!$A$2:$M$826, 12, FALSE)</f>
        <v>0</v>
      </c>
      <c r="N559">
        <f>VLOOKUP($C559, Egli_UPEC_metadata_provided!$A$2:$M$826, 13, FALSE)</f>
        <v>0</v>
      </c>
      <c r="O559">
        <f>VLOOKUP($C559, Egli_UPEC_metadata_provided!$A$2:$N$826, 14, FALSE)</f>
        <v>0</v>
      </c>
    </row>
    <row r="560" spans="1:15" x14ac:dyDescent="0.2">
      <c r="A560" t="s">
        <v>528</v>
      </c>
      <c r="B560" t="s">
        <v>3763</v>
      </c>
      <c r="C560" t="s">
        <v>3763</v>
      </c>
      <c r="D560">
        <f>VLOOKUP($C560, Egli_UPEC_metadata_provided!$A$2:$M$826, 3, FALSE)</f>
        <v>2019</v>
      </c>
      <c r="E560" t="str">
        <f>VLOOKUP($C560, Egli_UPEC_metadata_provided!$A$2:$M$826, 4, FALSE)</f>
        <v>D1</v>
      </c>
      <c r="F560" t="str">
        <f>VLOOKUP($C560, Egli_UPEC_metadata_provided!$A$2:$M$826, 5, FALSE)</f>
        <v>w</v>
      </c>
      <c r="G560">
        <f>VLOOKUP($C560, Egli_UPEC_metadata_provided!$A$2:$M$826, 6, FALSE)</f>
        <v>0</v>
      </c>
      <c r="H560">
        <f>VLOOKUP($C560, Egli_UPEC_metadata_provided!$A$2:$M$826, 7, FALSE)</f>
        <v>1</v>
      </c>
      <c r="I560">
        <f>VLOOKUP($C560, Egli_UPEC_metadata_provided!$A$2:$M$826, 8, FALSE)</f>
        <v>94.408749145591301</v>
      </c>
      <c r="J560" t="b">
        <f>VLOOKUP($C560, Egli_UPEC_metadata_provided!$A$2:$M$826, 9, FALSE)</f>
        <v>0</v>
      </c>
      <c r="K560">
        <f>VLOOKUP($C560, Egli_UPEC_metadata_provided!$A$2:$M$826, 10, FALSE)</f>
        <v>0</v>
      </c>
      <c r="L560" t="str">
        <f>VLOOKUP($C560, Egli_UPEC_metadata_provided!$A$2:$M$826, 11, FALSE)</f>
        <v>non-invasive</v>
      </c>
      <c r="M560">
        <f>VLOOKUP($C560, Egli_UPEC_metadata_provided!$A$2:$M$826, 12, FALSE)</f>
        <v>0</v>
      </c>
      <c r="N560">
        <f>VLOOKUP($C560, Egli_UPEC_metadata_provided!$A$2:$M$826, 13, FALSE)</f>
        <v>0</v>
      </c>
      <c r="O560">
        <f>VLOOKUP($C560, Egli_UPEC_metadata_provided!$A$2:$N$826, 14, FALSE)</f>
        <v>1</v>
      </c>
    </row>
    <row r="561" spans="1:15" x14ac:dyDescent="0.2">
      <c r="A561" t="s">
        <v>529</v>
      </c>
      <c r="B561" t="s">
        <v>3764</v>
      </c>
      <c r="C561" t="s">
        <v>3764</v>
      </c>
      <c r="D561">
        <f>VLOOKUP($C561, Egli_UPEC_metadata_provided!$A$2:$M$826, 3, FALSE)</f>
        <v>2019</v>
      </c>
      <c r="E561" t="str">
        <f>VLOOKUP($C561, Egli_UPEC_metadata_provided!$A$2:$M$826, 4, FALSE)</f>
        <v>D3</v>
      </c>
      <c r="F561" t="str">
        <f>VLOOKUP($C561, Egli_UPEC_metadata_provided!$A$2:$M$826, 5, FALSE)</f>
        <v>m</v>
      </c>
      <c r="G561">
        <f>VLOOKUP($C561, Egli_UPEC_metadata_provided!$A$2:$M$826, 6, FALSE)</f>
        <v>0</v>
      </c>
      <c r="H561">
        <f>VLOOKUP($C561, Egli_UPEC_metadata_provided!$A$2:$M$826, 7, FALSE)</f>
        <v>0</v>
      </c>
      <c r="I561">
        <f>VLOOKUP($C561, Egli_UPEC_metadata_provided!$A$2:$M$826, 8, FALSE)</f>
        <v>68.965140123034899</v>
      </c>
      <c r="J561" t="b">
        <f>VLOOKUP($C561, Egli_UPEC_metadata_provided!$A$2:$M$826, 9, FALSE)</f>
        <v>0</v>
      </c>
      <c r="K561">
        <f>VLOOKUP($C561, Egli_UPEC_metadata_provided!$A$2:$M$826, 10, FALSE)</f>
        <v>0</v>
      </c>
      <c r="L561" t="str">
        <f>VLOOKUP($C561, Egli_UPEC_metadata_provided!$A$2:$M$826, 11, FALSE)</f>
        <v>non-invasive</v>
      </c>
      <c r="M561">
        <f>VLOOKUP($C561, Egli_UPEC_metadata_provided!$A$2:$M$826, 12, FALSE)</f>
        <v>0</v>
      </c>
      <c r="N561">
        <f>VLOOKUP($C561, Egli_UPEC_metadata_provided!$A$2:$M$826, 13, FALSE)</f>
        <v>0</v>
      </c>
      <c r="O561">
        <f>VLOOKUP($C561, Egli_UPEC_metadata_provided!$A$2:$N$826, 14, FALSE)</f>
        <v>0</v>
      </c>
    </row>
    <row r="562" spans="1:15" x14ac:dyDescent="0.2">
      <c r="A562" t="s">
        <v>530</v>
      </c>
      <c r="B562" t="s">
        <v>3765</v>
      </c>
      <c r="C562" t="s">
        <v>3765</v>
      </c>
      <c r="D562">
        <f>VLOOKUP($C562, Egli_UPEC_metadata_provided!$A$2:$M$826, 3, FALSE)</f>
        <v>2019</v>
      </c>
      <c r="E562" t="str">
        <f>VLOOKUP($C562, Egli_UPEC_metadata_provided!$A$2:$M$826, 4, FALSE)</f>
        <v>B2-1</v>
      </c>
      <c r="F562" t="str">
        <f>VLOOKUP($C562, Egli_UPEC_metadata_provided!$A$2:$M$826, 5, FALSE)</f>
        <v>w</v>
      </c>
      <c r="G562">
        <f>VLOOKUP($C562, Egli_UPEC_metadata_provided!$A$2:$M$826, 6, FALSE)</f>
        <v>0</v>
      </c>
      <c r="H562">
        <f>VLOOKUP($C562, Egli_UPEC_metadata_provided!$A$2:$M$826, 7, FALSE)</f>
        <v>2</v>
      </c>
      <c r="I562">
        <f>VLOOKUP($C562, Egli_UPEC_metadata_provided!$A$2:$M$826, 8, FALSE)</f>
        <v>77.593984962405997</v>
      </c>
      <c r="J562" t="b">
        <f>VLOOKUP($C562, Egli_UPEC_metadata_provided!$A$2:$M$826, 9, FALSE)</f>
        <v>0</v>
      </c>
      <c r="K562">
        <f>VLOOKUP($C562, Egli_UPEC_metadata_provided!$A$2:$M$826, 10, FALSE)</f>
        <v>0</v>
      </c>
      <c r="L562" t="str">
        <f>VLOOKUP($C562, Egli_UPEC_metadata_provided!$A$2:$M$826, 11, FALSE)</f>
        <v>non-invasive</v>
      </c>
      <c r="M562">
        <f>VLOOKUP($C562, Egli_UPEC_metadata_provided!$A$2:$M$826, 12, FALSE)</f>
        <v>1</v>
      </c>
      <c r="N562">
        <f>VLOOKUP($C562, Egli_UPEC_metadata_provided!$A$2:$M$826, 13, FALSE)</f>
        <v>0</v>
      </c>
      <c r="O562">
        <f>VLOOKUP($C562, Egli_UPEC_metadata_provided!$A$2:$N$826, 14, FALSE)</f>
        <v>0</v>
      </c>
    </row>
    <row r="563" spans="1:15" x14ac:dyDescent="0.2">
      <c r="A563" t="s">
        <v>531</v>
      </c>
      <c r="B563" t="s">
        <v>3766</v>
      </c>
      <c r="C563" t="s">
        <v>3766</v>
      </c>
      <c r="D563">
        <f>VLOOKUP($C563, Egli_UPEC_metadata_provided!$A$2:$M$826, 3, FALSE)</f>
        <v>2019</v>
      </c>
      <c r="E563" t="str">
        <f>VLOOKUP($C563, Egli_UPEC_metadata_provided!$A$2:$M$826, 4, FALSE)</f>
        <v>B2-2</v>
      </c>
      <c r="F563" t="str">
        <f>VLOOKUP($C563, Egli_UPEC_metadata_provided!$A$2:$M$826, 5, FALSE)</f>
        <v>w</v>
      </c>
      <c r="G563">
        <f>VLOOKUP($C563, Egli_UPEC_metadata_provided!$A$2:$M$826, 6, FALSE)</f>
        <v>0</v>
      </c>
      <c r="H563">
        <f>VLOOKUP($C563, Egli_UPEC_metadata_provided!$A$2:$M$826, 7, FALSE)</f>
        <v>2</v>
      </c>
      <c r="I563">
        <f>VLOOKUP($C563, Egli_UPEC_metadata_provided!$A$2:$M$826, 8, FALSE)</f>
        <v>79.797676008202302</v>
      </c>
      <c r="J563" t="b">
        <f>VLOOKUP($C563, Egli_UPEC_metadata_provided!$A$2:$M$826, 9, FALSE)</f>
        <v>0</v>
      </c>
      <c r="K563">
        <f>VLOOKUP($C563, Egli_UPEC_metadata_provided!$A$2:$M$826, 10, FALSE)</f>
        <v>0</v>
      </c>
      <c r="L563" t="str">
        <f>VLOOKUP($C563, Egli_UPEC_metadata_provided!$A$2:$M$826, 11, FALSE)</f>
        <v>non-invasive</v>
      </c>
      <c r="M563">
        <f>VLOOKUP($C563, Egli_UPEC_metadata_provided!$A$2:$M$826, 12, FALSE)</f>
        <v>0</v>
      </c>
      <c r="N563">
        <f>VLOOKUP($C563, Egli_UPEC_metadata_provided!$A$2:$M$826, 13, FALSE)</f>
        <v>0</v>
      </c>
      <c r="O563">
        <f>VLOOKUP($C563, Egli_UPEC_metadata_provided!$A$2:$N$826, 14, FALSE)</f>
        <v>0</v>
      </c>
    </row>
    <row r="564" spans="1:15" x14ac:dyDescent="0.2">
      <c r="A564" t="s">
        <v>532</v>
      </c>
      <c r="B564" t="s">
        <v>3767</v>
      </c>
      <c r="C564" t="s">
        <v>3767</v>
      </c>
      <c r="D564">
        <f>VLOOKUP($C564, Egli_UPEC_metadata_provided!$A$2:$M$826, 3, FALSE)</f>
        <v>2019</v>
      </c>
      <c r="E564" t="str">
        <f>VLOOKUP($C564, Egli_UPEC_metadata_provided!$A$2:$M$826, 4, FALSE)</f>
        <v>B2-2</v>
      </c>
      <c r="F564" t="str">
        <f>VLOOKUP($C564, Egli_UPEC_metadata_provided!$A$2:$M$826, 5, FALSE)</f>
        <v>w</v>
      </c>
      <c r="G564">
        <f>VLOOKUP($C564, Egli_UPEC_metadata_provided!$A$2:$M$826, 6, FALSE)</f>
        <v>0</v>
      </c>
      <c r="H564">
        <f>VLOOKUP($C564, Egli_UPEC_metadata_provided!$A$2:$M$826, 7, FALSE)</f>
        <v>1</v>
      </c>
      <c r="I564">
        <f>VLOOKUP($C564, Egli_UPEC_metadata_provided!$A$2:$M$826, 8, FALSE)</f>
        <v>38.632946001367102</v>
      </c>
      <c r="J564" t="b">
        <f>VLOOKUP($C564, Egli_UPEC_metadata_provided!$A$2:$M$826, 9, FALSE)</f>
        <v>0</v>
      </c>
      <c r="K564">
        <f>VLOOKUP($C564, Egli_UPEC_metadata_provided!$A$2:$M$826, 10, FALSE)</f>
        <v>0</v>
      </c>
      <c r="L564" t="str">
        <f>VLOOKUP($C564, Egli_UPEC_metadata_provided!$A$2:$M$826, 11, FALSE)</f>
        <v>non-invasive</v>
      </c>
      <c r="M564">
        <f>VLOOKUP($C564, Egli_UPEC_metadata_provided!$A$2:$M$826, 12, FALSE)</f>
        <v>1</v>
      </c>
      <c r="N564">
        <f>VLOOKUP($C564, Egli_UPEC_metadata_provided!$A$2:$M$826, 13, FALSE)</f>
        <v>0</v>
      </c>
      <c r="O564">
        <f>VLOOKUP($C564, Egli_UPEC_metadata_provided!$A$2:$N$826, 14, FALSE)</f>
        <v>0</v>
      </c>
    </row>
    <row r="565" spans="1:15" x14ac:dyDescent="0.2">
      <c r="A565" t="s">
        <v>533</v>
      </c>
      <c r="B565" t="s">
        <v>3768</v>
      </c>
      <c r="C565" t="s">
        <v>3768</v>
      </c>
      <c r="D565">
        <f>VLOOKUP($C565, Egli_UPEC_metadata_provided!$A$2:$M$826, 3, FALSE)</f>
        <v>2019</v>
      </c>
      <c r="E565" t="str">
        <f>VLOOKUP($C565, Egli_UPEC_metadata_provided!$A$2:$M$826, 4, FALSE)</f>
        <v>B2-2</v>
      </c>
      <c r="F565" t="str">
        <f>VLOOKUP($C565, Egli_UPEC_metadata_provided!$A$2:$M$826, 5, FALSE)</f>
        <v>w</v>
      </c>
      <c r="G565">
        <f>VLOOKUP($C565, Egli_UPEC_metadata_provided!$A$2:$M$826, 6, FALSE)</f>
        <v>0</v>
      </c>
      <c r="H565">
        <f>VLOOKUP($C565, Egli_UPEC_metadata_provided!$A$2:$M$826, 7, FALSE)</f>
        <v>2</v>
      </c>
      <c r="I565">
        <f>VLOOKUP($C565, Egli_UPEC_metadata_provided!$A$2:$M$826, 8, FALSE)</f>
        <v>84.869446343130605</v>
      </c>
      <c r="J565" t="b">
        <f>VLOOKUP($C565, Egli_UPEC_metadata_provided!$A$2:$M$826, 9, FALSE)</f>
        <v>0</v>
      </c>
      <c r="K565">
        <f>VLOOKUP($C565, Egli_UPEC_metadata_provided!$A$2:$M$826, 10, FALSE)</f>
        <v>0</v>
      </c>
      <c r="L565" t="str">
        <f>VLOOKUP($C565, Egli_UPEC_metadata_provided!$A$2:$M$826, 11, FALSE)</f>
        <v>non-invasive</v>
      </c>
      <c r="M565">
        <f>VLOOKUP($C565, Egli_UPEC_metadata_provided!$A$2:$M$826, 12, FALSE)</f>
        <v>0</v>
      </c>
      <c r="N565">
        <f>VLOOKUP($C565, Egli_UPEC_metadata_provided!$A$2:$M$826, 13, FALSE)</f>
        <v>0</v>
      </c>
      <c r="O565">
        <f>VLOOKUP($C565, Egli_UPEC_metadata_provided!$A$2:$N$826, 14, FALSE)</f>
        <v>0</v>
      </c>
    </row>
    <row r="566" spans="1:15" x14ac:dyDescent="0.2">
      <c r="A566" t="s">
        <v>534</v>
      </c>
      <c r="B566" t="s">
        <v>3769</v>
      </c>
      <c r="C566" t="s">
        <v>3769</v>
      </c>
      <c r="D566">
        <f>VLOOKUP($C566, Egli_UPEC_metadata_provided!$A$2:$M$826, 3, FALSE)</f>
        <v>2019</v>
      </c>
      <c r="E566" t="str">
        <f>VLOOKUP($C566, Egli_UPEC_metadata_provided!$A$2:$M$826, 4, FALSE)</f>
        <v>B2-1</v>
      </c>
      <c r="F566" t="str">
        <f>VLOOKUP($C566, Egli_UPEC_metadata_provided!$A$2:$M$826, 5, FALSE)</f>
        <v>m</v>
      </c>
      <c r="G566">
        <f>VLOOKUP($C566, Egli_UPEC_metadata_provided!$A$2:$M$826, 6, FALSE)</f>
        <v>0</v>
      </c>
      <c r="H566">
        <f>VLOOKUP($C566, Egli_UPEC_metadata_provided!$A$2:$M$826, 7, FALSE)</f>
        <v>4</v>
      </c>
      <c r="I566">
        <f>VLOOKUP($C566, Egli_UPEC_metadata_provided!$A$2:$M$826, 8, FALSE)</f>
        <v>85.104579630895401</v>
      </c>
      <c r="J566" t="b">
        <f>VLOOKUP($C566, Egli_UPEC_metadata_provided!$A$2:$M$826, 9, FALSE)</f>
        <v>0</v>
      </c>
      <c r="K566">
        <f>VLOOKUP($C566, Egli_UPEC_metadata_provided!$A$2:$M$826, 10, FALSE)</f>
        <v>1</v>
      </c>
      <c r="L566" t="str">
        <f>VLOOKUP($C566, Egli_UPEC_metadata_provided!$A$2:$M$826, 11, FALSE)</f>
        <v>non-invasive</v>
      </c>
      <c r="M566">
        <f>VLOOKUP($C566, Egli_UPEC_metadata_provided!$A$2:$M$826, 12, FALSE)</f>
        <v>0</v>
      </c>
      <c r="N566">
        <f>VLOOKUP($C566, Egli_UPEC_metadata_provided!$A$2:$M$826, 13, FALSE)</f>
        <v>0</v>
      </c>
      <c r="O566">
        <f>VLOOKUP($C566, Egli_UPEC_metadata_provided!$A$2:$N$826, 14, FALSE)</f>
        <v>0</v>
      </c>
    </row>
    <row r="567" spans="1:15" x14ac:dyDescent="0.2">
      <c r="A567" t="s">
        <v>535</v>
      </c>
      <c r="B567" t="s">
        <v>3770</v>
      </c>
      <c r="C567" t="s">
        <v>3770</v>
      </c>
      <c r="D567">
        <f>VLOOKUP($C567, Egli_UPEC_metadata_provided!$A$2:$M$826, 3, FALSE)</f>
        <v>2019</v>
      </c>
      <c r="E567" t="str">
        <f>VLOOKUP($C567, Egli_UPEC_metadata_provided!$A$2:$M$826, 4, FALSE)</f>
        <v>D3</v>
      </c>
      <c r="F567" t="str">
        <f>VLOOKUP($C567, Egli_UPEC_metadata_provided!$A$2:$M$826, 5, FALSE)</f>
        <v>w</v>
      </c>
      <c r="G567">
        <f>VLOOKUP($C567, Egli_UPEC_metadata_provided!$A$2:$M$826, 6, FALSE)</f>
        <v>0</v>
      </c>
      <c r="H567">
        <f>VLOOKUP($C567, Egli_UPEC_metadata_provided!$A$2:$M$826, 7, FALSE)</f>
        <v>2</v>
      </c>
      <c r="I567">
        <f>VLOOKUP($C567, Egli_UPEC_metadata_provided!$A$2:$M$826, 8, FALSE)</f>
        <v>78.343130553656906</v>
      </c>
      <c r="J567" t="b">
        <f>VLOOKUP($C567, Egli_UPEC_metadata_provided!$A$2:$M$826, 9, FALSE)</f>
        <v>0</v>
      </c>
      <c r="K567">
        <f>VLOOKUP($C567, Egli_UPEC_metadata_provided!$A$2:$M$826, 10, FALSE)</f>
        <v>0</v>
      </c>
      <c r="L567" t="str">
        <f>VLOOKUP($C567, Egli_UPEC_metadata_provided!$A$2:$M$826, 11, FALSE)</f>
        <v>non-invasive</v>
      </c>
      <c r="M567">
        <f>VLOOKUP($C567, Egli_UPEC_metadata_provided!$A$2:$M$826, 12, FALSE)</f>
        <v>0</v>
      </c>
      <c r="N567">
        <f>VLOOKUP($C567, Egli_UPEC_metadata_provided!$A$2:$M$826, 13, FALSE)</f>
        <v>0</v>
      </c>
      <c r="O567">
        <f>VLOOKUP($C567, Egli_UPEC_metadata_provided!$A$2:$N$826, 14, FALSE)</f>
        <v>0</v>
      </c>
    </row>
    <row r="568" spans="1:15" x14ac:dyDescent="0.2">
      <c r="A568" t="s">
        <v>536</v>
      </c>
      <c r="B568" t="s">
        <v>3771</v>
      </c>
      <c r="C568" t="s">
        <v>3771</v>
      </c>
      <c r="D568">
        <f>VLOOKUP($C568, Egli_UPEC_metadata_provided!$A$2:$M$826, 3, FALSE)</f>
        <v>2019</v>
      </c>
      <c r="E568" t="str">
        <f>VLOOKUP($C568, Egli_UPEC_metadata_provided!$A$2:$M$826, 4, FALSE)</f>
        <v>D1</v>
      </c>
      <c r="F568" t="str">
        <f>VLOOKUP($C568, Egli_UPEC_metadata_provided!$A$2:$M$826, 5, FALSE)</f>
        <v>w</v>
      </c>
      <c r="G568">
        <f>VLOOKUP($C568, Egli_UPEC_metadata_provided!$A$2:$M$826, 6, FALSE)</f>
        <v>0</v>
      </c>
      <c r="H568">
        <f>VLOOKUP($C568, Egli_UPEC_metadata_provided!$A$2:$M$826, 7, FALSE)</f>
        <v>3</v>
      </c>
      <c r="I568">
        <f>VLOOKUP($C568, Egli_UPEC_metadata_provided!$A$2:$M$826, 8, FALSE)</f>
        <v>82.695830485304199</v>
      </c>
      <c r="J568" t="b">
        <f>VLOOKUP($C568, Egli_UPEC_metadata_provided!$A$2:$M$826, 9, FALSE)</f>
        <v>0</v>
      </c>
      <c r="K568">
        <f>VLOOKUP($C568, Egli_UPEC_metadata_provided!$A$2:$M$826, 10, FALSE)</f>
        <v>0</v>
      </c>
      <c r="L568" t="str">
        <f>VLOOKUP($C568, Egli_UPEC_metadata_provided!$A$2:$M$826, 11, FALSE)</f>
        <v>non-invasive</v>
      </c>
      <c r="M568">
        <f>VLOOKUP($C568, Egli_UPEC_metadata_provided!$A$2:$M$826, 12, FALSE)</f>
        <v>0</v>
      </c>
      <c r="N568">
        <f>VLOOKUP($C568, Egli_UPEC_metadata_provided!$A$2:$M$826, 13, FALSE)</f>
        <v>0</v>
      </c>
      <c r="O568">
        <f>VLOOKUP($C568, Egli_UPEC_metadata_provided!$A$2:$N$826, 14, FALSE)</f>
        <v>1</v>
      </c>
    </row>
    <row r="569" spans="1:15" x14ac:dyDescent="0.2">
      <c r="A569" t="s">
        <v>537</v>
      </c>
      <c r="B569" t="s">
        <v>3772</v>
      </c>
      <c r="C569" t="s">
        <v>3772</v>
      </c>
      <c r="D569">
        <f>VLOOKUP($C569, Egli_UPEC_metadata_provided!$A$2:$M$826, 3, FALSE)</f>
        <v>2019</v>
      </c>
      <c r="E569" t="str">
        <f>VLOOKUP($C569, Egli_UPEC_metadata_provided!$A$2:$M$826, 4, FALSE)</f>
        <v>B2-2</v>
      </c>
      <c r="F569" t="str">
        <f>VLOOKUP($C569, Egli_UPEC_metadata_provided!$A$2:$M$826, 5, FALSE)</f>
        <v>m</v>
      </c>
      <c r="G569">
        <f>VLOOKUP($C569, Egli_UPEC_metadata_provided!$A$2:$M$826, 6, FALSE)</f>
        <v>0</v>
      </c>
      <c r="H569">
        <f>VLOOKUP($C569, Egli_UPEC_metadata_provided!$A$2:$M$826, 7, FALSE)</f>
        <v>5</v>
      </c>
      <c r="I569">
        <f>VLOOKUP($C569, Egli_UPEC_metadata_provided!$A$2:$M$826, 8, FALSE)</f>
        <v>72.749145591250894</v>
      </c>
      <c r="J569" t="b">
        <f>VLOOKUP($C569, Egli_UPEC_metadata_provided!$A$2:$M$826, 9, FALSE)</f>
        <v>0</v>
      </c>
      <c r="K569">
        <f>VLOOKUP($C569, Egli_UPEC_metadata_provided!$A$2:$M$826, 10, FALSE)</f>
        <v>0</v>
      </c>
      <c r="L569" t="str">
        <f>VLOOKUP($C569, Egli_UPEC_metadata_provided!$A$2:$M$826, 11, FALSE)</f>
        <v>non-invasive</v>
      </c>
      <c r="M569">
        <f>VLOOKUP($C569, Egli_UPEC_metadata_provided!$A$2:$M$826, 12, FALSE)</f>
        <v>1</v>
      </c>
      <c r="N569">
        <f>VLOOKUP($C569, Egli_UPEC_metadata_provided!$A$2:$M$826, 13, FALSE)</f>
        <v>0</v>
      </c>
      <c r="O569">
        <f>VLOOKUP($C569, Egli_UPEC_metadata_provided!$A$2:$N$826, 14, FALSE)</f>
        <v>0</v>
      </c>
    </row>
    <row r="570" spans="1:15" x14ac:dyDescent="0.2">
      <c r="A570" t="s">
        <v>538</v>
      </c>
      <c r="B570" t="s">
        <v>3773</v>
      </c>
      <c r="C570" t="s">
        <v>3773</v>
      </c>
      <c r="D570">
        <f>VLOOKUP($C570, Egli_UPEC_metadata_provided!$A$2:$M$826, 3, FALSE)</f>
        <v>2019</v>
      </c>
      <c r="E570" t="str">
        <f>VLOOKUP($C570, Egli_UPEC_metadata_provided!$A$2:$M$826, 4, FALSE)</f>
        <v>B1</v>
      </c>
      <c r="F570" t="str">
        <f>VLOOKUP($C570, Egli_UPEC_metadata_provided!$A$2:$M$826, 5, FALSE)</f>
        <v>w</v>
      </c>
      <c r="G570">
        <f>VLOOKUP($C570, Egli_UPEC_metadata_provided!$A$2:$M$826, 6, FALSE)</f>
        <v>1</v>
      </c>
      <c r="H570">
        <f>VLOOKUP($C570, Egli_UPEC_metadata_provided!$A$2:$M$826, 7, FALSE)</f>
        <v>2</v>
      </c>
      <c r="I570">
        <f>VLOOKUP($C570, Egli_UPEC_metadata_provided!$A$2:$M$826, 8, FALSE)</f>
        <v>76.065618591934395</v>
      </c>
      <c r="J570" t="b">
        <f>VLOOKUP($C570, Egli_UPEC_metadata_provided!$A$2:$M$826, 9, FALSE)</f>
        <v>0</v>
      </c>
      <c r="K570">
        <f>VLOOKUP($C570, Egli_UPEC_metadata_provided!$A$2:$M$826, 10, FALSE)</f>
        <v>0</v>
      </c>
      <c r="L570" t="str">
        <f>VLOOKUP($C570, Egli_UPEC_metadata_provided!$A$2:$M$826, 11, FALSE)</f>
        <v>non-invasive</v>
      </c>
      <c r="M570">
        <f>VLOOKUP($C570, Egli_UPEC_metadata_provided!$A$2:$M$826, 12, FALSE)</f>
        <v>1</v>
      </c>
      <c r="N570">
        <f>VLOOKUP($C570, Egli_UPEC_metadata_provided!$A$2:$M$826, 13, FALSE)</f>
        <v>0</v>
      </c>
      <c r="O570">
        <f>VLOOKUP($C570, Egli_UPEC_metadata_provided!$A$2:$N$826, 14, FALSE)</f>
        <v>0</v>
      </c>
    </row>
    <row r="571" spans="1:15" x14ac:dyDescent="0.2">
      <c r="A571" t="s">
        <v>539</v>
      </c>
      <c r="B571" t="s">
        <v>3774</v>
      </c>
      <c r="C571" t="s">
        <v>3774</v>
      </c>
      <c r="D571">
        <f>VLOOKUP($C571, Egli_UPEC_metadata_provided!$A$2:$M$826, 3, FALSE)</f>
        <v>2019</v>
      </c>
      <c r="E571" t="str">
        <f>VLOOKUP($C571, Egli_UPEC_metadata_provided!$A$2:$M$826, 4, FALSE)</f>
        <v>D1</v>
      </c>
      <c r="F571" t="str">
        <f>VLOOKUP($C571, Egli_UPEC_metadata_provided!$A$2:$M$826, 5, FALSE)</f>
        <v>m</v>
      </c>
      <c r="G571">
        <f>VLOOKUP($C571, Egli_UPEC_metadata_provided!$A$2:$M$826, 6, FALSE)</f>
        <v>1</v>
      </c>
      <c r="H571">
        <f>VLOOKUP($C571, Egli_UPEC_metadata_provided!$A$2:$M$826, 7, FALSE)</f>
        <v>10</v>
      </c>
      <c r="I571">
        <f>VLOOKUP($C571, Egli_UPEC_metadata_provided!$A$2:$M$826, 8, FALSE)</f>
        <v>66.370471633629506</v>
      </c>
      <c r="J571" t="b">
        <f>VLOOKUP($C571, Egli_UPEC_metadata_provided!$A$2:$M$826, 9, FALSE)</f>
        <v>0</v>
      </c>
      <c r="K571">
        <f>VLOOKUP($C571, Egli_UPEC_metadata_provided!$A$2:$M$826, 10, FALSE)</f>
        <v>0</v>
      </c>
      <c r="L571" t="str">
        <f>VLOOKUP($C571, Egli_UPEC_metadata_provided!$A$2:$M$826, 11, FALSE)</f>
        <v>non-invasive</v>
      </c>
      <c r="M571">
        <f>VLOOKUP($C571, Egli_UPEC_metadata_provided!$A$2:$M$826, 12, FALSE)</f>
        <v>0</v>
      </c>
      <c r="N571">
        <f>VLOOKUP($C571, Egli_UPEC_metadata_provided!$A$2:$M$826, 13, FALSE)</f>
        <v>0</v>
      </c>
      <c r="O571">
        <f>VLOOKUP($C571, Egli_UPEC_metadata_provided!$A$2:$N$826, 14, FALSE)</f>
        <v>0</v>
      </c>
    </row>
    <row r="572" spans="1:15" x14ac:dyDescent="0.2">
      <c r="A572" t="s">
        <v>540</v>
      </c>
      <c r="B572" t="s">
        <v>3775</v>
      </c>
      <c r="C572" t="s">
        <v>3775</v>
      </c>
      <c r="D572">
        <f>VLOOKUP($C572, Egli_UPEC_metadata_provided!$A$2:$M$826, 3, FALSE)</f>
        <v>2019</v>
      </c>
      <c r="E572" t="str">
        <f>VLOOKUP($C572, Egli_UPEC_metadata_provided!$A$2:$M$826, 4, FALSE)</f>
        <v>B1</v>
      </c>
      <c r="F572" t="str">
        <f>VLOOKUP($C572, Egli_UPEC_metadata_provided!$A$2:$M$826, 5, FALSE)</f>
        <v>m</v>
      </c>
      <c r="G572">
        <f>VLOOKUP($C572, Egli_UPEC_metadata_provided!$A$2:$M$826, 6, FALSE)</f>
        <v>0</v>
      </c>
      <c r="H572">
        <f>VLOOKUP($C572, Egli_UPEC_metadata_provided!$A$2:$M$826, 7, FALSE)</f>
        <v>1</v>
      </c>
      <c r="I572">
        <f>VLOOKUP($C572, Egli_UPEC_metadata_provided!$A$2:$M$826, 8, FALSE)</f>
        <v>77.457279562542695</v>
      </c>
      <c r="J572" t="b">
        <f>VLOOKUP($C572, Egli_UPEC_metadata_provided!$A$2:$M$826, 9, FALSE)</f>
        <v>0</v>
      </c>
      <c r="K572">
        <f>VLOOKUP($C572, Egli_UPEC_metadata_provided!$A$2:$M$826, 10, FALSE)</f>
        <v>0</v>
      </c>
      <c r="L572" t="str">
        <f>VLOOKUP($C572, Egli_UPEC_metadata_provided!$A$2:$M$826, 11, FALSE)</f>
        <v>non-invasive</v>
      </c>
      <c r="M572">
        <f>VLOOKUP($C572, Egli_UPEC_metadata_provided!$A$2:$M$826, 12, FALSE)</f>
        <v>0</v>
      </c>
      <c r="N572">
        <f>VLOOKUP($C572, Egli_UPEC_metadata_provided!$A$2:$M$826, 13, FALSE)</f>
        <v>0</v>
      </c>
      <c r="O572">
        <f>VLOOKUP($C572, Egli_UPEC_metadata_provided!$A$2:$N$826, 14, FALSE)</f>
        <v>0</v>
      </c>
    </row>
    <row r="573" spans="1:15" x14ac:dyDescent="0.2">
      <c r="A573" t="s">
        <v>541</v>
      </c>
      <c r="B573" t="s">
        <v>3776</v>
      </c>
      <c r="C573" t="s">
        <v>3776</v>
      </c>
      <c r="D573">
        <f>VLOOKUP($C573, Egli_UPEC_metadata_provided!$A$2:$M$826, 3, FALSE)</f>
        <v>2019</v>
      </c>
      <c r="E573" t="str">
        <f>VLOOKUP($C573, Egli_UPEC_metadata_provided!$A$2:$M$826, 4, FALSE)</f>
        <v>A</v>
      </c>
      <c r="F573" t="str">
        <f>VLOOKUP($C573, Egli_UPEC_metadata_provided!$A$2:$M$826, 5, FALSE)</f>
        <v>w</v>
      </c>
      <c r="G573">
        <f>VLOOKUP($C573, Egli_UPEC_metadata_provided!$A$2:$M$826, 6, FALSE)</f>
        <v>0</v>
      </c>
      <c r="H573">
        <f>VLOOKUP($C573, Egli_UPEC_metadata_provided!$A$2:$M$826, 7, FALSE)</f>
        <v>2</v>
      </c>
      <c r="I573">
        <f>VLOOKUP($C573, Egli_UPEC_metadata_provided!$A$2:$M$826, 8, FALSE)</f>
        <v>72.877648667122301</v>
      </c>
      <c r="J573" t="b">
        <f>VLOOKUP($C573, Egli_UPEC_metadata_provided!$A$2:$M$826, 9, FALSE)</f>
        <v>0</v>
      </c>
      <c r="K573">
        <f>VLOOKUP($C573, Egli_UPEC_metadata_provided!$A$2:$M$826, 10, FALSE)</f>
        <v>0</v>
      </c>
      <c r="L573" t="str">
        <f>VLOOKUP($C573, Egli_UPEC_metadata_provided!$A$2:$M$826, 11, FALSE)</f>
        <v>non-invasive</v>
      </c>
      <c r="M573">
        <f>VLOOKUP($C573, Egli_UPEC_metadata_provided!$A$2:$M$826, 12, FALSE)</f>
        <v>1</v>
      </c>
      <c r="N573">
        <f>VLOOKUP($C573, Egli_UPEC_metadata_provided!$A$2:$M$826, 13, FALSE)</f>
        <v>0</v>
      </c>
      <c r="O573">
        <f>VLOOKUP($C573, Egli_UPEC_metadata_provided!$A$2:$N$826, 14, FALSE)</f>
        <v>0</v>
      </c>
    </row>
    <row r="574" spans="1:15" x14ac:dyDescent="0.2">
      <c r="A574" t="s">
        <v>542</v>
      </c>
      <c r="B574" t="s">
        <v>3777</v>
      </c>
      <c r="C574" t="s">
        <v>3777</v>
      </c>
      <c r="D574">
        <f>VLOOKUP($C574, Egli_UPEC_metadata_provided!$A$2:$M$826, 3, FALSE)</f>
        <v>2019</v>
      </c>
      <c r="E574" t="str">
        <f>VLOOKUP($C574, Egli_UPEC_metadata_provided!$A$2:$M$826, 4, FALSE)</f>
        <v>D1</v>
      </c>
      <c r="F574" t="str">
        <f>VLOOKUP($C574, Egli_UPEC_metadata_provided!$A$2:$M$826, 5, FALSE)</f>
        <v>w</v>
      </c>
      <c r="G574">
        <f>VLOOKUP($C574, Egli_UPEC_metadata_provided!$A$2:$M$826, 6, FALSE)</f>
        <v>0</v>
      </c>
      <c r="H574">
        <f>VLOOKUP($C574, Egli_UPEC_metadata_provided!$A$2:$M$826, 7, FALSE)</f>
        <v>2</v>
      </c>
      <c r="I574">
        <f>VLOOKUP($C574, Egli_UPEC_metadata_provided!$A$2:$M$826, 8, FALSE)</f>
        <v>55.5324675324675</v>
      </c>
      <c r="J574" t="b">
        <f>VLOOKUP($C574, Egli_UPEC_metadata_provided!$A$2:$M$826, 9, FALSE)</f>
        <v>0</v>
      </c>
      <c r="K574">
        <f>VLOOKUP($C574, Egli_UPEC_metadata_provided!$A$2:$M$826, 10, FALSE)</f>
        <v>0</v>
      </c>
      <c r="L574" t="str">
        <f>VLOOKUP($C574, Egli_UPEC_metadata_provided!$A$2:$M$826, 11, FALSE)</f>
        <v>non-invasive</v>
      </c>
      <c r="M574">
        <f>VLOOKUP($C574, Egli_UPEC_metadata_provided!$A$2:$M$826, 12, FALSE)</f>
        <v>1</v>
      </c>
      <c r="N574">
        <f>VLOOKUP($C574, Egli_UPEC_metadata_provided!$A$2:$M$826, 13, FALSE)</f>
        <v>0</v>
      </c>
      <c r="O574">
        <f>VLOOKUP($C574, Egli_UPEC_metadata_provided!$A$2:$N$826, 14, FALSE)</f>
        <v>0</v>
      </c>
    </row>
    <row r="575" spans="1:15" x14ac:dyDescent="0.2">
      <c r="A575" t="s">
        <v>543</v>
      </c>
      <c r="B575" t="s">
        <v>3778</v>
      </c>
      <c r="C575" t="s">
        <v>3778</v>
      </c>
      <c r="D575">
        <f>VLOOKUP($C575, Egli_UPEC_metadata_provided!$A$2:$M$826, 3, FALSE)</f>
        <v>2019</v>
      </c>
      <c r="E575" t="str">
        <f>VLOOKUP($C575, Egli_UPEC_metadata_provided!$A$2:$M$826, 4, FALSE)</f>
        <v>B2-2</v>
      </c>
      <c r="F575" t="str">
        <f>VLOOKUP($C575, Egli_UPEC_metadata_provided!$A$2:$M$826, 5, FALSE)</f>
        <v>m</v>
      </c>
      <c r="G575">
        <f>VLOOKUP($C575, Egli_UPEC_metadata_provided!$A$2:$M$826, 6, FALSE)</f>
        <v>0</v>
      </c>
      <c r="H575">
        <f>VLOOKUP($C575, Egli_UPEC_metadata_provided!$A$2:$M$826, 7, FALSE)</f>
        <v>3</v>
      </c>
      <c r="I575">
        <f>VLOOKUP($C575, Egli_UPEC_metadata_provided!$A$2:$M$826, 8, FALSE)</f>
        <v>91.034859876965101</v>
      </c>
      <c r="J575" t="b">
        <f>VLOOKUP($C575, Egli_UPEC_metadata_provided!$A$2:$M$826, 9, FALSE)</f>
        <v>0</v>
      </c>
      <c r="K575">
        <f>VLOOKUP($C575, Egli_UPEC_metadata_provided!$A$2:$M$826, 10, FALSE)</f>
        <v>0</v>
      </c>
      <c r="L575" t="str">
        <f>VLOOKUP($C575, Egli_UPEC_metadata_provided!$A$2:$M$826, 11, FALSE)</f>
        <v>non-invasive</v>
      </c>
      <c r="M575">
        <f>VLOOKUP($C575, Egli_UPEC_metadata_provided!$A$2:$M$826, 12, FALSE)</f>
        <v>0</v>
      </c>
      <c r="N575">
        <f>VLOOKUP($C575, Egli_UPEC_metadata_provided!$A$2:$M$826, 13, FALSE)</f>
        <v>1</v>
      </c>
      <c r="O575">
        <f>VLOOKUP($C575, Egli_UPEC_metadata_provided!$A$2:$N$826, 14, FALSE)</f>
        <v>0</v>
      </c>
    </row>
    <row r="576" spans="1:15" x14ac:dyDescent="0.2">
      <c r="A576" t="s">
        <v>544</v>
      </c>
      <c r="B576" t="s">
        <v>3779</v>
      </c>
      <c r="C576" t="s">
        <v>3779</v>
      </c>
      <c r="D576">
        <f>VLOOKUP($C576, Egli_UPEC_metadata_provided!$A$2:$M$826, 3, FALSE)</f>
        <v>2019</v>
      </c>
      <c r="E576" t="str">
        <f>VLOOKUP($C576, Egli_UPEC_metadata_provided!$A$2:$M$826, 4, FALSE)</f>
        <v>B2-2</v>
      </c>
      <c r="F576" t="str">
        <f>VLOOKUP($C576, Egli_UPEC_metadata_provided!$A$2:$M$826, 5, FALSE)</f>
        <v>w</v>
      </c>
      <c r="G576">
        <f>VLOOKUP($C576, Egli_UPEC_metadata_provided!$A$2:$M$826, 6, FALSE)</f>
        <v>0</v>
      </c>
      <c r="H576">
        <f>VLOOKUP($C576, Egli_UPEC_metadata_provided!$A$2:$M$826, 7, FALSE)</f>
        <v>2</v>
      </c>
      <c r="I576">
        <f>VLOOKUP($C576, Egli_UPEC_metadata_provided!$A$2:$M$826, 8, FALSE)</f>
        <v>60.716336295283703</v>
      </c>
      <c r="J576" t="b">
        <f>VLOOKUP($C576, Egli_UPEC_metadata_provided!$A$2:$M$826, 9, FALSE)</f>
        <v>1</v>
      </c>
      <c r="K576">
        <f>VLOOKUP($C576, Egli_UPEC_metadata_provided!$A$2:$M$826, 10, FALSE)</f>
        <v>0</v>
      </c>
      <c r="L576" t="str">
        <f>VLOOKUP($C576, Egli_UPEC_metadata_provided!$A$2:$M$826, 11, FALSE)</f>
        <v>non-invasive</v>
      </c>
      <c r="M576">
        <f>VLOOKUP($C576, Egli_UPEC_metadata_provided!$A$2:$M$826, 12, FALSE)</f>
        <v>1</v>
      </c>
      <c r="N576">
        <f>VLOOKUP($C576, Egli_UPEC_metadata_provided!$A$2:$M$826, 13, FALSE)</f>
        <v>0</v>
      </c>
      <c r="O576">
        <f>VLOOKUP($C576, Egli_UPEC_metadata_provided!$A$2:$N$826, 14, FALSE)</f>
        <v>1</v>
      </c>
    </row>
    <row r="577" spans="1:15" x14ac:dyDescent="0.2">
      <c r="A577" t="s">
        <v>545</v>
      </c>
      <c r="B577" t="s">
        <v>3780</v>
      </c>
      <c r="C577" t="s">
        <v>3780</v>
      </c>
      <c r="D577">
        <f>VLOOKUP($C577, Egli_UPEC_metadata_provided!$A$2:$M$826, 3, FALSE)</f>
        <v>2019</v>
      </c>
      <c r="E577" t="str">
        <f>VLOOKUP($C577, Egli_UPEC_metadata_provided!$A$2:$M$826, 4, FALSE)</f>
        <v>B2-2</v>
      </c>
      <c r="F577" t="str">
        <f>VLOOKUP($C577, Egli_UPEC_metadata_provided!$A$2:$M$826, 5, FALSE)</f>
        <v>m</v>
      </c>
      <c r="G577">
        <f>VLOOKUP($C577, Egli_UPEC_metadata_provided!$A$2:$M$826, 6, FALSE)</f>
        <v>1</v>
      </c>
      <c r="H577">
        <f>VLOOKUP($C577, Egli_UPEC_metadata_provided!$A$2:$M$826, 7, FALSE)</f>
        <v>2</v>
      </c>
      <c r="I577">
        <f>VLOOKUP($C577, Egli_UPEC_metadata_provided!$A$2:$M$826, 8, FALSE)</f>
        <v>68.902255639097703</v>
      </c>
      <c r="J577" t="b">
        <f>VLOOKUP($C577, Egli_UPEC_metadata_provided!$A$2:$M$826, 9, FALSE)</f>
        <v>0</v>
      </c>
      <c r="K577">
        <f>VLOOKUP($C577, Egli_UPEC_metadata_provided!$A$2:$M$826, 10, FALSE)</f>
        <v>0</v>
      </c>
      <c r="L577" t="str">
        <f>VLOOKUP($C577, Egli_UPEC_metadata_provided!$A$2:$M$826, 11, FALSE)</f>
        <v>non-invasive</v>
      </c>
      <c r="M577">
        <f>VLOOKUP($C577, Egli_UPEC_metadata_provided!$A$2:$M$826, 12, FALSE)</f>
        <v>0</v>
      </c>
      <c r="N577">
        <f>VLOOKUP($C577, Egli_UPEC_metadata_provided!$A$2:$M$826, 13, FALSE)</f>
        <v>0</v>
      </c>
      <c r="O577">
        <f>VLOOKUP($C577, Egli_UPEC_metadata_provided!$A$2:$N$826, 14, FALSE)</f>
        <v>0</v>
      </c>
    </row>
    <row r="578" spans="1:15" x14ac:dyDescent="0.2">
      <c r="A578" t="s">
        <v>546</v>
      </c>
      <c r="B578" t="s">
        <v>3781</v>
      </c>
      <c r="C578" t="s">
        <v>3781</v>
      </c>
      <c r="D578">
        <f>VLOOKUP($C578, Egli_UPEC_metadata_provided!$A$2:$M$826, 3, FALSE)</f>
        <v>2019</v>
      </c>
      <c r="E578" t="str">
        <f>VLOOKUP($C578, Egli_UPEC_metadata_provided!$A$2:$M$826, 4, FALSE)</f>
        <v>B2-2</v>
      </c>
      <c r="F578" t="str">
        <f>VLOOKUP($C578, Egli_UPEC_metadata_provided!$A$2:$M$826, 5, FALSE)</f>
        <v>w</v>
      </c>
      <c r="G578">
        <f>VLOOKUP($C578, Egli_UPEC_metadata_provided!$A$2:$M$826, 6, FALSE)</f>
        <v>0</v>
      </c>
      <c r="H578">
        <f>VLOOKUP($C578, Egli_UPEC_metadata_provided!$A$2:$M$826, 7, FALSE)</f>
        <v>1</v>
      </c>
      <c r="I578">
        <f>VLOOKUP($C578, Egli_UPEC_metadata_provided!$A$2:$M$826, 8, FALSE)</f>
        <v>85.719753930280206</v>
      </c>
      <c r="J578" t="b">
        <f>VLOOKUP($C578, Egli_UPEC_metadata_provided!$A$2:$M$826, 9, FALSE)</f>
        <v>0</v>
      </c>
      <c r="K578">
        <f>VLOOKUP($C578, Egli_UPEC_metadata_provided!$A$2:$M$826, 10, FALSE)</f>
        <v>0</v>
      </c>
      <c r="L578" t="str">
        <f>VLOOKUP($C578, Egli_UPEC_metadata_provided!$A$2:$M$826, 11, FALSE)</f>
        <v>non-invasive</v>
      </c>
      <c r="M578">
        <f>VLOOKUP($C578, Egli_UPEC_metadata_provided!$A$2:$M$826, 12, FALSE)</f>
        <v>0</v>
      </c>
      <c r="N578">
        <f>VLOOKUP($C578, Egli_UPEC_metadata_provided!$A$2:$M$826, 13, FALSE)</f>
        <v>0</v>
      </c>
      <c r="O578">
        <f>VLOOKUP($C578, Egli_UPEC_metadata_provided!$A$2:$N$826, 14, FALSE)</f>
        <v>1</v>
      </c>
    </row>
    <row r="579" spans="1:15" x14ac:dyDescent="0.2">
      <c r="A579" t="s">
        <v>547</v>
      </c>
      <c r="B579" t="s">
        <v>3782</v>
      </c>
      <c r="C579" t="s">
        <v>3782</v>
      </c>
      <c r="D579">
        <f>VLOOKUP($C579, Egli_UPEC_metadata_provided!$A$2:$M$826, 3, FALSE)</f>
        <v>2019</v>
      </c>
      <c r="E579" t="str">
        <f>VLOOKUP($C579, Egli_UPEC_metadata_provided!$A$2:$M$826, 4, FALSE)</f>
        <v>B1</v>
      </c>
      <c r="F579" t="str">
        <f>VLOOKUP($C579, Egli_UPEC_metadata_provided!$A$2:$M$826, 5, FALSE)</f>
        <v>w</v>
      </c>
      <c r="G579">
        <f>VLOOKUP($C579, Egli_UPEC_metadata_provided!$A$2:$M$826, 6, FALSE)</f>
        <v>0</v>
      </c>
      <c r="H579">
        <f>VLOOKUP($C579, Egli_UPEC_metadata_provided!$A$2:$M$826, 7, FALSE)</f>
        <v>4</v>
      </c>
      <c r="I579">
        <f>VLOOKUP($C579, Egli_UPEC_metadata_provided!$A$2:$M$826, 8, FALSE)</f>
        <v>85.156527682843503</v>
      </c>
      <c r="J579" t="b">
        <f>VLOOKUP($C579, Egli_UPEC_metadata_provided!$A$2:$M$826, 9, FALSE)</f>
        <v>0</v>
      </c>
      <c r="K579">
        <f>VLOOKUP($C579, Egli_UPEC_metadata_provided!$A$2:$M$826, 10, FALSE)</f>
        <v>1</v>
      </c>
      <c r="L579" t="str">
        <f>VLOOKUP($C579, Egli_UPEC_metadata_provided!$A$2:$M$826, 11, FALSE)</f>
        <v>non-invasive</v>
      </c>
      <c r="M579">
        <f>VLOOKUP($C579, Egli_UPEC_metadata_provided!$A$2:$M$826, 12, FALSE)</f>
        <v>1</v>
      </c>
      <c r="N579">
        <f>VLOOKUP($C579, Egli_UPEC_metadata_provided!$A$2:$M$826, 13, FALSE)</f>
        <v>0</v>
      </c>
      <c r="O579">
        <f>VLOOKUP($C579, Egli_UPEC_metadata_provided!$A$2:$N$826, 14, FALSE)</f>
        <v>0</v>
      </c>
    </row>
    <row r="580" spans="1:15" x14ac:dyDescent="0.2">
      <c r="A580" t="s">
        <v>548</v>
      </c>
      <c r="B580" t="s">
        <v>3783</v>
      </c>
      <c r="C580" t="s">
        <v>3783</v>
      </c>
      <c r="D580">
        <f>VLOOKUP($C580, Egli_UPEC_metadata_provided!$A$2:$M$826, 3, FALSE)</f>
        <v>2019</v>
      </c>
      <c r="E580" t="str">
        <f>VLOOKUP($C580, Egli_UPEC_metadata_provided!$A$2:$M$826, 4, FALSE)</f>
        <v>B2-2</v>
      </c>
      <c r="F580" t="str">
        <f>VLOOKUP($C580, Egli_UPEC_metadata_provided!$A$2:$M$826, 5, FALSE)</f>
        <v>m</v>
      </c>
      <c r="G580">
        <f>VLOOKUP($C580, Egli_UPEC_metadata_provided!$A$2:$M$826, 6, FALSE)</f>
        <v>0</v>
      </c>
      <c r="H580">
        <f>VLOOKUP($C580, Egli_UPEC_metadata_provided!$A$2:$M$826, 7, FALSE)</f>
        <v>1</v>
      </c>
      <c r="I580">
        <f>VLOOKUP($C580, Egli_UPEC_metadata_provided!$A$2:$M$826, 8, FALSE)</f>
        <v>43.887901572112099</v>
      </c>
      <c r="J580" t="b">
        <f>VLOOKUP($C580, Egli_UPEC_metadata_provided!$A$2:$M$826, 9, FALSE)</f>
        <v>1</v>
      </c>
      <c r="K580">
        <f>VLOOKUP($C580, Egli_UPEC_metadata_provided!$A$2:$M$826, 10, FALSE)</f>
        <v>0</v>
      </c>
      <c r="L580" t="str">
        <f>VLOOKUP($C580, Egli_UPEC_metadata_provided!$A$2:$M$826, 11, FALSE)</f>
        <v>non-invasive</v>
      </c>
      <c r="M580">
        <f>VLOOKUP($C580, Egli_UPEC_metadata_provided!$A$2:$M$826, 12, FALSE)</f>
        <v>1</v>
      </c>
      <c r="N580">
        <f>VLOOKUP($C580, Egli_UPEC_metadata_provided!$A$2:$M$826, 13, FALSE)</f>
        <v>0</v>
      </c>
      <c r="O580">
        <f>VLOOKUP($C580, Egli_UPEC_metadata_provided!$A$2:$N$826, 14, FALSE)</f>
        <v>0</v>
      </c>
    </row>
    <row r="581" spans="1:15" x14ac:dyDescent="0.2">
      <c r="A581" t="s">
        <v>549</v>
      </c>
      <c r="B581" t="s">
        <v>3784</v>
      </c>
      <c r="C581" t="s">
        <v>3784</v>
      </c>
      <c r="D581">
        <f>VLOOKUP($C581, Egli_UPEC_metadata_provided!$A$2:$M$826, 3, FALSE)</f>
        <v>2019</v>
      </c>
      <c r="E581" t="str">
        <f>VLOOKUP($C581, Egli_UPEC_metadata_provided!$A$2:$M$826, 4, FALSE)</f>
        <v>B1</v>
      </c>
      <c r="F581" t="str">
        <f>VLOOKUP($C581, Egli_UPEC_metadata_provided!$A$2:$M$826, 5, FALSE)</f>
        <v>w</v>
      </c>
      <c r="G581">
        <f>VLOOKUP($C581, Egli_UPEC_metadata_provided!$A$2:$M$826, 6, FALSE)</f>
        <v>0</v>
      </c>
      <c r="H581">
        <f>VLOOKUP($C581, Egli_UPEC_metadata_provided!$A$2:$M$826, 7, FALSE)</f>
        <v>3</v>
      </c>
      <c r="I581">
        <f>VLOOKUP($C581, Egli_UPEC_metadata_provided!$A$2:$M$826, 8, FALSE)</f>
        <v>77.2768284347232</v>
      </c>
      <c r="J581" t="b">
        <f>VLOOKUP($C581, Egli_UPEC_metadata_provided!$A$2:$M$826, 9, FALSE)</f>
        <v>0</v>
      </c>
      <c r="K581">
        <f>VLOOKUP($C581, Egli_UPEC_metadata_provided!$A$2:$M$826, 10, FALSE)</f>
        <v>0</v>
      </c>
      <c r="L581" t="str">
        <f>VLOOKUP($C581, Egli_UPEC_metadata_provided!$A$2:$M$826, 11, FALSE)</f>
        <v>non-invasive</v>
      </c>
      <c r="M581">
        <f>VLOOKUP($C581, Egli_UPEC_metadata_provided!$A$2:$M$826, 12, FALSE)</f>
        <v>1</v>
      </c>
      <c r="N581">
        <f>VLOOKUP($C581, Egli_UPEC_metadata_provided!$A$2:$M$826, 13, FALSE)</f>
        <v>0</v>
      </c>
      <c r="O581">
        <f>VLOOKUP($C581, Egli_UPEC_metadata_provided!$A$2:$N$826, 14, FALSE)</f>
        <v>0</v>
      </c>
    </row>
    <row r="582" spans="1:15" x14ac:dyDescent="0.2">
      <c r="A582" t="s">
        <v>550</v>
      </c>
      <c r="B582" t="s">
        <v>3785</v>
      </c>
      <c r="C582" t="s">
        <v>3785</v>
      </c>
      <c r="D582">
        <f>VLOOKUP($C582, Egli_UPEC_metadata_provided!$A$2:$M$826, 3, FALSE)</f>
        <v>2019</v>
      </c>
      <c r="E582" t="str">
        <f>VLOOKUP($C582, Egli_UPEC_metadata_provided!$A$2:$M$826, 4, FALSE)</f>
        <v>F</v>
      </c>
      <c r="F582" t="str">
        <f>VLOOKUP($C582, Egli_UPEC_metadata_provided!$A$2:$M$826, 5, FALSE)</f>
        <v>w</v>
      </c>
      <c r="G582">
        <f>VLOOKUP($C582, Egli_UPEC_metadata_provided!$A$2:$M$826, 6, FALSE)</f>
        <v>0</v>
      </c>
      <c r="H582">
        <f>VLOOKUP($C582, Egli_UPEC_metadata_provided!$A$2:$M$826, 7, FALSE)</f>
        <v>1</v>
      </c>
      <c r="I582">
        <f>VLOOKUP($C582, Egli_UPEC_metadata_provided!$A$2:$M$826, 8, FALSE)</f>
        <v>79.133287764866694</v>
      </c>
      <c r="J582" t="b">
        <f>VLOOKUP($C582, Egli_UPEC_metadata_provided!$A$2:$M$826, 9, FALSE)</f>
        <v>1</v>
      </c>
      <c r="K582">
        <f>VLOOKUP($C582, Egli_UPEC_metadata_provided!$A$2:$M$826, 10, FALSE)</f>
        <v>0</v>
      </c>
      <c r="L582" t="str">
        <f>VLOOKUP($C582, Egli_UPEC_metadata_provided!$A$2:$M$826, 11, FALSE)</f>
        <v>non-invasive</v>
      </c>
      <c r="M582">
        <f>VLOOKUP($C582, Egli_UPEC_metadata_provided!$A$2:$M$826, 12, FALSE)</f>
        <v>0</v>
      </c>
      <c r="N582">
        <f>VLOOKUP($C582, Egli_UPEC_metadata_provided!$A$2:$M$826, 13, FALSE)</f>
        <v>0</v>
      </c>
      <c r="O582">
        <f>VLOOKUP($C582, Egli_UPEC_metadata_provided!$A$2:$N$826, 14, FALSE)</f>
        <v>0</v>
      </c>
    </row>
    <row r="583" spans="1:15" x14ac:dyDescent="0.2">
      <c r="A583" t="s">
        <v>551</v>
      </c>
      <c r="B583" t="s">
        <v>3786</v>
      </c>
      <c r="C583" t="s">
        <v>3786</v>
      </c>
      <c r="D583">
        <f>VLOOKUP($C583, Egli_UPEC_metadata_provided!$A$2:$M$826, 3, FALSE)</f>
        <v>2019</v>
      </c>
      <c r="E583" t="str">
        <f>VLOOKUP($C583, Egli_UPEC_metadata_provided!$A$2:$M$826, 4, FALSE)</f>
        <v>D1</v>
      </c>
      <c r="F583" t="str">
        <f>VLOOKUP($C583, Egli_UPEC_metadata_provided!$A$2:$M$826, 5, FALSE)</f>
        <v>w</v>
      </c>
      <c r="G583">
        <f>VLOOKUP($C583, Egli_UPEC_metadata_provided!$A$2:$M$826, 6, FALSE)</f>
        <v>0</v>
      </c>
      <c r="H583">
        <f>VLOOKUP($C583, Egli_UPEC_metadata_provided!$A$2:$M$826, 7, FALSE)</f>
        <v>2</v>
      </c>
      <c r="I583">
        <f>VLOOKUP($C583, Egli_UPEC_metadata_provided!$A$2:$M$826, 8, FALSE)</f>
        <v>78.613807245386198</v>
      </c>
      <c r="J583" t="b">
        <f>VLOOKUP($C583, Egli_UPEC_metadata_provided!$A$2:$M$826, 9, FALSE)</f>
        <v>0</v>
      </c>
      <c r="K583">
        <f>VLOOKUP($C583, Egli_UPEC_metadata_provided!$A$2:$M$826, 10, FALSE)</f>
        <v>0</v>
      </c>
      <c r="L583" t="str">
        <f>VLOOKUP($C583, Egli_UPEC_metadata_provided!$A$2:$M$826, 11, FALSE)</f>
        <v>non-invasive</v>
      </c>
      <c r="M583">
        <f>VLOOKUP($C583, Egli_UPEC_metadata_provided!$A$2:$M$826, 12, FALSE)</f>
        <v>0</v>
      </c>
      <c r="N583">
        <f>VLOOKUP($C583, Egli_UPEC_metadata_provided!$A$2:$M$826, 13, FALSE)</f>
        <v>0</v>
      </c>
      <c r="O583">
        <f>VLOOKUP($C583, Egli_UPEC_metadata_provided!$A$2:$N$826, 14, FALSE)</f>
        <v>0</v>
      </c>
    </row>
    <row r="584" spans="1:15" x14ac:dyDescent="0.2">
      <c r="A584" t="s">
        <v>552</v>
      </c>
      <c r="B584" t="s">
        <v>3787</v>
      </c>
      <c r="C584" t="s">
        <v>3787</v>
      </c>
      <c r="D584">
        <f>VLOOKUP($C584, Egli_UPEC_metadata_provided!$A$2:$M$826, 3, FALSE)</f>
        <v>2019</v>
      </c>
      <c r="E584" t="str">
        <f>VLOOKUP($C584, Egli_UPEC_metadata_provided!$A$2:$M$826, 4, FALSE)</f>
        <v>B2-1</v>
      </c>
      <c r="F584" t="str">
        <f>VLOOKUP($C584, Egli_UPEC_metadata_provided!$A$2:$M$826, 5, FALSE)</f>
        <v>w</v>
      </c>
      <c r="G584">
        <f>VLOOKUP($C584, Egli_UPEC_metadata_provided!$A$2:$M$826, 6, FALSE)</f>
        <v>0</v>
      </c>
      <c r="H584">
        <f>VLOOKUP($C584, Egli_UPEC_metadata_provided!$A$2:$M$826, 7, FALSE)</f>
        <v>2</v>
      </c>
      <c r="I584">
        <f>VLOOKUP($C584, Egli_UPEC_metadata_provided!$A$2:$M$826, 8, FALSE)</f>
        <v>84.437457279562594</v>
      </c>
      <c r="J584" t="b">
        <f>VLOOKUP($C584, Egli_UPEC_metadata_provided!$A$2:$M$826, 9, FALSE)</f>
        <v>0</v>
      </c>
      <c r="K584">
        <f>VLOOKUP($C584, Egli_UPEC_metadata_provided!$A$2:$M$826, 10, FALSE)</f>
        <v>0</v>
      </c>
      <c r="L584" t="str">
        <f>VLOOKUP($C584, Egli_UPEC_metadata_provided!$A$2:$M$826, 11, FALSE)</f>
        <v>non-invasive</v>
      </c>
      <c r="M584">
        <f>VLOOKUP($C584, Egli_UPEC_metadata_provided!$A$2:$M$826, 12, FALSE)</f>
        <v>0</v>
      </c>
      <c r="N584">
        <f>VLOOKUP($C584, Egli_UPEC_metadata_provided!$A$2:$M$826, 13, FALSE)</f>
        <v>0</v>
      </c>
      <c r="O584">
        <f>VLOOKUP($C584, Egli_UPEC_metadata_provided!$A$2:$N$826, 14, FALSE)</f>
        <v>0</v>
      </c>
    </row>
    <row r="585" spans="1:15" x14ac:dyDescent="0.2">
      <c r="A585" t="s">
        <v>553</v>
      </c>
      <c r="B585" t="s">
        <v>3788</v>
      </c>
      <c r="C585" t="s">
        <v>3788</v>
      </c>
      <c r="D585">
        <f>VLOOKUP($C585, Egli_UPEC_metadata_provided!$A$2:$M$826, 3, FALSE)</f>
        <v>2019</v>
      </c>
      <c r="E585" t="str">
        <f>VLOOKUP($C585, Egli_UPEC_metadata_provided!$A$2:$M$826, 4, FALSE)</f>
        <v>B2-2</v>
      </c>
      <c r="F585" t="str">
        <f>VLOOKUP($C585, Egli_UPEC_metadata_provided!$A$2:$M$826, 5, FALSE)</f>
        <v>w</v>
      </c>
      <c r="G585">
        <f>VLOOKUP($C585, Egli_UPEC_metadata_provided!$A$2:$M$826, 6, FALSE)</f>
        <v>0</v>
      </c>
      <c r="H585">
        <f>VLOOKUP($C585, Egli_UPEC_metadata_provided!$A$2:$M$826, 7, FALSE)</f>
        <v>3</v>
      </c>
      <c r="I585">
        <f>VLOOKUP($C585, Egli_UPEC_metadata_provided!$A$2:$M$826, 8, FALSE)</f>
        <v>60.257006151742999</v>
      </c>
      <c r="J585" t="b">
        <f>VLOOKUP($C585, Egli_UPEC_metadata_provided!$A$2:$M$826, 9, FALSE)</f>
        <v>0</v>
      </c>
      <c r="K585">
        <f>VLOOKUP($C585, Egli_UPEC_metadata_provided!$A$2:$M$826, 10, FALSE)</f>
        <v>0</v>
      </c>
      <c r="L585" t="str">
        <f>VLOOKUP($C585, Egli_UPEC_metadata_provided!$A$2:$M$826, 11, FALSE)</f>
        <v>non-invasive</v>
      </c>
      <c r="M585">
        <f>VLOOKUP($C585, Egli_UPEC_metadata_provided!$A$2:$M$826, 12, FALSE)</f>
        <v>0</v>
      </c>
      <c r="N585">
        <f>VLOOKUP($C585, Egli_UPEC_metadata_provided!$A$2:$M$826, 13, FALSE)</f>
        <v>0</v>
      </c>
      <c r="O585">
        <f>VLOOKUP($C585, Egli_UPEC_metadata_provided!$A$2:$N$826, 14, FALSE)</f>
        <v>0</v>
      </c>
    </row>
    <row r="586" spans="1:15" x14ac:dyDescent="0.2">
      <c r="A586" t="s">
        <v>554</v>
      </c>
      <c r="B586" t="s">
        <v>3789</v>
      </c>
      <c r="C586" t="s">
        <v>3789</v>
      </c>
      <c r="D586">
        <f>VLOOKUP($C586, Egli_UPEC_metadata_provided!$A$2:$M$826, 3, FALSE)</f>
        <v>2019</v>
      </c>
      <c r="E586" t="str">
        <f>VLOOKUP($C586, Egli_UPEC_metadata_provided!$A$2:$M$826, 4, FALSE)</f>
        <v>B2-2</v>
      </c>
      <c r="F586" t="str">
        <f>VLOOKUP($C586, Egli_UPEC_metadata_provided!$A$2:$M$826, 5, FALSE)</f>
        <v>w</v>
      </c>
      <c r="G586">
        <f>VLOOKUP($C586, Egli_UPEC_metadata_provided!$A$2:$M$826, 6, FALSE)</f>
        <v>0</v>
      </c>
      <c r="H586">
        <f>VLOOKUP($C586, Egli_UPEC_metadata_provided!$A$2:$M$826, 7, FALSE)</f>
        <v>3</v>
      </c>
      <c r="I586">
        <f>VLOOKUP($C586, Egli_UPEC_metadata_provided!$A$2:$M$826, 8, FALSE)</f>
        <v>55.526999316473002</v>
      </c>
      <c r="J586" t="b">
        <f>VLOOKUP($C586, Egli_UPEC_metadata_provided!$A$2:$M$826, 9, FALSE)</f>
        <v>0</v>
      </c>
      <c r="K586">
        <f>VLOOKUP($C586, Egli_UPEC_metadata_provided!$A$2:$M$826, 10, FALSE)</f>
        <v>0</v>
      </c>
      <c r="L586" t="str">
        <f>VLOOKUP($C586, Egli_UPEC_metadata_provided!$A$2:$M$826, 11, FALSE)</f>
        <v>non-invasive</v>
      </c>
      <c r="M586">
        <f>VLOOKUP($C586, Egli_UPEC_metadata_provided!$A$2:$M$826, 12, FALSE)</f>
        <v>1</v>
      </c>
      <c r="N586">
        <f>VLOOKUP($C586, Egli_UPEC_metadata_provided!$A$2:$M$826, 13, FALSE)</f>
        <v>0</v>
      </c>
      <c r="O586">
        <f>VLOOKUP($C586, Egli_UPEC_metadata_provided!$A$2:$N$826, 14, FALSE)</f>
        <v>0</v>
      </c>
    </row>
    <row r="587" spans="1:15" x14ac:dyDescent="0.2">
      <c r="A587" t="s">
        <v>555</v>
      </c>
      <c r="B587" t="s">
        <v>3790</v>
      </c>
      <c r="C587" t="s">
        <v>3790</v>
      </c>
      <c r="D587">
        <f>VLOOKUP($C587, Egli_UPEC_metadata_provided!$A$2:$M$826, 3, FALSE)</f>
        <v>2019</v>
      </c>
      <c r="E587" t="str">
        <f>VLOOKUP($C587, Egli_UPEC_metadata_provided!$A$2:$M$826, 4, FALSE)</f>
        <v>C</v>
      </c>
      <c r="F587" t="str">
        <f>VLOOKUP($C587, Egli_UPEC_metadata_provided!$A$2:$M$826, 5, FALSE)</f>
        <v>w</v>
      </c>
      <c r="G587">
        <f>VLOOKUP($C587, Egli_UPEC_metadata_provided!$A$2:$M$826, 6, FALSE)</f>
        <v>0</v>
      </c>
      <c r="H587">
        <f>VLOOKUP($C587, Egli_UPEC_metadata_provided!$A$2:$M$826, 7, FALSE)</f>
        <v>0</v>
      </c>
      <c r="I587">
        <f>VLOOKUP($C587, Egli_UPEC_metadata_provided!$A$2:$M$826, 8, FALSE)</f>
        <v>23.308270676691698</v>
      </c>
      <c r="J587" t="b">
        <f>VLOOKUP($C587, Egli_UPEC_metadata_provided!$A$2:$M$826, 9, FALSE)</f>
        <v>0</v>
      </c>
      <c r="K587">
        <f>VLOOKUP($C587, Egli_UPEC_metadata_provided!$A$2:$M$826, 10, FALSE)</f>
        <v>0</v>
      </c>
      <c r="L587" t="str">
        <f>VLOOKUP($C587, Egli_UPEC_metadata_provided!$A$2:$M$826, 11, FALSE)</f>
        <v>non-invasive</v>
      </c>
      <c r="M587">
        <f>VLOOKUP($C587, Egli_UPEC_metadata_provided!$A$2:$M$826, 12, FALSE)</f>
        <v>1</v>
      </c>
      <c r="N587">
        <f>VLOOKUP($C587, Egli_UPEC_metadata_provided!$A$2:$M$826, 13, FALSE)</f>
        <v>0</v>
      </c>
      <c r="O587">
        <f>VLOOKUP($C587, Egli_UPEC_metadata_provided!$A$2:$N$826, 14, FALSE)</f>
        <v>0</v>
      </c>
    </row>
    <row r="588" spans="1:15" x14ac:dyDescent="0.2">
      <c r="A588" t="s">
        <v>556</v>
      </c>
      <c r="B588" t="s">
        <v>3791</v>
      </c>
      <c r="C588" t="s">
        <v>3791</v>
      </c>
      <c r="D588">
        <f>VLOOKUP($C588, Egli_UPEC_metadata_provided!$A$2:$M$826, 3, FALSE)</f>
        <v>2019</v>
      </c>
      <c r="E588" t="str">
        <f>VLOOKUP($C588, Egli_UPEC_metadata_provided!$A$2:$M$826, 4, FALSE)</f>
        <v>A</v>
      </c>
      <c r="F588" t="str">
        <f>VLOOKUP($C588, Egli_UPEC_metadata_provided!$A$2:$M$826, 5, FALSE)</f>
        <v>w</v>
      </c>
      <c r="G588">
        <f>VLOOKUP($C588, Egli_UPEC_metadata_provided!$A$2:$M$826, 6, FALSE)</f>
        <v>1</v>
      </c>
      <c r="H588">
        <f>VLOOKUP($C588, Egli_UPEC_metadata_provided!$A$2:$M$826, 7, FALSE)</f>
        <v>3</v>
      </c>
      <c r="I588">
        <f>VLOOKUP($C588, Egli_UPEC_metadata_provided!$A$2:$M$826, 8, FALSE)</f>
        <v>72.576896787423095</v>
      </c>
      <c r="J588" t="b">
        <f>VLOOKUP($C588, Egli_UPEC_metadata_provided!$A$2:$M$826, 9, FALSE)</f>
        <v>0</v>
      </c>
      <c r="K588">
        <f>VLOOKUP($C588, Egli_UPEC_metadata_provided!$A$2:$M$826, 10, FALSE)</f>
        <v>0</v>
      </c>
      <c r="L588" t="str">
        <f>VLOOKUP($C588, Egli_UPEC_metadata_provided!$A$2:$M$826, 11, FALSE)</f>
        <v>invasive</v>
      </c>
      <c r="M588">
        <f>VLOOKUP($C588, Egli_UPEC_metadata_provided!$A$2:$M$826, 12, FALSE)</f>
        <v>0</v>
      </c>
      <c r="N588">
        <f>VLOOKUP($C588, Egli_UPEC_metadata_provided!$A$2:$M$826, 13, FALSE)</f>
        <v>0</v>
      </c>
      <c r="O588">
        <f>VLOOKUP($C588, Egli_UPEC_metadata_provided!$A$2:$N$826, 14, FALSE)</f>
        <v>0</v>
      </c>
    </row>
    <row r="589" spans="1:15" x14ac:dyDescent="0.2">
      <c r="A589" t="s">
        <v>557</v>
      </c>
      <c r="B589" t="s">
        <v>3792</v>
      </c>
      <c r="C589" t="s">
        <v>3792</v>
      </c>
      <c r="D589">
        <f>VLOOKUP($C589, Egli_UPEC_metadata_provided!$A$2:$M$826, 3, FALSE)</f>
        <v>2019</v>
      </c>
      <c r="E589" t="str">
        <f>VLOOKUP($C589, Egli_UPEC_metadata_provided!$A$2:$M$826, 4, FALSE)</f>
        <v>B1</v>
      </c>
      <c r="F589" t="str">
        <f>VLOOKUP($C589, Egli_UPEC_metadata_provided!$A$2:$M$826, 5, FALSE)</f>
        <v>w</v>
      </c>
      <c r="G589">
        <f>VLOOKUP($C589, Egli_UPEC_metadata_provided!$A$2:$M$826, 6, FALSE)</f>
        <v>0</v>
      </c>
      <c r="H589">
        <f>VLOOKUP($C589, Egli_UPEC_metadata_provided!$A$2:$M$826, 7, FALSE)</f>
        <v>3</v>
      </c>
      <c r="I589">
        <f>VLOOKUP($C589, Egli_UPEC_metadata_provided!$A$2:$M$826, 8, FALSE)</f>
        <v>80.926862611073105</v>
      </c>
      <c r="J589" t="b">
        <f>VLOOKUP($C589, Egli_UPEC_metadata_provided!$A$2:$M$826, 9, FALSE)</f>
        <v>0</v>
      </c>
      <c r="K589">
        <f>VLOOKUP($C589, Egli_UPEC_metadata_provided!$A$2:$M$826, 10, FALSE)</f>
        <v>0</v>
      </c>
      <c r="L589" t="str">
        <f>VLOOKUP($C589, Egli_UPEC_metadata_provided!$A$2:$M$826, 11, FALSE)</f>
        <v>non-invasive</v>
      </c>
      <c r="M589">
        <f>VLOOKUP($C589, Egli_UPEC_metadata_provided!$A$2:$M$826, 12, FALSE)</f>
        <v>0</v>
      </c>
      <c r="N589">
        <f>VLOOKUP($C589, Egli_UPEC_metadata_provided!$A$2:$M$826, 13, FALSE)</f>
        <v>0</v>
      </c>
      <c r="O589">
        <f>VLOOKUP($C589, Egli_UPEC_metadata_provided!$A$2:$N$826, 14, FALSE)</f>
        <v>1</v>
      </c>
    </row>
    <row r="590" spans="1:15" x14ac:dyDescent="0.2">
      <c r="A590" t="s">
        <v>558</v>
      </c>
      <c r="B590" t="s">
        <v>3793</v>
      </c>
      <c r="C590" t="s">
        <v>3793</v>
      </c>
      <c r="D590">
        <f>VLOOKUP($C590, Egli_UPEC_metadata_provided!$A$2:$M$826, 3, FALSE)</f>
        <v>2019</v>
      </c>
      <c r="E590" t="str">
        <f>VLOOKUP($C590, Egli_UPEC_metadata_provided!$A$2:$M$826, 4, FALSE)</f>
        <v>C</v>
      </c>
      <c r="F590" t="str">
        <f>VLOOKUP($C590, Egli_UPEC_metadata_provided!$A$2:$M$826, 5, FALSE)</f>
        <v>w</v>
      </c>
      <c r="G590">
        <f>VLOOKUP($C590, Egli_UPEC_metadata_provided!$A$2:$M$826, 6, FALSE)</f>
        <v>0</v>
      </c>
      <c r="H590">
        <f>VLOOKUP($C590, Egli_UPEC_metadata_provided!$A$2:$M$826, 7, FALSE)</f>
        <v>4</v>
      </c>
      <c r="I590">
        <f>VLOOKUP($C590, Egli_UPEC_metadata_provided!$A$2:$M$826, 8, FALSE)</f>
        <v>90.991114149008894</v>
      </c>
      <c r="J590" t="b">
        <f>VLOOKUP($C590, Egli_UPEC_metadata_provided!$A$2:$M$826, 9, FALSE)</f>
        <v>0</v>
      </c>
      <c r="K590">
        <f>VLOOKUP($C590, Egli_UPEC_metadata_provided!$A$2:$M$826, 10, FALSE)</f>
        <v>0</v>
      </c>
      <c r="L590" t="str">
        <f>VLOOKUP($C590, Egli_UPEC_metadata_provided!$A$2:$M$826, 11, FALSE)</f>
        <v>non-invasive</v>
      </c>
      <c r="M590">
        <f>VLOOKUP($C590, Egli_UPEC_metadata_provided!$A$2:$M$826, 12, FALSE)</f>
        <v>0</v>
      </c>
      <c r="N590">
        <f>VLOOKUP($C590, Egli_UPEC_metadata_provided!$A$2:$M$826, 13, FALSE)</f>
        <v>0</v>
      </c>
      <c r="O590">
        <f>VLOOKUP($C590, Egli_UPEC_metadata_provided!$A$2:$N$826, 14, FALSE)</f>
        <v>1</v>
      </c>
    </row>
    <row r="591" spans="1:15" x14ac:dyDescent="0.2">
      <c r="A591" t="s">
        <v>559</v>
      </c>
      <c r="B591" t="s">
        <v>3794</v>
      </c>
      <c r="C591" t="s">
        <v>3794</v>
      </c>
      <c r="D591">
        <f>VLOOKUP($C591, Egli_UPEC_metadata_provided!$A$2:$M$826, 3, FALSE)</f>
        <v>2019</v>
      </c>
      <c r="E591" t="str">
        <f>VLOOKUP($C591, Egli_UPEC_metadata_provided!$A$2:$M$826, 4, FALSE)</f>
        <v>B1</v>
      </c>
      <c r="F591" t="str">
        <f>VLOOKUP($C591, Egli_UPEC_metadata_provided!$A$2:$M$826, 5, FALSE)</f>
        <v>w</v>
      </c>
      <c r="G591">
        <f>VLOOKUP($C591, Egli_UPEC_metadata_provided!$A$2:$M$826, 6, FALSE)</f>
        <v>0</v>
      </c>
      <c r="H591">
        <f>VLOOKUP($C591, Egli_UPEC_metadata_provided!$A$2:$M$826, 7, FALSE)</f>
        <v>0</v>
      </c>
      <c r="I591">
        <f>VLOOKUP($C591, Egli_UPEC_metadata_provided!$A$2:$M$826, 8, FALSE)</f>
        <v>71.239917976760097</v>
      </c>
      <c r="J591" t="b">
        <f>VLOOKUP($C591, Egli_UPEC_metadata_provided!$A$2:$M$826, 9, FALSE)</f>
        <v>0</v>
      </c>
      <c r="K591" t="str">
        <f>VLOOKUP($C591, Egli_UPEC_metadata_provided!$A$2:$M$826, 10, FALSE)</f>
        <v>NA</v>
      </c>
      <c r="L591" t="str">
        <f>VLOOKUP($C591, Egli_UPEC_metadata_provided!$A$2:$M$826, 11, FALSE)</f>
        <v>non-invasive</v>
      </c>
      <c r="M591">
        <f>VLOOKUP($C591, Egli_UPEC_metadata_provided!$A$2:$M$826, 12, FALSE)</f>
        <v>0</v>
      </c>
      <c r="N591">
        <f>VLOOKUP($C591, Egli_UPEC_metadata_provided!$A$2:$M$826, 13, FALSE)</f>
        <v>0</v>
      </c>
      <c r="O591">
        <f>VLOOKUP($C591, Egli_UPEC_metadata_provided!$A$2:$N$826, 14, FALSE)</f>
        <v>0</v>
      </c>
    </row>
    <row r="592" spans="1:15" x14ac:dyDescent="0.2">
      <c r="A592" t="s">
        <v>560</v>
      </c>
      <c r="B592" t="s">
        <v>3795</v>
      </c>
      <c r="C592" t="s">
        <v>3795</v>
      </c>
      <c r="D592">
        <f>VLOOKUP($C592, Egli_UPEC_metadata_provided!$A$2:$M$826, 3, FALSE)</f>
        <v>2019</v>
      </c>
      <c r="E592" t="str">
        <f>VLOOKUP($C592, Egli_UPEC_metadata_provided!$A$2:$M$826, 4, FALSE)</f>
        <v>B2-1</v>
      </c>
      <c r="F592" t="str">
        <f>VLOOKUP($C592, Egli_UPEC_metadata_provided!$A$2:$M$826, 5, FALSE)</f>
        <v>w</v>
      </c>
      <c r="G592">
        <f>VLOOKUP($C592, Egli_UPEC_metadata_provided!$A$2:$M$826, 6, FALSE)</f>
        <v>0</v>
      </c>
      <c r="H592">
        <f>VLOOKUP($C592, Egli_UPEC_metadata_provided!$A$2:$M$826, 7, FALSE)</f>
        <v>2</v>
      </c>
      <c r="I592">
        <f>VLOOKUP($C592, Egli_UPEC_metadata_provided!$A$2:$M$826, 8, FALSE)</f>
        <v>86.917293233082702</v>
      </c>
      <c r="J592" t="b">
        <f>VLOOKUP($C592, Egli_UPEC_metadata_provided!$A$2:$M$826, 9, FALSE)</f>
        <v>0</v>
      </c>
      <c r="K592">
        <f>VLOOKUP($C592, Egli_UPEC_metadata_provided!$A$2:$M$826, 10, FALSE)</f>
        <v>0</v>
      </c>
      <c r="L592" t="str">
        <f>VLOOKUP($C592, Egli_UPEC_metadata_provided!$A$2:$M$826, 11, FALSE)</f>
        <v>non-invasive</v>
      </c>
      <c r="M592">
        <f>VLOOKUP($C592, Egli_UPEC_metadata_provided!$A$2:$M$826, 12, FALSE)</f>
        <v>0</v>
      </c>
      <c r="N592">
        <f>VLOOKUP($C592, Egli_UPEC_metadata_provided!$A$2:$M$826, 13, FALSE)</f>
        <v>0</v>
      </c>
      <c r="O592">
        <f>VLOOKUP($C592, Egli_UPEC_metadata_provided!$A$2:$N$826, 14, FALSE)</f>
        <v>1</v>
      </c>
    </row>
    <row r="593" spans="1:15" x14ac:dyDescent="0.2">
      <c r="A593" t="s">
        <v>561</v>
      </c>
      <c r="B593" t="s">
        <v>3796</v>
      </c>
      <c r="C593" t="s">
        <v>3796</v>
      </c>
      <c r="D593">
        <f>VLOOKUP($C593, Egli_UPEC_metadata_provided!$A$2:$M$826, 3, FALSE)</f>
        <v>2019</v>
      </c>
      <c r="E593" t="str">
        <f>VLOOKUP($C593, Egli_UPEC_metadata_provided!$A$2:$M$826, 4, FALSE)</f>
        <v>B2-2</v>
      </c>
      <c r="F593" t="str">
        <f>VLOOKUP($C593, Egli_UPEC_metadata_provided!$A$2:$M$826, 5, FALSE)</f>
        <v>w</v>
      </c>
      <c r="G593">
        <f>VLOOKUP($C593, Egli_UPEC_metadata_provided!$A$2:$M$826, 6, FALSE)</f>
        <v>0</v>
      </c>
      <c r="H593">
        <f>VLOOKUP($C593, Egli_UPEC_metadata_provided!$A$2:$M$826, 7, FALSE)</f>
        <v>2</v>
      </c>
      <c r="I593">
        <f>VLOOKUP($C593, Egli_UPEC_metadata_provided!$A$2:$M$826, 8, FALSE)</f>
        <v>74.135338345864696</v>
      </c>
      <c r="J593" t="b">
        <f>VLOOKUP($C593, Egli_UPEC_metadata_provided!$A$2:$M$826, 9, FALSE)</f>
        <v>0</v>
      </c>
      <c r="K593">
        <f>VLOOKUP($C593, Egli_UPEC_metadata_provided!$A$2:$M$826, 10, FALSE)</f>
        <v>0</v>
      </c>
      <c r="L593" t="str">
        <f>VLOOKUP($C593, Egli_UPEC_metadata_provided!$A$2:$M$826, 11, FALSE)</f>
        <v>non-invasive</v>
      </c>
      <c r="M593">
        <f>VLOOKUP($C593, Egli_UPEC_metadata_provided!$A$2:$M$826, 12, FALSE)</f>
        <v>1</v>
      </c>
      <c r="N593">
        <f>VLOOKUP($C593, Egli_UPEC_metadata_provided!$A$2:$M$826, 13, FALSE)</f>
        <v>0</v>
      </c>
      <c r="O593">
        <f>VLOOKUP($C593, Egli_UPEC_metadata_provided!$A$2:$N$826, 14, FALSE)</f>
        <v>0</v>
      </c>
    </row>
    <row r="594" spans="1:15" x14ac:dyDescent="0.2">
      <c r="A594" t="s">
        <v>562</v>
      </c>
      <c r="B594" t="s">
        <v>3797</v>
      </c>
      <c r="C594" t="s">
        <v>3797</v>
      </c>
      <c r="D594">
        <f>VLOOKUP($C594, Egli_UPEC_metadata_provided!$A$2:$M$826, 3, FALSE)</f>
        <v>2019</v>
      </c>
      <c r="E594" t="str">
        <f>VLOOKUP($C594, Egli_UPEC_metadata_provided!$A$2:$M$826, 4, FALSE)</f>
        <v>B2-2</v>
      </c>
      <c r="F594" t="str">
        <f>VLOOKUP($C594, Egli_UPEC_metadata_provided!$A$2:$M$826, 5, FALSE)</f>
        <v>w</v>
      </c>
      <c r="G594">
        <f>VLOOKUP($C594, Egli_UPEC_metadata_provided!$A$2:$M$826, 6, FALSE)</f>
        <v>0</v>
      </c>
      <c r="H594">
        <f>VLOOKUP($C594, Egli_UPEC_metadata_provided!$A$2:$M$826, 7, FALSE)</f>
        <v>3</v>
      </c>
      <c r="I594">
        <f>VLOOKUP($C594, Egli_UPEC_metadata_provided!$A$2:$M$826, 8, FALSE)</f>
        <v>77.454545454545496</v>
      </c>
      <c r="J594" t="b">
        <f>VLOOKUP($C594, Egli_UPEC_metadata_provided!$A$2:$M$826, 9, FALSE)</f>
        <v>1</v>
      </c>
      <c r="K594">
        <f>VLOOKUP($C594, Egli_UPEC_metadata_provided!$A$2:$M$826, 10, FALSE)</f>
        <v>0</v>
      </c>
      <c r="L594" t="str">
        <f>VLOOKUP($C594, Egli_UPEC_metadata_provided!$A$2:$M$826, 11, FALSE)</f>
        <v>non-invasive</v>
      </c>
      <c r="M594">
        <f>VLOOKUP($C594, Egli_UPEC_metadata_provided!$A$2:$M$826, 12, FALSE)</f>
        <v>1</v>
      </c>
      <c r="N594">
        <f>VLOOKUP($C594, Egli_UPEC_metadata_provided!$A$2:$M$826, 13, FALSE)</f>
        <v>0</v>
      </c>
      <c r="O594">
        <f>VLOOKUP($C594, Egli_UPEC_metadata_provided!$A$2:$N$826, 14, FALSE)</f>
        <v>1</v>
      </c>
    </row>
    <row r="595" spans="1:15" x14ac:dyDescent="0.2">
      <c r="A595" t="s">
        <v>563</v>
      </c>
      <c r="B595" t="s">
        <v>3798</v>
      </c>
      <c r="C595" t="s">
        <v>3798</v>
      </c>
      <c r="D595">
        <f>VLOOKUP($C595, Egli_UPEC_metadata_provided!$A$2:$M$826, 3, FALSE)</f>
        <v>2019</v>
      </c>
      <c r="E595" t="str">
        <f>VLOOKUP($C595, Egli_UPEC_metadata_provided!$A$2:$M$826, 4, FALSE)</f>
        <v>B2-1</v>
      </c>
      <c r="F595" t="str">
        <f>VLOOKUP($C595, Egli_UPEC_metadata_provided!$A$2:$M$826, 5, FALSE)</f>
        <v>w</v>
      </c>
      <c r="G595">
        <f>VLOOKUP($C595, Egli_UPEC_metadata_provided!$A$2:$M$826, 6, FALSE)</f>
        <v>0</v>
      </c>
      <c r="H595">
        <f>VLOOKUP($C595, Egli_UPEC_metadata_provided!$A$2:$M$826, 7, FALSE)</f>
        <v>1</v>
      </c>
      <c r="I595">
        <f>VLOOKUP($C595, Egli_UPEC_metadata_provided!$A$2:$M$826, 8, FALSE)</f>
        <v>86.966507177033506</v>
      </c>
      <c r="J595" t="b">
        <f>VLOOKUP($C595, Egli_UPEC_metadata_provided!$A$2:$M$826, 9, FALSE)</f>
        <v>0</v>
      </c>
      <c r="K595">
        <f>VLOOKUP($C595, Egli_UPEC_metadata_provided!$A$2:$M$826, 10, FALSE)</f>
        <v>0</v>
      </c>
      <c r="L595" t="str">
        <f>VLOOKUP($C595, Egli_UPEC_metadata_provided!$A$2:$M$826, 11, FALSE)</f>
        <v>non-invasive</v>
      </c>
      <c r="M595">
        <f>VLOOKUP($C595, Egli_UPEC_metadata_provided!$A$2:$M$826, 12, FALSE)</f>
        <v>0</v>
      </c>
      <c r="N595">
        <f>VLOOKUP($C595, Egli_UPEC_metadata_provided!$A$2:$M$826, 13, FALSE)</f>
        <v>0</v>
      </c>
      <c r="O595">
        <f>VLOOKUP($C595, Egli_UPEC_metadata_provided!$A$2:$N$826, 14, FALSE)</f>
        <v>0</v>
      </c>
    </row>
    <row r="596" spans="1:15" x14ac:dyDescent="0.2">
      <c r="A596" t="s">
        <v>564</v>
      </c>
      <c r="B596" t="s">
        <v>3799</v>
      </c>
      <c r="C596" t="s">
        <v>3799</v>
      </c>
      <c r="D596">
        <f>VLOOKUP($C596, Egli_UPEC_metadata_provided!$A$2:$M$826, 3, FALSE)</f>
        <v>2019</v>
      </c>
      <c r="E596" t="str">
        <f>VLOOKUP($C596, Egli_UPEC_metadata_provided!$A$2:$M$826, 4, FALSE)</f>
        <v>B2-2</v>
      </c>
      <c r="F596" t="str">
        <f>VLOOKUP($C596, Egli_UPEC_metadata_provided!$A$2:$M$826, 5, FALSE)</f>
        <v>m</v>
      </c>
      <c r="G596">
        <f>VLOOKUP($C596, Egli_UPEC_metadata_provided!$A$2:$M$826, 6, FALSE)</f>
        <v>0</v>
      </c>
      <c r="H596">
        <f>VLOOKUP($C596, Egli_UPEC_metadata_provided!$A$2:$M$826, 7, FALSE)</f>
        <v>1</v>
      </c>
      <c r="I596">
        <f>VLOOKUP($C596, Egli_UPEC_metadata_provided!$A$2:$M$826, 8, FALSE)</f>
        <v>78.436090225563902</v>
      </c>
      <c r="J596" t="b">
        <f>VLOOKUP($C596, Egli_UPEC_metadata_provided!$A$2:$M$826, 9, FALSE)</f>
        <v>0</v>
      </c>
      <c r="K596">
        <f>VLOOKUP($C596, Egli_UPEC_metadata_provided!$A$2:$M$826, 10, FALSE)</f>
        <v>0</v>
      </c>
      <c r="L596" t="str">
        <f>VLOOKUP($C596, Egli_UPEC_metadata_provided!$A$2:$M$826, 11, FALSE)</f>
        <v>non-invasive</v>
      </c>
      <c r="M596">
        <f>VLOOKUP($C596, Egli_UPEC_metadata_provided!$A$2:$M$826, 12, FALSE)</f>
        <v>0</v>
      </c>
      <c r="N596">
        <f>VLOOKUP($C596, Egli_UPEC_metadata_provided!$A$2:$M$826, 13, FALSE)</f>
        <v>0</v>
      </c>
      <c r="O596">
        <f>VLOOKUP($C596, Egli_UPEC_metadata_provided!$A$2:$N$826, 14, FALSE)</f>
        <v>0</v>
      </c>
    </row>
    <row r="597" spans="1:15" x14ac:dyDescent="0.2">
      <c r="A597" t="s">
        <v>565</v>
      </c>
      <c r="B597" t="s">
        <v>3800</v>
      </c>
      <c r="C597" t="s">
        <v>3800</v>
      </c>
      <c r="D597">
        <f>VLOOKUP($C597, Egli_UPEC_metadata_provided!$A$2:$M$826, 3, FALSE)</f>
        <v>2019</v>
      </c>
      <c r="E597" t="str">
        <f>VLOOKUP($C597, Egli_UPEC_metadata_provided!$A$2:$M$826, 4, FALSE)</f>
        <v>B1</v>
      </c>
      <c r="F597" t="str">
        <f>VLOOKUP($C597, Egli_UPEC_metadata_provided!$A$2:$M$826, 5, FALSE)</f>
        <v>m</v>
      </c>
      <c r="G597">
        <f>VLOOKUP($C597, Egli_UPEC_metadata_provided!$A$2:$M$826, 6, FALSE)</f>
        <v>0</v>
      </c>
      <c r="H597">
        <f>VLOOKUP($C597, Egli_UPEC_metadata_provided!$A$2:$M$826, 7, FALSE)</f>
        <v>3</v>
      </c>
      <c r="I597">
        <f>VLOOKUP($C597, Egli_UPEC_metadata_provided!$A$2:$M$826, 8, FALSE)</f>
        <v>80.899521531100504</v>
      </c>
      <c r="J597" t="b">
        <f>VLOOKUP($C597, Egli_UPEC_metadata_provided!$A$2:$M$826, 9, FALSE)</f>
        <v>0</v>
      </c>
      <c r="K597">
        <f>VLOOKUP($C597, Egli_UPEC_metadata_provided!$A$2:$M$826, 10, FALSE)</f>
        <v>0</v>
      </c>
      <c r="L597" t="str">
        <f>VLOOKUP($C597, Egli_UPEC_metadata_provided!$A$2:$M$826, 11, FALSE)</f>
        <v>non-invasive</v>
      </c>
      <c r="M597">
        <f>VLOOKUP($C597, Egli_UPEC_metadata_provided!$A$2:$M$826, 12, FALSE)</f>
        <v>0</v>
      </c>
      <c r="N597">
        <f>VLOOKUP($C597, Egli_UPEC_metadata_provided!$A$2:$M$826, 13, FALSE)</f>
        <v>1</v>
      </c>
      <c r="O597">
        <f>VLOOKUP($C597, Egli_UPEC_metadata_provided!$A$2:$N$826, 14, FALSE)</f>
        <v>0</v>
      </c>
    </row>
    <row r="598" spans="1:15" x14ac:dyDescent="0.2">
      <c r="A598" t="s">
        <v>566</v>
      </c>
      <c r="B598" t="s">
        <v>3801</v>
      </c>
      <c r="C598" t="s">
        <v>3801</v>
      </c>
      <c r="D598">
        <f>VLOOKUP($C598, Egli_UPEC_metadata_provided!$A$2:$M$826, 3, FALSE)</f>
        <v>2019</v>
      </c>
      <c r="E598" t="str">
        <f>VLOOKUP($C598, Egli_UPEC_metadata_provided!$A$2:$M$826, 4, FALSE)</f>
        <v>B1</v>
      </c>
      <c r="F598" t="str">
        <f>VLOOKUP($C598, Egli_UPEC_metadata_provided!$A$2:$M$826, 5, FALSE)</f>
        <v>w</v>
      </c>
      <c r="G598">
        <f>VLOOKUP($C598, Egli_UPEC_metadata_provided!$A$2:$M$826, 6, FALSE)</f>
        <v>0</v>
      </c>
      <c r="H598">
        <f>VLOOKUP($C598, Egli_UPEC_metadata_provided!$A$2:$M$826, 7, FALSE)</f>
        <v>3</v>
      </c>
      <c r="I598">
        <f>VLOOKUP($C598, Egli_UPEC_metadata_provided!$A$2:$M$826, 8, FALSE)</f>
        <v>73.9002050580998</v>
      </c>
      <c r="J598" t="b">
        <f>VLOOKUP($C598, Egli_UPEC_metadata_provided!$A$2:$M$826, 9, FALSE)</f>
        <v>0</v>
      </c>
      <c r="K598">
        <f>VLOOKUP($C598, Egli_UPEC_metadata_provided!$A$2:$M$826, 10, FALSE)</f>
        <v>0</v>
      </c>
      <c r="L598" t="str">
        <f>VLOOKUP($C598, Egli_UPEC_metadata_provided!$A$2:$M$826, 11, FALSE)</f>
        <v>invasive</v>
      </c>
      <c r="M598">
        <f>VLOOKUP($C598, Egli_UPEC_metadata_provided!$A$2:$M$826, 12, FALSE)</f>
        <v>0</v>
      </c>
      <c r="N598">
        <f>VLOOKUP($C598, Egli_UPEC_metadata_provided!$A$2:$M$826, 13, FALSE)</f>
        <v>0</v>
      </c>
      <c r="O598">
        <f>VLOOKUP($C598, Egli_UPEC_metadata_provided!$A$2:$N$826, 14, FALSE)</f>
        <v>1</v>
      </c>
    </row>
    <row r="599" spans="1:15" x14ac:dyDescent="0.2">
      <c r="A599" t="s">
        <v>567</v>
      </c>
      <c r="B599" t="s">
        <v>3802</v>
      </c>
      <c r="C599" t="s">
        <v>3802</v>
      </c>
      <c r="D599">
        <f>VLOOKUP($C599, Egli_UPEC_metadata_provided!$A$2:$M$826, 3, FALSE)</f>
        <v>2019</v>
      </c>
      <c r="E599" t="str">
        <f>VLOOKUP($C599, Egli_UPEC_metadata_provided!$A$2:$M$826, 4, FALSE)</f>
        <v>B2-2</v>
      </c>
      <c r="F599" t="str">
        <f>VLOOKUP($C599, Egli_UPEC_metadata_provided!$A$2:$M$826, 5, FALSE)</f>
        <v>w</v>
      </c>
      <c r="G599">
        <f>VLOOKUP($C599, Egli_UPEC_metadata_provided!$A$2:$M$826, 6, FALSE)</f>
        <v>0</v>
      </c>
      <c r="H599">
        <f>VLOOKUP($C599, Egli_UPEC_metadata_provided!$A$2:$M$826, 7, FALSE)</f>
        <v>2</v>
      </c>
      <c r="I599">
        <f>VLOOKUP($C599, Egli_UPEC_metadata_provided!$A$2:$M$826, 8, FALSE)</f>
        <v>86.714969241285004</v>
      </c>
      <c r="J599" t="b">
        <f>VLOOKUP($C599, Egli_UPEC_metadata_provided!$A$2:$M$826, 9, FALSE)</f>
        <v>0</v>
      </c>
      <c r="K599">
        <f>VLOOKUP($C599, Egli_UPEC_metadata_provided!$A$2:$M$826, 10, FALSE)</f>
        <v>1</v>
      </c>
      <c r="L599" t="str">
        <f>VLOOKUP($C599, Egli_UPEC_metadata_provided!$A$2:$M$826, 11, FALSE)</f>
        <v>non-invasive</v>
      </c>
      <c r="M599">
        <f>VLOOKUP($C599, Egli_UPEC_metadata_provided!$A$2:$M$826, 12, FALSE)</f>
        <v>0</v>
      </c>
      <c r="N599">
        <f>VLOOKUP($C599, Egli_UPEC_metadata_provided!$A$2:$M$826, 13, FALSE)</f>
        <v>0</v>
      </c>
      <c r="O599">
        <f>VLOOKUP($C599, Egli_UPEC_metadata_provided!$A$2:$N$826, 14, FALSE)</f>
        <v>0</v>
      </c>
    </row>
    <row r="600" spans="1:15" x14ac:dyDescent="0.2">
      <c r="A600" t="s">
        <v>568</v>
      </c>
      <c r="B600" t="s">
        <v>3803</v>
      </c>
      <c r="C600" t="s">
        <v>3803</v>
      </c>
      <c r="D600">
        <f>VLOOKUP($C600, Egli_UPEC_metadata_provided!$A$2:$M$826, 3, FALSE)</f>
        <v>2019</v>
      </c>
      <c r="E600" t="str">
        <f>VLOOKUP($C600, Egli_UPEC_metadata_provided!$A$2:$M$826, 4, FALSE)</f>
        <v>B2-1</v>
      </c>
      <c r="F600" t="str">
        <f>VLOOKUP($C600, Egli_UPEC_metadata_provided!$A$2:$M$826, 5, FALSE)</f>
        <v>m</v>
      </c>
      <c r="G600">
        <f>VLOOKUP($C600, Egli_UPEC_metadata_provided!$A$2:$M$826, 6, FALSE)</f>
        <v>0</v>
      </c>
      <c r="H600">
        <f>VLOOKUP($C600, Egli_UPEC_metadata_provided!$A$2:$M$826, 7, FALSE)</f>
        <v>1</v>
      </c>
      <c r="I600">
        <f>VLOOKUP($C600, Egli_UPEC_metadata_provided!$A$2:$M$826, 8, FALSE)</f>
        <v>69.809979494190003</v>
      </c>
      <c r="J600" t="b">
        <f>VLOOKUP($C600, Egli_UPEC_metadata_provided!$A$2:$M$826, 9, FALSE)</f>
        <v>0</v>
      </c>
      <c r="K600">
        <f>VLOOKUP($C600, Egli_UPEC_metadata_provided!$A$2:$M$826, 10, FALSE)</f>
        <v>1</v>
      </c>
      <c r="L600" t="str">
        <f>VLOOKUP($C600, Egli_UPEC_metadata_provided!$A$2:$M$826, 11, FALSE)</f>
        <v>non-invasive</v>
      </c>
      <c r="M600">
        <f>VLOOKUP($C600, Egli_UPEC_metadata_provided!$A$2:$M$826, 12, FALSE)</f>
        <v>0</v>
      </c>
      <c r="N600">
        <f>VLOOKUP($C600, Egli_UPEC_metadata_provided!$A$2:$M$826, 13, FALSE)</f>
        <v>0</v>
      </c>
      <c r="O600">
        <f>VLOOKUP($C600, Egli_UPEC_metadata_provided!$A$2:$N$826, 14, FALSE)</f>
        <v>0</v>
      </c>
    </row>
    <row r="601" spans="1:15" x14ac:dyDescent="0.2">
      <c r="A601" t="s">
        <v>569</v>
      </c>
      <c r="B601" t="s">
        <v>3804</v>
      </c>
      <c r="C601" t="s">
        <v>3804</v>
      </c>
      <c r="D601">
        <f>VLOOKUP($C601, Egli_UPEC_metadata_provided!$A$2:$M$826, 3, FALSE)</f>
        <v>2019</v>
      </c>
      <c r="E601" t="str">
        <f>VLOOKUP($C601, Egli_UPEC_metadata_provided!$A$2:$M$826, 4, FALSE)</f>
        <v>D1</v>
      </c>
      <c r="F601" t="str">
        <f>VLOOKUP($C601, Egli_UPEC_metadata_provided!$A$2:$M$826, 5, FALSE)</f>
        <v>m</v>
      </c>
      <c r="G601">
        <f>VLOOKUP($C601, Egli_UPEC_metadata_provided!$A$2:$M$826, 6, FALSE)</f>
        <v>0</v>
      </c>
      <c r="H601">
        <f>VLOOKUP($C601, Egli_UPEC_metadata_provided!$A$2:$M$826, 7, FALSE)</f>
        <v>2</v>
      </c>
      <c r="I601">
        <f>VLOOKUP($C601, Egli_UPEC_metadata_provided!$A$2:$M$826, 8, FALSE)</f>
        <v>83.794941900205103</v>
      </c>
      <c r="J601" t="b">
        <f>VLOOKUP($C601, Egli_UPEC_metadata_provided!$A$2:$M$826, 9, FALSE)</f>
        <v>0</v>
      </c>
      <c r="K601">
        <f>VLOOKUP($C601, Egli_UPEC_metadata_provided!$A$2:$M$826, 10, FALSE)</f>
        <v>0</v>
      </c>
      <c r="L601" t="str">
        <f>VLOOKUP($C601, Egli_UPEC_metadata_provided!$A$2:$M$826, 11, FALSE)</f>
        <v>non-invasive</v>
      </c>
      <c r="M601">
        <f>VLOOKUP($C601, Egli_UPEC_metadata_provided!$A$2:$M$826, 12, FALSE)</f>
        <v>1</v>
      </c>
      <c r="N601">
        <f>VLOOKUP($C601, Egli_UPEC_metadata_provided!$A$2:$M$826, 13, FALSE)</f>
        <v>0</v>
      </c>
      <c r="O601">
        <f>VLOOKUP($C601, Egli_UPEC_metadata_provided!$A$2:$N$826, 14, FALSE)</f>
        <v>0</v>
      </c>
    </row>
    <row r="602" spans="1:15" x14ac:dyDescent="0.2">
      <c r="A602" t="s">
        <v>570</v>
      </c>
      <c r="B602" t="s">
        <v>3805</v>
      </c>
      <c r="C602" t="s">
        <v>3805</v>
      </c>
      <c r="D602">
        <f>VLOOKUP($C602, Egli_UPEC_metadata_provided!$A$2:$M$826, 3, FALSE)</f>
        <v>2019</v>
      </c>
      <c r="E602" t="str">
        <f>VLOOKUP($C602, Egli_UPEC_metadata_provided!$A$2:$M$826, 4, FALSE)</f>
        <v>B2-2</v>
      </c>
      <c r="F602" t="str">
        <f>VLOOKUP($C602, Egli_UPEC_metadata_provided!$A$2:$M$826, 5, FALSE)</f>
        <v>w</v>
      </c>
      <c r="G602">
        <f>VLOOKUP($C602, Egli_UPEC_metadata_provided!$A$2:$M$826, 6, FALSE)</f>
        <v>0</v>
      </c>
      <c r="H602">
        <f>VLOOKUP($C602, Egli_UPEC_metadata_provided!$A$2:$M$826, 7, FALSE)</f>
        <v>0</v>
      </c>
      <c r="I602">
        <f>VLOOKUP($C602, Egli_UPEC_metadata_provided!$A$2:$M$826, 8, FALSE)</f>
        <v>87.893369788106597</v>
      </c>
      <c r="J602" t="b">
        <f>VLOOKUP($C602, Egli_UPEC_metadata_provided!$A$2:$M$826, 9, FALSE)</f>
        <v>0</v>
      </c>
      <c r="K602">
        <f>VLOOKUP($C602, Egli_UPEC_metadata_provided!$A$2:$M$826, 10, FALSE)</f>
        <v>0</v>
      </c>
      <c r="L602" t="str">
        <f>VLOOKUP($C602, Egli_UPEC_metadata_provided!$A$2:$M$826, 11, FALSE)</f>
        <v>non-invasive</v>
      </c>
      <c r="M602">
        <f>VLOOKUP($C602, Egli_UPEC_metadata_provided!$A$2:$M$826, 12, FALSE)</f>
        <v>0</v>
      </c>
      <c r="N602">
        <f>VLOOKUP($C602, Egli_UPEC_metadata_provided!$A$2:$M$826, 13, FALSE)</f>
        <v>0</v>
      </c>
      <c r="O602">
        <f>VLOOKUP($C602, Egli_UPEC_metadata_provided!$A$2:$N$826, 14, FALSE)</f>
        <v>0</v>
      </c>
    </row>
    <row r="603" spans="1:15" x14ac:dyDescent="0.2">
      <c r="A603" t="s">
        <v>571</v>
      </c>
      <c r="B603" t="s">
        <v>3806</v>
      </c>
      <c r="C603" t="s">
        <v>3806</v>
      </c>
      <c r="D603">
        <f>VLOOKUP($C603, Egli_UPEC_metadata_provided!$A$2:$M$826, 3, FALSE)</f>
        <v>2019</v>
      </c>
      <c r="E603" t="str">
        <f>VLOOKUP($C603, Egli_UPEC_metadata_provided!$A$2:$M$826, 4, FALSE)</f>
        <v>B1</v>
      </c>
      <c r="F603" t="str">
        <f>VLOOKUP($C603, Egli_UPEC_metadata_provided!$A$2:$M$826, 5, FALSE)</f>
        <v>w</v>
      </c>
      <c r="G603">
        <f>VLOOKUP($C603, Egli_UPEC_metadata_provided!$A$2:$M$826, 6, FALSE)</f>
        <v>0</v>
      </c>
      <c r="H603">
        <f>VLOOKUP($C603, Egli_UPEC_metadata_provided!$A$2:$M$826, 7, FALSE)</f>
        <v>4</v>
      </c>
      <c r="I603">
        <f>VLOOKUP($C603, Egli_UPEC_metadata_provided!$A$2:$M$826, 8, FALSE)</f>
        <v>93.170198222829796</v>
      </c>
      <c r="J603" t="b">
        <f>VLOOKUP($C603, Egli_UPEC_metadata_provided!$A$2:$M$826, 9, FALSE)</f>
        <v>0</v>
      </c>
      <c r="K603">
        <f>VLOOKUP($C603, Egli_UPEC_metadata_provided!$A$2:$M$826, 10, FALSE)</f>
        <v>0</v>
      </c>
      <c r="L603" t="str">
        <f>VLOOKUP($C603, Egli_UPEC_metadata_provided!$A$2:$M$826, 11, FALSE)</f>
        <v>non-invasive</v>
      </c>
      <c r="M603">
        <f>VLOOKUP($C603, Egli_UPEC_metadata_provided!$A$2:$M$826, 12, FALSE)</f>
        <v>0</v>
      </c>
      <c r="N603">
        <f>VLOOKUP($C603, Egli_UPEC_metadata_provided!$A$2:$M$826, 13, FALSE)</f>
        <v>0</v>
      </c>
      <c r="O603">
        <f>VLOOKUP($C603, Egli_UPEC_metadata_provided!$A$2:$N$826, 14, FALSE)</f>
        <v>0</v>
      </c>
    </row>
    <row r="604" spans="1:15" x14ac:dyDescent="0.2">
      <c r="A604" t="s">
        <v>572</v>
      </c>
      <c r="B604" t="s">
        <v>3807</v>
      </c>
      <c r="C604" t="s">
        <v>3807</v>
      </c>
      <c r="D604">
        <f>VLOOKUP($C604, Egli_UPEC_metadata_provided!$A$2:$M$826, 3, FALSE)</f>
        <v>2019</v>
      </c>
      <c r="E604" t="str">
        <f>VLOOKUP($C604, Egli_UPEC_metadata_provided!$A$2:$M$826, 4, FALSE)</f>
        <v>B2-2</v>
      </c>
      <c r="F604" t="str">
        <f>VLOOKUP($C604, Egli_UPEC_metadata_provided!$A$2:$M$826, 5, FALSE)</f>
        <v>m</v>
      </c>
      <c r="G604">
        <f>VLOOKUP($C604, Egli_UPEC_metadata_provided!$A$2:$M$826, 6, FALSE)</f>
        <v>0</v>
      </c>
      <c r="H604">
        <f>VLOOKUP($C604, Egli_UPEC_metadata_provided!$A$2:$M$826, 7, FALSE)</f>
        <v>2</v>
      </c>
      <c r="I604">
        <f>VLOOKUP($C604, Egli_UPEC_metadata_provided!$A$2:$M$826, 8, FALSE)</f>
        <v>92.896787423103206</v>
      </c>
      <c r="J604" t="b">
        <f>VLOOKUP($C604, Egli_UPEC_metadata_provided!$A$2:$M$826, 9, FALSE)</f>
        <v>0</v>
      </c>
      <c r="K604">
        <f>VLOOKUP($C604, Egli_UPEC_metadata_provided!$A$2:$M$826, 10, FALSE)</f>
        <v>0</v>
      </c>
      <c r="L604" t="str">
        <f>VLOOKUP($C604, Egli_UPEC_metadata_provided!$A$2:$M$826, 11, FALSE)</f>
        <v>non-invasive</v>
      </c>
      <c r="M604">
        <f>VLOOKUP($C604, Egli_UPEC_metadata_provided!$A$2:$M$826, 12, FALSE)</f>
        <v>0</v>
      </c>
      <c r="N604">
        <f>VLOOKUP($C604, Egli_UPEC_metadata_provided!$A$2:$M$826, 13, FALSE)</f>
        <v>0</v>
      </c>
      <c r="O604">
        <f>VLOOKUP($C604, Egli_UPEC_metadata_provided!$A$2:$N$826, 14, FALSE)</f>
        <v>0</v>
      </c>
    </row>
    <row r="605" spans="1:15" x14ac:dyDescent="0.2">
      <c r="A605" t="s">
        <v>573</v>
      </c>
      <c r="B605" t="s">
        <v>3808</v>
      </c>
      <c r="C605" t="s">
        <v>3808</v>
      </c>
      <c r="D605">
        <f>VLOOKUP($C605, Egli_UPEC_metadata_provided!$A$2:$M$826, 3, FALSE)</f>
        <v>2019</v>
      </c>
      <c r="E605" t="str">
        <f>VLOOKUP($C605, Egli_UPEC_metadata_provided!$A$2:$M$826, 4, FALSE)</f>
        <v>B2-2</v>
      </c>
      <c r="F605" t="str">
        <f>VLOOKUP($C605, Egli_UPEC_metadata_provided!$A$2:$M$826, 5, FALSE)</f>
        <v>m</v>
      </c>
      <c r="G605">
        <f>VLOOKUP($C605, Egli_UPEC_metadata_provided!$A$2:$M$826, 6, FALSE)</f>
        <v>1</v>
      </c>
      <c r="H605">
        <f>VLOOKUP($C605, Egli_UPEC_metadata_provided!$A$2:$M$826, 7, FALSE)</f>
        <v>3</v>
      </c>
      <c r="I605">
        <f>VLOOKUP($C605, Egli_UPEC_metadata_provided!$A$2:$M$826, 8, FALSE)</f>
        <v>58.578263841421702</v>
      </c>
      <c r="J605" t="b">
        <f>VLOOKUP($C605, Egli_UPEC_metadata_provided!$A$2:$M$826, 9, FALSE)</f>
        <v>0</v>
      </c>
      <c r="K605">
        <f>VLOOKUP($C605, Egli_UPEC_metadata_provided!$A$2:$M$826, 10, FALSE)</f>
        <v>0</v>
      </c>
      <c r="L605" t="str">
        <f>VLOOKUP($C605, Egli_UPEC_metadata_provided!$A$2:$M$826, 11, FALSE)</f>
        <v>non-invasive</v>
      </c>
      <c r="M605">
        <f>VLOOKUP($C605, Egli_UPEC_metadata_provided!$A$2:$M$826, 12, FALSE)</f>
        <v>1</v>
      </c>
      <c r="N605">
        <f>VLOOKUP($C605, Egli_UPEC_metadata_provided!$A$2:$M$826, 13, FALSE)</f>
        <v>0</v>
      </c>
      <c r="O605">
        <f>VLOOKUP($C605, Egli_UPEC_metadata_provided!$A$2:$N$826, 14, FALSE)</f>
        <v>0</v>
      </c>
    </row>
    <row r="606" spans="1:15" x14ac:dyDescent="0.2">
      <c r="A606" t="s">
        <v>574</v>
      </c>
      <c r="B606" t="s">
        <v>3809</v>
      </c>
      <c r="C606" t="s">
        <v>3809</v>
      </c>
      <c r="D606">
        <f>VLOOKUP($C606, Egli_UPEC_metadata_provided!$A$2:$M$826, 3, FALSE)</f>
        <v>2019</v>
      </c>
      <c r="E606" t="str">
        <f>VLOOKUP($C606, Egli_UPEC_metadata_provided!$A$2:$M$826, 4, FALSE)</f>
        <v>B2-2</v>
      </c>
      <c r="F606" t="str">
        <f>VLOOKUP($C606, Egli_UPEC_metadata_provided!$A$2:$M$826, 5, FALSE)</f>
        <v>w</v>
      </c>
      <c r="G606">
        <f>VLOOKUP($C606, Egli_UPEC_metadata_provided!$A$2:$M$826, 6, FALSE)</f>
        <v>0</v>
      </c>
      <c r="H606">
        <f>VLOOKUP($C606, Egli_UPEC_metadata_provided!$A$2:$M$826, 7, FALSE)</f>
        <v>3</v>
      </c>
      <c r="I606">
        <f>VLOOKUP($C606, Egli_UPEC_metadata_provided!$A$2:$M$826, 8, FALSE)</f>
        <v>85.892002734108004</v>
      </c>
      <c r="J606" t="b">
        <f>VLOOKUP($C606, Egli_UPEC_metadata_provided!$A$2:$M$826, 9, FALSE)</f>
        <v>0</v>
      </c>
      <c r="K606">
        <f>VLOOKUP($C606, Egli_UPEC_metadata_provided!$A$2:$M$826, 10, FALSE)</f>
        <v>0</v>
      </c>
      <c r="L606" t="str">
        <f>VLOOKUP($C606, Egli_UPEC_metadata_provided!$A$2:$M$826, 11, FALSE)</f>
        <v>non-invasive</v>
      </c>
      <c r="M606">
        <f>VLOOKUP($C606, Egli_UPEC_metadata_provided!$A$2:$M$826, 12, FALSE)</f>
        <v>0</v>
      </c>
      <c r="N606">
        <f>VLOOKUP($C606, Egli_UPEC_metadata_provided!$A$2:$M$826, 13, FALSE)</f>
        <v>0</v>
      </c>
      <c r="O606">
        <f>VLOOKUP($C606, Egli_UPEC_metadata_provided!$A$2:$N$826, 14, FALSE)</f>
        <v>0</v>
      </c>
    </row>
    <row r="607" spans="1:15" x14ac:dyDescent="0.2">
      <c r="A607" t="s">
        <v>575</v>
      </c>
      <c r="B607" t="s">
        <v>3810</v>
      </c>
      <c r="C607" t="s">
        <v>3810</v>
      </c>
      <c r="D607">
        <f>VLOOKUP($C607, Egli_UPEC_metadata_provided!$A$2:$M$826, 3, FALSE)</f>
        <v>2019</v>
      </c>
      <c r="E607" t="str">
        <f>VLOOKUP($C607, Egli_UPEC_metadata_provided!$A$2:$M$826, 4, FALSE)</f>
        <v>B2-2</v>
      </c>
      <c r="F607" t="str">
        <f>VLOOKUP($C607, Egli_UPEC_metadata_provided!$A$2:$M$826, 5, FALSE)</f>
        <v>w</v>
      </c>
      <c r="G607">
        <f>VLOOKUP($C607, Egli_UPEC_metadata_provided!$A$2:$M$826, 6, FALSE)</f>
        <v>0</v>
      </c>
      <c r="H607">
        <f>VLOOKUP($C607, Egli_UPEC_metadata_provided!$A$2:$M$826, 7, FALSE)</f>
        <v>8</v>
      </c>
      <c r="I607">
        <f>VLOOKUP($C607, Egli_UPEC_metadata_provided!$A$2:$M$826, 8, FALSE)</f>
        <v>62.862611073137401</v>
      </c>
      <c r="J607" t="b">
        <f>VLOOKUP($C607, Egli_UPEC_metadata_provided!$A$2:$M$826, 9, FALSE)</f>
        <v>0</v>
      </c>
      <c r="K607">
        <f>VLOOKUP($C607, Egli_UPEC_metadata_provided!$A$2:$M$826, 10, FALSE)</f>
        <v>0</v>
      </c>
      <c r="L607" t="str">
        <f>VLOOKUP($C607, Egli_UPEC_metadata_provided!$A$2:$M$826, 11, FALSE)</f>
        <v>non-invasive</v>
      </c>
      <c r="M607">
        <f>VLOOKUP($C607, Egli_UPEC_metadata_provided!$A$2:$M$826, 12, FALSE)</f>
        <v>1</v>
      </c>
      <c r="N607">
        <f>VLOOKUP($C607, Egli_UPEC_metadata_provided!$A$2:$M$826, 13, FALSE)</f>
        <v>0</v>
      </c>
      <c r="O607">
        <f>VLOOKUP($C607, Egli_UPEC_metadata_provided!$A$2:$N$826, 14, FALSE)</f>
        <v>0</v>
      </c>
    </row>
    <row r="608" spans="1:15" x14ac:dyDescent="0.2">
      <c r="A608" t="s">
        <v>576</v>
      </c>
      <c r="B608" t="s">
        <v>3811</v>
      </c>
      <c r="C608" t="s">
        <v>3811</v>
      </c>
      <c r="D608">
        <f>VLOOKUP($C608, Egli_UPEC_metadata_provided!$A$2:$M$826, 3, FALSE)</f>
        <v>2019</v>
      </c>
      <c r="E608" t="str">
        <f>VLOOKUP($C608, Egli_UPEC_metadata_provided!$A$2:$M$826, 4, FALSE)</f>
        <v>B2-1</v>
      </c>
      <c r="F608" t="str">
        <f>VLOOKUP($C608, Egli_UPEC_metadata_provided!$A$2:$M$826, 5, FALSE)</f>
        <v>m</v>
      </c>
      <c r="G608">
        <f>VLOOKUP($C608, Egli_UPEC_metadata_provided!$A$2:$M$826, 6, FALSE)</f>
        <v>0</v>
      </c>
      <c r="H608">
        <f>VLOOKUP($C608, Egli_UPEC_metadata_provided!$A$2:$M$826, 7, FALSE)</f>
        <v>2</v>
      </c>
      <c r="I608">
        <f>VLOOKUP($C608, Egli_UPEC_metadata_provided!$A$2:$M$826, 8, FALSE)</f>
        <v>92.240601503759393</v>
      </c>
      <c r="J608" t="b">
        <f>VLOOKUP($C608, Egli_UPEC_metadata_provided!$A$2:$M$826, 9, FALSE)</f>
        <v>0</v>
      </c>
      <c r="K608">
        <f>VLOOKUP($C608, Egli_UPEC_metadata_provided!$A$2:$M$826, 10, FALSE)</f>
        <v>0</v>
      </c>
      <c r="L608" t="str">
        <f>VLOOKUP($C608, Egli_UPEC_metadata_provided!$A$2:$M$826, 11, FALSE)</f>
        <v>non-invasive</v>
      </c>
      <c r="M608">
        <f>VLOOKUP($C608, Egli_UPEC_metadata_provided!$A$2:$M$826, 12, FALSE)</f>
        <v>0</v>
      </c>
      <c r="N608">
        <f>VLOOKUP($C608, Egli_UPEC_metadata_provided!$A$2:$M$826, 13, FALSE)</f>
        <v>0</v>
      </c>
      <c r="O608">
        <f>VLOOKUP($C608, Egli_UPEC_metadata_provided!$A$2:$N$826, 14, FALSE)</f>
        <v>0</v>
      </c>
    </row>
    <row r="609" spans="1:15" x14ac:dyDescent="0.2">
      <c r="A609" t="s">
        <v>577</v>
      </c>
      <c r="B609" t="s">
        <v>3812</v>
      </c>
      <c r="C609" t="s">
        <v>3812</v>
      </c>
      <c r="D609">
        <f>VLOOKUP($C609, Egli_UPEC_metadata_provided!$A$2:$M$826, 3, FALSE)</f>
        <v>2019</v>
      </c>
      <c r="E609" t="str">
        <f>VLOOKUP($C609, Egli_UPEC_metadata_provided!$A$2:$M$826, 4, FALSE)</f>
        <v>B1</v>
      </c>
      <c r="F609" t="str">
        <f>VLOOKUP($C609, Egli_UPEC_metadata_provided!$A$2:$M$826, 5, FALSE)</f>
        <v>w</v>
      </c>
      <c r="G609">
        <f>VLOOKUP($C609, Egli_UPEC_metadata_provided!$A$2:$M$826, 6, FALSE)</f>
        <v>0</v>
      </c>
      <c r="H609">
        <f>VLOOKUP($C609, Egli_UPEC_metadata_provided!$A$2:$M$826, 7, FALSE)</f>
        <v>4</v>
      </c>
      <c r="I609">
        <f>VLOOKUP($C609, Egli_UPEC_metadata_provided!$A$2:$M$826, 8, FALSE)</f>
        <v>80.328092959671906</v>
      </c>
      <c r="J609" t="b">
        <f>VLOOKUP($C609, Egli_UPEC_metadata_provided!$A$2:$M$826, 9, FALSE)</f>
        <v>0</v>
      </c>
      <c r="K609">
        <f>VLOOKUP($C609, Egli_UPEC_metadata_provided!$A$2:$M$826, 10, FALSE)</f>
        <v>0</v>
      </c>
      <c r="L609" t="str">
        <f>VLOOKUP($C609, Egli_UPEC_metadata_provided!$A$2:$M$826, 11, FALSE)</f>
        <v>non-invasive</v>
      </c>
      <c r="M609">
        <f>VLOOKUP($C609, Egli_UPEC_metadata_provided!$A$2:$M$826, 12, FALSE)</f>
        <v>0</v>
      </c>
      <c r="N609">
        <f>VLOOKUP($C609, Egli_UPEC_metadata_provided!$A$2:$M$826, 13, FALSE)</f>
        <v>0</v>
      </c>
      <c r="O609">
        <f>VLOOKUP($C609, Egli_UPEC_metadata_provided!$A$2:$N$826, 14, FALSE)</f>
        <v>0</v>
      </c>
    </row>
    <row r="610" spans="1:15" x14ac:dyDescent="0.2">
      <c r="A610" t="s">
        <v>578</v>
      </c>
      <c r="B610" t="s">
        <v>3813</v>
      </c>
      <c r="C610" t="s">
        <v>3813</v>
      </c>
      <c r="D610">
        <f>VLOOKUP($C610, Egli_UPEC_metadata_provided!$A$2:$M$826, 3, FALSE)</f>
        <v>2019</v>
      </c>
      <c r="E610" t="str">
        <f>VLOOKUP($C610, Egli_UPEC_metadata_provided!$A$2:$M$826, 4, FALSE)</f>
        <v>D1</v>
      </c>
      <c r="F610" t="str">
        <f>VLOOKUP($C610, Egli_UPEC_metadata_provided!$A$2:$M$826, 5, FALSE)</f>
        <v>w</v>
      </c>
      <c r="G610">
        <f>VLOOKUP($C610, Egli_UPEC_metadata_provided!$A$2:$M$826, 6, FALSE)</f>
        <v>0</v>
      </c>
      <c r="H610">
        <f>VLOOKUP($C610, Egli_UPEC_metadata_provided!$A$2:$M$826, 7, FALSE)</f>
        <v>0</v>
      </c>
      <c r="I610">
        <f>VLOOKUP($C610, Egli_UPEC_metadata_provided!$A$2:$M$826, 8, FALSE)</f>
        <v>25.607655502392301</v>
      </c>
      <c r="J610" t="b">
        <f>VLOOKUP($C610, Egli_UPEC_metadata_provided!$A$2:$M$826, 9, FALSE)</f>
        <v>0</v>
      </c>
      <c r="K610">
        <f>VLOOKUP($C610, Egli_UPEC_metadata_provided!$A$2:$M$826, 10, FALSE)</f>
        <v>0</v>
      </c>
      <c r="L610" t="str">
        <f>VLOOKUP($C610, Egli_UPEC_metadata_provided!$A$2:$M$826, 11, FALSE)</f>
        <v>non-invasive</v>
      </c>
      <c r="M610">
        <f>VLOOKUP($C610, Egli_UPEC_metadata_provided!$A$2:$M$826, 12, FALSE)</f>
        <v>0</v>
      </c>
      <c r="N610">
        <f>VLOOKUP($C610, Egli_UPEC_metadata_provided!$A$2:$M$826, 13, FALSE)</f>
        <v>0</v>
      </c>
      <c r="O610">
        <f>VLOOKUP($C610, Egli_UPEC_metadata_provided!$A$2:$N$826, 14, FALSE)</f>
        <v>0</v>
      </c>
    </row>
    <row r="611" spans="1:15" x14ac:dyDescent="0.2">
      <c r="A611" t="s">
        <v>579</v>
      </c>
      <c r="B611" t="s">
        <v>3814</v>
      </c>
      <c r="C611" t="s">
        <v>3814</v>
      </c>
      <c r="D611">
        <f>VLOOKUP($C611, Egli_UPEC_metadata_provided!$A$2:$M$826, 3, FALSE)</f>
        <v>2019</v>
      </c>
      <c r="E611" t="str">
        <f>VLOOKUP($C611, Egli_UPEC_metadata_provided!$A$2:$M$826, 4, FALSE)</f>
        <v>A</v>
      </c>
      <c r="F611" t="str">
        <f>VLOOKUP($C611, Egli_UPEC_metadata_provided!$A$2:$M$826, 5, FALSE)</f>
        <v>w</v>
      </c>
      <c r="G611">
        <f>VLOOKUP($C611, Egli_UPEC_metadata_provided!$A$2:$M$826, 6, FALSE)</f>
        <v>0</v>
      </c>
      <c r="H611">
        <f>VLOOKUP($C611, Egli_UPEC_metadata_provided!$A$2:$M$826, 7, FALSE)</f>
        <v>3</v>
      </c>
      <c r="I611">
        <f>VLOOKUP($C611, Egli_UPEC_metadata_provided!$A$2:$M$826, 8, FALSE)</f>
        <v>84.016404647983606</v>
      </c>
      <c r="J611" t="b">
        <f>VLOOKUP($C611, Egli_UPEC_metadata_provided!$A$2:$M$826, 9, FALSE)</f>
        <v>0</v>
      </c>
      <c r="K611">
        <f>VLOOKUP($C611, Egli_UPEC_metadata_provided!$A$2:$M$826, 10, FALSE)</f>
        <v>0</v>
      </c>
      <c r="L611" t="str">
        <f>VLOOKUP($C611, Egli_UPEC_metadata_provided!$A$2:$M$826, 11, FALSE)</f>
        <v>non-invasive</v>
      </c>
      <c r="M611">
        <f>VLOOKUP($C611, Egli_UPEC_metadata_provided!$A$2:$M$826, 12, FALSE)</f>
        <v>0</v>
      </c>
      <c r="N611">
        <f>VLOOKUP($C611, Egli_UPEC_metadata_provided!$A$2:$M$826, 13, FALSE)</f>
        <v>0</v>
      </c>
      <c r="O611">
        <f>VLOOKUP($C611, Egli_UPEC_metadata_provided!$A$2:$N$826, 14, FALSE)</f>
        <v>0</v>
      </c>
    </row>
    <row r="612" spans="1:15" x14ac:dyDescent="0.2">
      <c r="A612" t="s">
        <v>580</v>
      </c>
      <c r="B612" t="s">
        <v>3815</v>
      </c>
      <c r="C612" t="s">
        <v>3815</v>
      </c>
      <c r="D612">
        <f>VLOOKUP($C612, Egli_UPEC_metadata_provided!$A$2:$M$826, 3, FALSE)</f>
        <v>2019</v>
      </c>
      <c r="E612" t="str">
        <f>VLOOKUP($C612, Egli_UPEC_metadata_provided!$A$2:$M$826, 4, FALSE)</f>
        <v>B2-2</v>
      </c>
      <c r="F612" t="str">
        <f>VLOOKUP($C612, Egli_UPEC_metadata_provided!$A$2:$M$826, 5, FALSE)</f>
        <v>w</v>
      </c>
      <c r="G612">
        <f>VLOOKUP($C612, Egli_UPEC_metadata_provided!$A$2:$M$826, 6, FALSE)</f>
        <v>0</v>
      </c>
      <c r="H612">
        <f>VLOOKUP($C612, Egli_UPEC_metadata_provided!$A$2:$M$826, 7, FALSE)</f>
        <v>1</v>
      </c>
      <c r="I612">
        <f>VLOOKUP($C612, Egli_UPEC_metadata_provided!$A$2:$M$826, 8, FALSE)</f>
        <v>78.892686261107301</v>
      </c>
      <c r="J612" t="b">
        <f>VLOOKUP($C612, Egli_UPEC_metadata_provided!$A$2:$M$826, 9, FALSE)</f>
        <v>0</v>
      </c>
      <c r="K612">
        <f>VLOOKUP($C612, Egli_UPEC_metadata_provided!$A$2:$M$826, 10, FALSE)</f>
        <v>0</v>
      </c>
      <c r="L612" t="str">
        <f>VLOOKUP($C612, Egli_UPEC_metadata_provided!$A$2:$M$826, 11, FALSE)</f>
        <v>non-invasive</v>
      </c>
      <c r="M612">
        <f>VLOOKUP($C612, Egli_UPEC_metadata_provided!$A$2:$M$826, 12, FALSE)</f>
        <v>1</v>
      </c>
      <c r="N612">
        <f>VLOOKUP($C612, Egli_UPEC_metadata_provided!$A$2:$M$826, 13, FALSE)</f>
        <v>0</v>
      </c>
      <c r="O612">
        <f>VLOOKUP($C612, Egli_UPEC_metadata_provided!$A$2:$N$826, 14, FALSE)</f>
        <v>0</v>
      </c>
    </row>
    <row r="613" spans="1:15" x14ac:dyDescent="0.2">
      <c r="A613" t="s">
        <v>581</v>
      </c>
      <c r="B613" t="s">
        <v>3816</v>
      </c>
      <c r="C613" t="s">
        <v>3816</v>
      </c>
      <c r="D613">
        <f>VLOOKUP($C613, Egli_UPEC_metadata_provided!$A$2:$M$826, 3, FALSE)</f>
        <v>2019</v>
      </c>
      <c r="E613" t="str">
        <f>VLOOKUP($C613, Egli_UPEC_metadata_provided!$A$2:$M$826, 4, FALSE)</f>
        <v>F</v>
      </c>
      <c r="F613" t="str">
        <f>VLOOKUP($C613, Egli_UPEC_metadata_provided!$A$2:$M$826, 5, FALSE)</f>
        <v>w</v>
      </c>
      <c r="G613">
        <f>VLOOKUP($C613, Egli_UPEC_metadata_provided!$A$2:$M$826, 6, FALSE)</f>
        <v>0</v>
      </c>
      <c r="H613">
        <f>VLOOKUP($C613, Egli_UPEC_metadata_provided!$A$2:$M$826, 7, FALSE)</f>
        <v>0</v>
      </c>
      <c r="I613">
        <f>VLOOKUP($C613, Egli_UPEC_metadata_provided!$A$2:$M$826, 8, FALSE)</f>
        <v>79.666438824333596</v>
      </c>
      <c r="J613" t="b">
        <f>VLOOKUP($C613, Egli_UPEC_metadata_provided!$A$2:$M$826, 9, FALSE)</f>
        <v>0</v>
      </c>
      <c r="K613">
        <f>VLOOKUP($C613, Egli_UPEC_metadata_provided!$A$2:$M$826, 10, FALSE)</f>
        <v>0</v>
      </c>
      <c r="L613" t="str">
        <f>VLOOKUP($C613, Egli_UPEC_metadata_provided!$A$2:$M$826, 11, FALSE)</f>
        <v>non-invasive</v>
      </c>
      <c r="M613">
        <f>VLOOKUP($C613, Egli_UPEC_metadata_provided!$A$2:$M$826, 12, FALSE)</f>
        <v>0</v>
      </c>
      <c r="N613">
        <f>VLOOKUP($C613, Egli_UPEC_metadata_provided!$A$2:$M$826, 13, FALSE)</f>
        <v>0</v>
      </c>
      <c r="O613">
        <f>VLOOKUP($C613, Egli_UPEC_metadata_provided!$A$2:$N$826, 14, FALSE)</f>
        <v>0</v>
      </c>
    </row>
    <row r="614" spans="1:15" x14ac:dyDescent="0.2">
      <c r="A614" t="s">
        <v>582</v>
      </c>
      <c r="B614" t="s">
        <v>3817</v>
      </c>
      <c r="C614" t="s">
        <v>3817</v>
      </c>
      <c r="D614">
        <f>VLOOKUP($C614, Egli_UPEC_metadata_provided!$A$2:$M$826, 3, FALSE)</f>
        <v>2019</v>
      </c>
      <c r="E614" t="str">
        <f>VLOOKUP($C614, Egli_UPEC_metadata_provided!$A$2:$M$826, 4, FALSE)</f>
        <v>B2-2</v>
      </c>
      <c r="F614" t="str">
        <f>VLOOKUP($C614, Egli_UPEC_metadata_provided!$A$2:$M$826, 5, FALSE)</f>
        <v>w</v>
      </c>
      <c r="G614">
        <f>VLOOKUP($C614, Egli_UPEC_metadata_provided!$A$2:$M$826, 6, FALSE)</f>
        <v>0</v>
      </c>
      <c r="H614">
        <f>VLOOKUP($C614, Egli_UPEC_metadata_provided!$A$2:$M$826, 7, FALSE)</f>
        <v>6</v>
      </c>
      <c r="I614">
        <f>VLOOKUP($C614, Egli_UPEC_metadata_provided!$A$2:$M$826, 8, FALSE)</f>
        <v>95.734791524265205</v>
      </c>
      <c r="J614" t="b">
        <f>VLOOKUP($C614, Egli_UPEC_metadata_provided!$A$2:$M$826, 9, FALSE)</f>
        <v>0</v>
      </c>
      <c r="K614">
        <f>VLOOKUP($C614, Egli_UPEC_metadata_provided!$A$2:$M$826, 10, FALSE)</f>
        <v>0</v>
      </c>
      <c r="L614" t="str">
        <f>VLOOKUP($C614, Egli_UPEC_metadata_provided!$A$2:$M$826, 11, FALSE)</f>
        <v>non-invasive</v>
      </c>
      <c r="M614">
        <f>VLOOKUP($C614, Egli_UPEC_metadata_provided!$A$2:$M$826, 12, FALSE)</f>
        <v>1</v>
      </c>
      <c r="N614">
        <f>VLOOKUP($C614, Egli_UPEC_metadata_provided!$A$2:$M$826, 13, FALSE)</f>
        <v>0</v>
      </c>
      <c r="O614">
        <f>VLOOKUP($C614, Egli_UPEC_metadata_provided!$A$2:$N$826, 14, FALSE)</f>
        <v>1</v>
      </c>
    </row>
    <row r="615" spans="1:15" x14ac:dyDescent="0.2">
      <c r="A615" t="s">
        <v>583</v>
      </c>
      <c r="B615" t="s">
        <v>3818</v>
      </c>
      <c r="C615" t="s">
        <v>3818</v>
      </c>
      <c r="D615">
        <f>VLOOKUP($C615, Egli_UPEC_metadata_provided!$A$2:$M$826, 3, FALSE)</f>
        <v>2019</v>
      </c>
      <c r="E615" t="str">
        <f>VLOOKUP($C615, Egli_UPEC_metadata_provided!$A$2:$M$826, 4, FALSE)</f>
        <v>A</v>
      </c>
      <c r="F615" t="str">
        <f>VLOOKUP($C615, Egli_UPEC_metadata_provided!$A$2:$M$826, 5, FALSE)</f>
        <v>m</v>
      </c>
      <c r="G615">
        <f>VLOOKUP($C615, Egli_UPEC_metadata_provided!$A$2:$M$826, 6, FALSE)</f>
        <v>1</v>
      </c>
      <c r="H615">
        <f>VLOOKUP($C615, Egli_UPEC_metadata_provided!$A$2:$M$826, 7, FALSE)</f>
        <v>4</v>
      </c>
      <c r="I615">
        <f>VLOOKUP($C615, Egli_UPEC_metadata_provided!$A$2:$M$826, 8, FALSE)</f>
        <v>79.034859876965101</v>
      </c>
      <c r="J615" t="b">
        <f>VLOOKUP($C615, Egli_UPEC_metadata_provided!$A$2:$M$826, 9, FALSE)</f>
        <v>0</v>
      </c>
      <c r="K615">
        <f>VLOOKUP($C615, Egli_UPEC_metadata_provided!$A$2:$M$826, 10, FALSE)</f>
        <v>0</v>
      </c>
      <c r="L615" t="str">
        <f>VLOOKUP($C615, Egli_UPEC_metadata_provided!$A$2:$M$826, 11, FALSE)</f>
        <v>non-invasive</v>
      </c>
      <c r="M615">
        <f>VLOOKUP($C615, Egli_UPEC_metadata_provided!$A$2:$M$826, 12, FALSE)</f>
        <v>0</v>
      </c>
      <c r="N615">
        <f>VLOOKUP($C615, Egli_UPEC_metadata_provided!$A$2:$M$826, 13, FALSE)</f>
        <v>0</v>
      </c>
      <c r="O615">
        <f>VLOOKUP($C615, Egli_UPEC_metadata_provided!$A$2:$N$826, 14, FALSE)</f>
        <v>0</v>
      </c>
    </row>
    <row r="616" spans="1:15" x14ac:dyDescent="0.2">
      <c r="A616" t="s">
        <v>584</v>
      </c>
      <c r="B616" t="s">
        <v>3819</v>
      </c>
      <c r="C616" t="s">
        <v>3819</v>
      </c>
      <c r="D616">
        <f>VLOOKUP($C616, Egli_UPEC_metadata_provided!$A$2:$M$826, 3, FALSE)</f>
        <v>2019</v>
      </c>
      <c r="E616" t="str">
        <f>VLOOKUP($C616, Egli_UPEC_metadata_provided!$A$2:$M$826, 4, FALSE)</f>
        <v>B2-2</v>
      </c>
      <c r="F616" t="str">
        <f>VLOOKUP($C616, Egli_UPEC_metadata_provided!$A$2:$M$826, 5, FALSE)</f>
        <v>w</v>
      </c>
      <c r="G616">
        <f>VLOOKUP($C616, Egli_UPEC_metadata_provided!$A$2:$M$826, 6, FALSE)</f>
        <v>0</v>
      </c>
      <c r="H616">
        <f>VLOOKUP($C616, Egli_UPEC_metadata_provided!$A$2:$M$826, 7, FALSE)</f>
        <v>3</v>
      </c>
      <c r="I616">
        <f>VLOOKUP($C616, Egli_UPEC_metadata_provided!$A$2:$M$826, 8, FALSE)</f>
        <v>67.609022556390997</v>
      </c>
      <c r="J616" t="b">
        <f>VLOOKUP($C616, Egli_UPEC_metadata_provided!$A$2:$M$826, 9, FALSE)</f>
        <v>0</v>
      </c>
      <c r="K616">
        <f>VLOOKUP($C616, Egli_UPEC_metadata_provided!$A$2:$M$826, 10, FALSE)</f>
        <v>0</v>
      </c>
      <c r="L616" t="str">
        <f>VLOOKUP($C616, Egli_UPEC_metadata_provided!$A$2:$M$826, 11, FALSE)</f>
        <v>non-invasive</v>
      </c>
      <c r="M616">
        <f>VLOOKUP($C616, Egli_UPEC_metadata_provided!$A$2:$M$826, 12, FALSE)</f>
        <v>0</v>
      </c>
      <c r="N616">
        <f>VLOOKUP($C616, Egli_UPEC_metadata_provided!$A$2:$M$826, 13, FALSE)</f>
        <v>0</v>
      </c>
      <c r="O616">
        <f>VLOOKUP($C616, Egli_UPEC_metadata_provided!$A$2:$N$826, 14, FALSE)</f>
        <v>1</v>
      </c>
    </row>
    <row r="617" spans="1:15" x14ac:dyDescent="0.2">
      <c r="A617" t="s">
        <v>585</v>
      </c>
      <c r="B617" t="s">
        <v>3820</v>
      </c>
      <c r="C617" t="s">
        <v>3820</v>
      </c>
      <c r="D617">
        <f>VLOOKUP($C617, Egli_UPEC_metadata_provided!$A$2:$M$826, 3, FALSE)</f>
        <v>2019</v>
      </c>
      <c r="E617" t="str">
        <f>VLOOKUP($C617, Egli_UPEC_metadata_provided!$A$2:$M$826, 4, FALSE)</f>
        <v>B1</v>
      </c>
      <c r="F617" t="str">
        <f>VLOOKUP($C617, Egli_UPEC_metadata_provided!$A$2:$M$826, 5, FALSE)</f>
        <v>w</v>
      </c>
      <c r="G617">
        <f>VLOOKUP($C617, Egli_UPEC_metadata_provided!$A$2:$M$826, 6, FALSE)</f>
        <v>0</v>
      </c>
      <c r="H617">
        <f>VLOOKUP($C617, Egli_UPEC_metadata_provided!$A$2:$M$826, 7, FALSE)</f>
        <v>3</v>
      </c>
      <c r="I617">
        <f>VLOOKUP($C617, Egli_UPEC_metadata_provided!$A$2:$M$826, 8, FALSE)</f>
        <v>91.0075187969925</v>
      </c>
      <c r="J617" t="b">
        <f>VLOOKUP($C617, Egli_UPEC_metadata_provided!$A$2:$M$826, 9, FALSE)</f>
        <v>0</v>
      </c>
      <c r="K617">
        <f>VLOOKUP($C617, Egli_UPEC_metadata_provided!$A$2:$M$826, 10, FALSE)</f>
        <v>0</v>
      </c>
      <c r="L617" t="str">
        <f>VLOOKUP($C617, Egli_UPEC_metadata_provided!$A$2:$M$826, 11, FALSE)</f>
        <v>non-invasive</v>
      </c>
      <c r="M617">
        <f>VLOOKUP($C617, Egli_UPEC_metadata_provided!$A$2:$M$826, 12, FALSE)</f>
        <v>1</v>
      </c>
      <c r="N617">
        <f>VLOOKUP($C617, Egli_UPEC_metadata_provided!$A$2:$M$826, 13, FALSE)</f>
        <v>0</v>
      </c>
      <c r="O617">
        <f>VLOOKUP($C617, Egli_UPEC_metadata_provided!$A$2:$N$826, 14, FALSE)</f>
        <v>1</v>
      </c>
    </row>
    <row r="618" spans="1:15" x14ac:dyDescent="0.2">
      <c r="A618" t="s">
        <v>586</v>
      </c>
      <c r="B618" t="s">
        <v>3821</v>
      </c>
      <c r="C618" t="s">
        <v>3821</v>
      </c>
      <c r="D618">
        <f>VLOOKUP($C618, Egli_UPEC_metadata_provided!$A$2:$M$826, 3, FALSE)</f>
        <v>2019</v>
      </c>
      <c r="E618" t="str">
        <f>VLOOKUP($C618, Egli_UPEC_metadata_provided!$A$2:$M$826, 4, FALSE)</f>
        <v>B2-2</v>
      </c>
      <c r="F618" t="str">
        <f>VLOOKUP($C618, Egli_UPEC_metadata_provided!$A$2:$M$826, 5, FALSE)</f>
        <v>m</v>
      </c>
      <c r="G618">
        <f>VLOOKUP($C618, Egli_UPEC_metadata_provided!$A$2:$M$826, 6, FALSE)</f>
        <v>1</v>
      </c>
      <c r="H618">
        <f>VLOOKUP($C618, Egli_UPEC_metadata_provided!$A$2:$M$826, 7, FALSE)</f>
        <v>2</v>
      </c>
      <c r="I618">
        <f>VLOOKUP($C618, Egli_UPEC_metadata_provided!$A$2:$M$826, 8, FALSE)</f>
        <v>81.7881066302119</v>
      </c>
      <c r="J618" t="b">
        <f>VLOOKUP($C618, Egli_UPEC_metadata_provided!$A$2:$M$826, 9, FALSE)</f>
        <v>0</v>
      </c>
      <c r="K618">
        <f>VLOOKUP($C618, Egli_UPEC_metadata_provided!$A$2:$M$826, 10, FALSE)</f>
        <v>0</v>
      </c>
      <c r="L618" t="str">
        <f>VLOOKUP($C618, Egli_UPEC_metadata_provided!$A$2:$M$826, 11, FALSE)</f>
        <v>non-invasive</v>
      </c>
      <c r="M618">
        <f>VLOOKUP($C618, Egli_UPEC_metadata_provided!$A$2:$M$826, 12, FALSE)</f>
        <v>0</v>
      </c>
      <c r="N618">
        <f>VLOOKUP($C618, Egli_UPEC_metadata_provided!$A$2:$M$826, 13, FALSE)</f>
        <v>0</v>
      </c>
      <c r="O618">
        <f>VLOOKUP($C618, Egli_UPEC_metadata_provided!$A$2:$N$826, 14, FALSE)</f>
        <v>0</v>
      </c>
    </row>
    <row r="619" spans="1:15" x14ac:dyDescent="0.2">
      <c r="A619" t="s">
        <v>587</v>
      </c>
      <c r="B619" t="s">
        <v>3822</v>
      </c>
      <c r="C619" t="s">
        <v>3822</v>
      </c>
      <c r="D619">
        <f>VLOOKUP($C619, Egli_UPEC_metadata_provided!$A$2:$M$826, 3, FALSE)</f>
        <v>2019</v>
      </c>
      <c r="E619" t="str">
        <f>VLOOKUP($C619, Egli_UPEC_metadata_provided!$A$2:$M$826, 4, FALSE)</f>
        <v>B2-2</v>
      </c>
      <c r="F619" t="str">
        <f>VLOOKUP($C619, Egli_UPEC_metadata_provided!$A$2:$M$826, 5, FALSE)</f>
        <v>m</v>
      </c>
      <c r="G619">
        <f>VLOOKUP($C619, Egli_UPEC_metadata_provided!$A$2:$M$826, 6, FALSE)</f>
        <v>0</v>
      </c>
      <c r="H619">
        <f>VLOOKUP($C619, Egli_UPEC_metadata_provided!$A$2:$M$826, 7, FALSE)</f>
        <v>2</v>
      </c>
      <c r="I619">
        <f>VLOOKUP($C619, Egli_UPEC_metadata_provided!$A$2:$M$826, 8, FALSE)</f>
        <v>58.909090909090899</v>
      </c>
      <c r="J619" t="b">
        <f>VLOOKUP($C619, Egli_UPEC_metadata_provided!$A$2:$M$826, 9, FALSE)</f>
        <v>1</v>
      </c>
      <c r="K619">
        <f>VLOOKUP($C619, Egli_UPEC_metadata_provided!$A$2:$M$826, 10, FALSE)</f>
        <v>0</v>
      </c>
      <c r="L619" t="str">
        <f>VLOOKUP($C619, Egli_UPEC_metadata_provided!$A$2:$M$826, 11, FALSE)</f>
        <v>non-invasive</v>
      </c>
      <c r="M619">
        <f>VLOOKUP($C619, Egli_UPEC_metadata_provided!$A$2:$M$826, 12, FALSE)</f>
        <v>1</v>
      </c>
      <c r="N619">
        <f>VLOOKUP($C619, Egli_UPEC_metadata_provided!$A$2:$M$826, 13, FALSE)</f>
        <v>0</v>
      </c>
      <c r="O619">
        <f>VLOOKUP($C619, Egli_UPEC_metadata_provided!$A$2:$N$826, 14, FALSE)</f>
        <v>0</v>
      </c>
    </row>
    <row r="620" spans="1:15" x14ac:dyDescent="0.2">
      <c r="A620" t="s">
        <v>588</v>
      </c>
      <c r="B620" t="s">
        <v>3823</v>
      </c>
      <c r="C620" t="s">
        <v>3823</v>
      </c>
      <c r="D620">
        <f>VLOOKUP($C620, Egli_UPEC_metadata_provided!$A$2:$M$826, 3, FALSE)</f>
        <v>2019</v>
      </c>
      <c r="E620" t="str">
        <f>VLOOKUP($C620, Egli_UPEC_metadata_provided!$A$2:$M$826, 4, FALSE)</f>
        <v>B2-2</v>
      </c>
      <c r="F620" t="str">
        <f>VLOOKUP($C620, Egli_UPEC_metadata_provided!$A$2:$M$826, 5, FALSE)</f>
        <v>w</v>
      </c>
      <c r="G620">
        <f>VLOOKUP($C620, Egli_UPEC_metadata_provided!$A$2:$M$826, 6, FALSE)</f>
        <v>0</v>
      </c>
      <c r="H620">
        <f>VLOOKUP($C620, Egli_UPEC_metadata_provided!$A$2:$M$826, 7, FALSE)</f>
        <v>4</v>
      </c>
      <c r="I620">
        <f>VLOOKUP($C620, Egli_UPEC_metadata_provided!$A$2:$M$826, 8, FALSE)</f>
        <v>85.353383458646604</v>
      </c>
      <c r="J620" t="b">
        <f>VLOOKUP($C620, Egli_UPEC_metadata_provided!$A$2:$M$826, 9, FALSE)</f>
        <v>0</v>
      </c>
      <c r="K620">
        <f>VLOOKUP($C620, Egli_UPEC_metadata_provided!$A$2:$M$826, 10, FALSE)</f>
        <v>0</v>
      </c>
      <c r="L620" t="str">
        <f>VLOOKUP($C620, Egli_UPEC_metadata_provided!$A$2:$M$826, 11, FALSE)</f>
        <v>non-invasive</v>
      </c>
      <c r="M620">
        <f>VLOOKUP($C620, Egli_UPEC_metadata_provided!$A$2:$M$826, 12, FALSE)</f>
        <v>0</v>
      </c>
      <c r="N620">
        <f>VLOOKUP($C620, Egli_UPEC_metadata_provided!$A$2:$M$826, 13, FALSE)</f>
        <v>0</v>
      </c>
      <c r="O620">
        <f>VLOOKUP($C620, Egli_UPEC_metadata_provided!$A$2:$N$826, 14, FALSE)</f>
        <v>0</v>
      </c>
    </row>
    <row r="621" spans="1:15" x14ac:dyDescent="0.2">
      <c r="A621" t="s">
        <v>589</v>
      </c>
      <c r="B621" t="s">
        <v>3824</v>
      </c>
      <c r="C621" t="s">
        <v>3824</v>
      </c>
      <c r="D621">
        <f>VLOOKUP($C621, Egli_UPEC_metadata_provided!$A$2:$M$826, 3, FALSE)</f>
        <v>2019</v>
      </c>
      <c r="E621" t="str">
        <f>VLOOKUP($C621, Egli_UPEC_metadata_provided!$A$2:$M$826, 4, FALSE)</f>
        <v>D1</v>
      </c>
      <c r="F621" t="str">
        <f>VLOOKUP($C621, Egli_UPEC_metadata_provided!$A$2:$M$826, 5, FALSE)</f>
        <v>w</v>
      </c>
      <c r="G621">
        <f>VLOOKUP($C621, Egli_UPEC_metadata_provided!$A$2:$M$826, 6, FALSE)</f>
        <v>0</v>
      </c>
      <c r="H621">
        <f>VLOOKUP($C621, Egli_UPEC_metadata_provided!$A$2:$M$826, 7, FALSE)</f>
        <v>0</v>
      </c>
      <c r="I621">
        <f>VLOOKUP($C621, Egli_UPEC_metadata_provided!$A$2:$M$826, 8, FALSE)</f>
        <v>37.604921394395099</v>
      </c>
      <c r="J621" t="b">
        <f>VLOOKUP($C621, Egli_UPEC_metadata_provided!$A$2:$M$826, 9, FALSE)</f>
        <v>0</v>
      </c>
      <c r="K621">
        <f>VLOOKUP($C621, Egli_UPEC_metadata_provided!$A$2:$M$826, 10, FALSE)</f>
        <v>0</v>
      </c>
      <c r="L621" t="str">
        <f>VLOOKUP($C621, Egli_UPEC_metadata_provided!$A$2:$M$826, 11, FALSE)</f>
        <v>non-invasive</v>
      </c>
      <c r="M621">
        <f>VLOOKUP($C621, Egli_UPEC_metadata_provided!$A$2:$M$826, 12, FALSE)</f>
        <v>0</v>
      </c>
      <c r="N621">
        <f>VLOOKUP($C621, Egli_UPEC_metadata_provided!$A$2:$M$826, 13, FALSE)</f>
        <v>0</v>
      </c>
      <c r="O621">
        <f>VLOOKUP($C621, Egli_UPEC_metadata_provided!$A$2:$N$826, 14, FALSE)</f>
        <v>0</v>
      </c>
    </row>
    <row r="622" spans="1:15" x14ac:dyDescent="0.2">
      <c r="A622" t="s">
        <v>590</v>
      </c>
      <c r="B622" t="s">
        <v>3825</v>
      </c>
      <c r="C622" t="s">
        <v>3825</v>
      </c>
      <c r="D622">
        <f>VLOOKUP($C622, Egli_UPEC_metadata_provided!$A$2:$M$826, 3, FALSE)</f>
        <v>2019</v>
      </c>
      <c r="E622" t="str">
        <f>VLOOKUP($C622, Egli_UPEC_metadata_provided!$A$2:$M$826, 4, FALSE)</f>
        <v>B2-2</v>
      </c>
      <c r="F622" t="str">
        <f>VLOOKUP($C622, Egli_UPEC_metadata_provided!$A$2:$M$826, 5, FALSE)</f>
        <v>w</v>
      </c>
      <c r="G622">
        <f>VLOOKUP($C622, Egli_UPEC_metadata_provided!$A$2:$M$826, 6, FALSE)</f>
        <v>0</v>
      </c>
      <c r="H622">
        <f>VLOOKUP($C622, Egli_UPEC_metadata_provided!$A$2:$M$826, 7, FALSE)</f>
        <v>0</v>
      </c>
      <c r="I622">
        <f>VLOOKUP($C622, Egli_UPEC_metadata_provided!$A$2:$M$826, 8, FALSE)</f>
        <v>48.3116883116883</v>
      </c>
      <c r="J622" t="b">
        <f>VLOOKUP($C622, Egli_UPEC_metadata_provided!$A$2:$M$826, 9, FALSE)</f>
        <v>0</v>
      </c>
      <c r="K622">
        <f>VLOOKUP($C622, Egli_UPEC_metadata_provided!$A$2:$M$826, 10, FALSE)</f>
        <v>0</v>
      </c>
      <c r="L622" t="str">
        <f>VLOOKUP($C622, Egli_UPEC_metadata_provided!$A$2:$M$826, 11, FALSE)</f>
        <v>non-invasive</v>
      </c>
      <c r="M622">
        <f>VLOOKUP($C622, Egli_UPEC_metadata_provided!$A$2:$M$826, 12, FALSE)</f>
        <v>0</v>
      </c>
      <c r="N622">
        <f>VLOOKUP($C622, Egli_UPEC_metadata_provided!$A$2:$M$826, 13, FALSE)</f>
        <v>0</v>
      </c>
      <c r="O622">
        <f>VLOOKUP($C622, Egli_UPEC_metadata_provided!$A$2:$N$826, 14, FALSE)</f>
        <v>0</v>
      </c>
    </row>
    <row r="623" spans="1:15" x14ac:dyDescent="0.2">
      <c r="A623" t="s">
        <v>591</v>
      </c>
      <c r="B623" t="s">
        <v>3826</v>
      </c>
      <c r="C623" t="s">
        <v>3826</v>
      </c>
      <c r="D623">
        <f>VLOOKUP($C623, Egli_UPEC_metadata_provided!$A$2:$M$826, 3, FALSE)</f>
        <v>2019</v>
      </c>
      <c r="E623" t="str">
        <f>VLOOKUP($C623, Egli_UPEC_metadata_provided!$A$2:$M$826, 4, FALSE)</f>
        <v>B1</v>
      </c>
      <c r="F623" t="str">
        <f>VLOOKUP($C623, Egli_UPEC_metadata_provided!$A$2:$M$826, 5, FALSE)</f>
        <v>w</v>
      </c>
      <c r="G623">
        <f>VLOOKUP($C623, Egli_UPEC_metadata_provided!$A$2:$M$826, 6, FALSE)</f>
        <v>0</v>
      </c>
      <c r="H623">
        <f>VLOOKUP($C623, Egli_UPEC_metadata_provided!$A$2:$M$826, 7, FALSE)</f>
        <v>0</v>
      </c>
      <c r="I623">
        <f>VLOOKUP($C623, Egli_UPEC_metadata_provided!$A$2:$M$826, 8, FALSE)</f>
        <v>78.020505809979497</v>
      </c>
      <c r="J623" t="b">
        <f>VLOOKUP($C623, Egli_UPEC_metadata_provided!$A$2:$M$826, 9, FALSE)</f>
        <v>0</v>
      </c>
      <c r="K623">
        <f>VLOOKUP($C623, Egli_UPEC_metadata_provided!$A$2:$M$826, 10, FALSE)</f>
        <v>0</v>
      </c>
      <c r="L623" t="str">
        <f>VLOOKUP($C623, Egli_UPEC_metadata_provided!$A$2:$M$826, 11, FALSE)</f>
        <v>non-invasive</v>
      </c>
      <c r="M623">
        <f>VLOOKUP($C623, Egli_UPEC_metadata_provided!$A$2:$M$826, 12, FALSE)</f>
        <v>0</v>
      </c>
      <c r="N623">
        <f>VLOOKUP($C623, Egli_UPEC_metadata_provided!$A$2:$M$826, 13, FALSE)</f>
        <v>0</v>
      </c>
      <c r="O623">
        <f>VLOOKUP($C623, Egli_UPEC_metadata_provided!$A$2:$N$826, 14, FALSE)</f>
        <v>0</v>
      </c>
    </row>
    <row r="624" spans="1:15" x14ac:dyDescent="0.2">
      <c r="A624" t="s">
        <v>592</v>
      </c>
      <c r="B624" t="s">
        <v>3827</v>
      </c>
      <c r="C624" t="s">
        <v>3827</v>
      </c>
      <c r="D624">
        <f>VLOOKUP($C624, Egli_UPEC_metadata_provided!$A$2:$M$826, 3, FALSE)</f>
        <v>2019</v>
      </c>
      <c r="E624" t="str">
        <f>VLOOKUP($C624, Egli_UPEC_metadata_provided!$A$2:$M$826, 4, FALSE)</f>
        <v>B2-2</v>
      </c>
      <c r="F624" t="str">
        <f>VLOOKUP($C624, Egli_UPEC_metadata_provided!$A$2:$M$826, 5, FALSE)</f>
        <v>m</v>
      </c>
      <c r="G624">
        <f>VLOOKUP($C624, Egli_UPEC_metadata_provided!$A$2:$M$826, 6, FALSE)</f>
        <v>0</v>
      </c>
      <c r="H624">
        <f>VLOOKUP($C624, Egli_UPEC_metadata_provided!$A$2:$M$826, 7, FALSE)</f>
        <v>4</v>
      </c>
      <c r="I624">
        <f>VLOOKUP($C624, Egli_UPEC_metadata_provided!$A$2:$M$826, 8, FALSE)</f>
        <v>86.898154477101897</v>
      </c>
      <c r="J624" t="b">
        <f>VLOOKUP($C624, Egli_UPEC_metadata_provided!$A$2:$M$826, 9, FALSE)</f>
        <v>0</v>
      </c>
      <c r="K624">
        <f>VLOOKUP($C624, Egli_UPEC_metadata_provided!$A$2:$M$826, 10, FALSE)</f>
        <v>0</v>
      </c>
      <c r="L624" t="str">
        <f>VLOOKUP($C624, Egli_UPEC_metadata_provided!$A$2:$M$826, 11, FALSE)</f>
        <v>non-invasive</v>
      </c>
      <c r="M624">
        <f>VLOOKUP($C624, Egli_UPEC_metadata_provided!$A$2:$M$826, 12, FALSE)</f>
        <v>0</v>
      </c>
      <c r="N624">
        <f>VLOOKUP($C624, Egli_UPEC_metadata_provided!$A$2:$M$826, 13, FALSE)</f>
        <v>0</v>
      </c>
      <c r="O624">
        <f>VLOOKUP($C624, Egli_UPEC_metadata_provided!$A$2:$N$826, 14, FALSE)</f>
        <v>0</v>
      </c>
    </row>
    <row r="625" spans="1:15" x14ac:dyDescent="0.2">
      <c r="A625" t="s">
        <v>593</v>
      </c>
      <c r="B625" t="s">
        <v>3828</v>
      </c>
      <c r="C625" t="s">
        <v>3828</v>
      </c>
      <c r="D625">
        <f>VLOOKUP($C625, Egli_UPEC_metadata_provided!$A$2:$M$826, 3, FALSE)</f>
        <v>2019</v>
      </c>
      <c r="E625" t="str">
        <f>VLOOKUP($C625, Egli_UPEC_metadata_provided!$A$2:$M$826, 4, FALSE)</f>
        <v>B2-1</v>
      </c>
      <c r="F625" t="str">
        <f>VLOOKUP($C625, Egli_UPEC_metadata_provided!$A$2:$M$826, 5, FALSE)</f>
        <v>w</v>
      </c>
      <c r="G625">
        <f>VLOOKUP($C625, Egli_UPEC_metadata_provided!$A$2:$M$826, 6, FALSE)</f>
        <v>0</v>
      </c>
      <c r="H625">
        <f>VLOOKUP($C625, Egli_UPEC_metadata_provided!$A$2:$M$826, 7, FALSE)</f>
        <v>1</v>
      </c>
      <c r="I625">
        <f>VLOOKUP($C625, Egli_UPEC_metadata_provided!$A$2:$M$826, 8, FALSE)</f>
        <v>83.182501708817497</v>
      </c>
      <c r="J625" t="b">
        <f>VLOOKUP($C625, Egli_UPEC_metadata_provided!$A$2:$M$826, 9, FALSE)</f>
        <v>0</v>
      </c>
      <c r="K625">
        <f>VLOOKUP($C625, Egli_UPEC_metadata_provided!$A$2:$M$826, 10, FALSE)</f>
        <v>0</v>
      </c>
      <c r="L625" t="str">
        <f>VLOOKUP($C625, Egli_UPEC_metadata_provided!$A$2:$M$826, 11, FALSE)</f>
        <v>non-invasive</v>
      </c>
      <c r="M625">
        <f>VLOOKUP($C625, Egli_UPEC_metadata_provided!$A$2:$M$826, 12, FALSE)</f>
        <v>1</v>
      </c>
      <c r="N625">
        <f>VLOOKUP($C625, Egli_UPEC_metadata_provided!$A$2:$M$826, 13, FALSE)</f>
        <v>0</v>
      </c>
      <c r="O625">
        <f>VLOOKUP($C625, Egli_UPEC_metadata_provided!$A$2:$N$826, 14, FALSE)</f>
        <v>0</v>
      </c>
    </row>
    <row r="626" spans="1:15" x14ac:dyDescent="0.2">
      <c r="A626" t="s">
        <v>594</v>
      </c>
      <c r="B626" t="s">
        <v>3829</v>
      </c>
      <c r="C626" t="s">
        <v>3829</v>
      </c>
      <c r="D626">
        <f>VLOOKUP($C626, Egli_UPEC_metadata_provided!$A$2:$M$826, 3, FALSE)</f>
        <v>2019</v>
      </c>
      <c r="E626" t="str">
        <f>VLOOKUP($C626, Egli_UPEC_metadata_provided!$A$2:$M$826, 4, FALSE)</f>
        <v>B2-2</v>
      </c>
      <c r="F626" t="str">
        <f>VLOOKUP($C626, Egli_UPEC_metadata_provided!$A$2:$M$826, 5, FALSE)</f>
        <v>w</v>
      </c>
      <c r="G626">
        <f>VLOOKUP($C626, Egli_UPEC_metadata_provided!$A$2:$M$826, 6, FALSE)</f>
        <v>0</v>
      </c>
      <c r="H626">
        <f>VLOOKUP($C626, Egli_UPEC_metadata_provided!$A$2:$M$826, 7, FALSE)</f>
        <v>2</v>
      </c>
      <c r="I626">
        <f>VLOOKUP($C626, Egli_UPEC_metadata_provided!$A$2:$M$826, 8, FALSE)</f>
        <v>73.167464114832498</v>
      </c>
      <c r="J626" t="b">
        <f>VLOOKUP($C626, Egli_UPEC_metadata_provided!$A$2:$M$826, 9, FALSE)</f>
        <v>0</v>
      </c>
      <c r="K626">
        <f>VLOOKUP($C626, Egli_UPEC_metadata_provided!$A$2:$M$826, 10, FALSE)</f>
        <v>0</v>
      </c>
      <c r="L626" t="str">
        <f>VLOOKUP($C626, Egli_UPEC_metadata_provided!$A$2:$M$826, 11, FALSE)</f>
        <v>non-invasive</v>
      </c>
      <c r="M626">
        <f>VLOOKUP($C626, Egli_UPEC_metadata_provided!$A$2:$M$826, 12, FALSE)</f>
        <v>1</v>
      </c>
      <c r="N626">
        <f>VLOOKUP($C626, Egli_UPEC_metadata_provided!$A$2:$M$826, 13, FALSE)</f>
        <v>0</v>
      </c>
      <c r="O626">
        <f>VLOOKUP($C626, Egli_UPEC_metadata_provided!$A$2:$N$826, 14, FALSE)</f>
        <v>0</v>
      </c>
    </row>
    <row r="627" spans="1:15" x14ac:dyDescent="0.2">
      <c r="A627" t="s">
        <v>595</v>
      </c>
      <c r="B627" t="s">
        <v>3830</v>
      </c>
      <c r="C627" t="s">
        <v>3830</v>
      </c>
      <c r="D627">
        <f>VLOOKUP($C627, Egli_UPEC_metadata_provided!$A$2:$M$826, 3, FALSE)</f>
        <v>2019</v>
      </c>
      <c r="E627" t="str">
        <f>VLOOKUP($C627, Egli_UPEC_metadata_provided!$A$2:$M$826, 4, FALSE)</f>
        <v>D1</v>
      </c>
      <c r="F627" t="str">
        <f>VLOOKUP($C627, Egli_UPEC_metadata_provided!$A$2:$M$826, 5, FALSE)</f>
        <v>w</v>
      </c>
      <c r="G627">
        <f>VLOOKUP($C627, Egli_UPEC_metadata_provided!$A$2:$M$826, 6, FALSE)</f>
        <v>0</v>
      </c>
      <c r="H627">
        <f>VLOOKUP($C627, Egli_UPEC_metadata_provided!$A$2:$M$826, 7, FALSE)</f>
        <v>4</v>
      </c>
      <c r="I627">
        <f>VLOOKUP($C627, Egli_UPEC_metadata_provided!$A$2:$M$826, 8, FALSE)</f>
        <v>50.684894053315098</v>
      </c>
      <c r="J627" t="b">
        <f>VLOOKUP($C627, Egli_UPEC_metadata_provided!$A$2:$M$826, 9, FALSE)</f>
        <v>0</v>
      </c>
      <c r="K627">
        <f>VLOOKUP($C627, Egli_UPEC_metadata_provided!$A$2:$M$826, 10, FALSE)</f>
        <v>0</v>
      </c>
      <c r="L627" t="str">
        <f>VLOOKUP($C627, Egli_UPEC_metadata_provided!$A$2:$M$826, 11, FALSE)</f>
        <v>non-invasive</v>
      </c>
      <c r="M627">
        <f>VLOOKUP($C627, Egli_UPEC_metadata_provided!$A$2:$M$826, 12, FALSE)</f>
        <v>0</v>
      </c>
      <c r="N627">
        <f>VLOOKUP($C627, Egli_UPEC_metadata_provided!$A$2:$M$826, 13, FALSE)</f>
        <v>0</v>
      </c>
      <c r="O627">
        <f>VLOOKUP($C627, Egli_UPEC_metadata_provided!$A$2:$N$826, 14, FALSE)</f>
        <v>0</v>
      </c>
    </row>
    <row r="628" spans="1:15" x14ac:dyDescent="0.2">
      <c r="A628" t="s">
        <v>596</v>
      </c>
      <c r="B628" t="s">
        <v>3831</v>
      </c>
      <c r="C628" t="s">
        <v>3831</v>
      </c>
      <c r="D628">
        <f>VLOOKUP($C628, Egli_UPEC_metadata_provided!$A$2:$M$826, 3, FALSE)</f>
        <v>2019</v>
      </c>
      <c r="E628" t="str">
        <f>VLOOKUP($C628, Egli_UPEC_metadata_provided!$A$2:$M$826, 4, FALSE)</f>
        <v>B2-2</v>
      </c>
      <c r="F628" t="str">
        <f>VLOOKUP($C628, Egli_UPEC_metadata_provided!$A$2:$M$826, 5, FALSE)</f>
        <v>m</v>
      </c>
      <c r="G628">
        <f>VLOOKUP($C628, Egli_UPEC_metadata_provided!$A$2:$M$826, 6, FALSE)</f>
        <v>0</v>
      </c>
      <c r="H628">
        <f>VLOOKUP($C628, Egli_UPEC_metadata_provided!$A$2:$M$826, 7, FALSE)</f>
        <v>3</v>
      </c>
      <c r="I628">
        <f>VLOOKUP($C628, Egli_UPEC_metadata_provided!$A$2:$M$826, 8, FALSE)</f>
        <v>64.585099111414905</v>
      </c>
      <c r="J628" t="b">
        <f>VLOOKUP($C628, Egli_UPEC_metadata_provided!$A$2:$M$826, 9, FALSE)</f>
        <v>1</v>
      </c>
      <c r="K628">
        <f>VLOOKUP($C628, Egli_UPEC_metadata_provided!$A$2:$M$826, 10, FALSE)</f>
        <v>0</v>
      </c>
      <c r="L628" t="str">
        <f>VLOOKUP($C628, Egli_UPEC_metadata_provided!$A$2:$M$826, 11, FALSE)</f>
        <v>non-invasive</v>
      </c>
      <c r="M628">
        <f>VLOOKUP($C628, Egli_UPEC_metadata_provided!$A$2:$M$826, 12, FALSE)</f>
        <v>1</v>
      </c>
      <c r="N628">
        <f>VLOOKUP($C628, Egli_UPEC_metadata_provided!$A$2:$M$826, 13, FALSE)</f>
        <v>0</v>
      </c>
      <c r="O628">
        <f>VLOOKUP($C628, Egli_UPEC_metadata_provided!$A$2:$N$826, 14, FALSE)</f>
        <v>0</v>
      </c>
    </row>
    <row r="629" spans="1:15" x14ac:dyDescent="0.2">
      <c r="A629" t="s">
        <v>597</v>
      </c>
      <c r="B629" t="s">
        <v>3832</v>
      </c>
      <c r="C629" t="s">
        <v>3832</v>
      </c>
      <c r="D629">
        <f>VLOOKUP($C629, Egli_UPEC_metadata_provided!$A$2:$M$826, 3, FALSE)</f>
        <v>2019</v>
      </c>
      <c r="E629" t="str">
        <f>VLOOKUP($C629, Egli_UPEC_metadata_provided!$A$2:$M$826, 4, FALSE)</f>
        <v>D1</v>
      </c>
      <c r="F629" t="str">
        <f>VLOOKUP($C629, Egli_UPEC_metadata_provided!$A$2:$M$826, 5, FALSE)</f>
        <v>m</v>
      </c>
      <c r="G629">
        <f>VLOOKUP($C629, Egli_UPEC_metadata_provided!$A$2:$M$826, 6, FALSE)</f>
        <v>0</v>
      </c>
      <c r="H629">
        <f>VLOOKUP($C629, Egli_UPEC_metadata_provided!$A$2:$M$826, 7, FALSE)</f>
        <v>0</v>
      </c>
      <c r="I629">
        <f>VLOOKUP($C629, Egli_UPEC_metadata_provided!$A$2:$M$826, 8, FALSE)</f>
        <v>56.885850991114097</v>
      </c>
      <c r="J629" t="b">
        <f>VLOOKUP($C629, Egli_UPEC_metadata_provided!$A$2:$M$826, 9, FALSE)</f>
        <v>0</v>
      </c>
      <c r="K629">
        <f>VLOOKUP($C629, Egli_UPEC_metadata_provided!$A$2:$M$826, 10, FALSE)</f>
        <v>0</v>
      </c>
      <c r="L629" t="str">
        <f>VLOOKUP($C629, Egli_UPEC_metadata_provided!$A$2:$M$826, 11, FALSE)</f>
        <v>non-invasive</v>
      </c>
      <c r="M629">
        <f>VLOOKUP($C629, Egli_UPEC_metadata_provided!$A$2:$M$826, 12, FALSE)</f>
        <v>1</v>
      </c>
      <c r="N629">
        <f>VLOOKUP($C629, Egli_UPEC_metadata_provided!$A$2:$M$826, 13, FALSE)</f>
        <v>0</v>
      </c>
      <c r="O629">
        <f>VLOOKUP($C629, Egli_UPEC_metadata_provided!$A$2:$N$826, 14, FALSE)</f>
        <v>0</v>
      </c>
    </row>
    <row r="630" spans="1:15" x14ac:dyDescent="0.2">
      <c r="A630" t="s">
        <v>598</v>
      </c>
      <c r="B630" t="s">
        <v>3833</v>
      </c>
      <c r="C630" t="s">
        <v>3833</v>
      </c>
      <c r="D630">
        <f>VLOOKUP($C630, Egli_UPEC_metadata_provided!$A$2:$M$826, 3, FALSE)</f>
        <v>2019</v>
      </c>
      <c r="E630" t="str">
        <f>VLOOKUP($C630, Egli_UPEC_metadata_provided!$A$2:$M$826, 4, FALSE)</f>
        <v>B2-2</v>
      </c>
      <c r="F630" t="str">
        <f>VLOOKUP($C630, Egli_UPEC_metadata_provided!$A$2:$M$826, 5, FALSE)</f>
        <v>w</v>
      </c>
      <c r="G630">
        <f>VLOOKUP($C630, Egli_UPEC_metadata_provided!$A$2:$M$826, 6, FALSE)</f>
        <v>0</v>
      </c>
      <c r="H630">
        <f>VLOOKUP($C630, Egli_UPEC_metadata_provided!$A$2:$M$826, 7, FALSE)</f>
        <v>6</v>
      </c>
      <c r="I630">
        <f>VLOOKUP($C630, Egli_UPEC_metadata_provided!$A$2:$M$826, 8, FALSE)</f>
        <v>73.394395078605598</v>
      </c>
      <c r="J630" t="b">
        <f>VLOOKUP($C630, Egli_UPEC_metadata_provided!$A$2:$M$826, 9, FALSE)</f>
        <v>1</v>
      </c>
      <c r="K630">
        <f>VLOOKUP($C630, Egli_UPEC_metadata_provided!$A$2:$M$826, 10, FALSE)</f>
        <v>0</v>
      </c>
      <c r="L630" t="str">
        <f>VLOOKUP($C630, Egli_UPEC_metadata_provided!$A$2:$M$826, 11, FALSE)</f>
        <v>non-invasive</v>
      </c>
      <c r="M630">
        <f>VLOOKUP($C630, Egli_UPEC_metadata_provided!$A$2:$M$826, 12, FALSE)</f>
        <v>1</v>
      </c>
      <c r="N630">
        <f>VLOOKUP($C630, Egli_UPEC_metadata_provided!$A$2:$M$826, 13, FALSE)</f>
        <v>0</v>
      </c>
      <c r="O630">
        <f>VLOOKUP($C630, Egli_UPEC_metadata_provided!$A$2:$N$826, 14, FALSE)</f>
        <v>0</v>
      </c>
    </row>
    <row r="631" spans="1:15" x14ac:dyDescent="0.2">
      <c r="A631" t="s">
        <v>599</v>
      </c>
      <c r="B631" t="s">
        <v>3834</v>
      </c>
      <c r="C631" t="s">
        <v>3834</v>
      </c>
      <c r="D631">
        <f>VLOOKUP($C631, Egli_UPEC_metadata_provided!$A$2:$M$826, 3, FALSE)</f>
        <v>2019</v>
      </c>
      <c r="E631" t="str">
        <f>VLOOKUP($C631, Egli_UPEC_metadata_provided!$A$2:$M$826, 4, FALSE)</f>
        <v>B1</v>
      </c>
      <c r="F631" t="str">
        <f>VLOOKUP($C631, Egli_UPEC_metadata_provided!$A$2:$M$826, 5, FALSE)</f>
        <v>w</v>
      </c>
      <c r="G631">
        <f>VLOOKUP($C631, Egli_UPEC_metadata_provided!$A$2:$M$826, 6, FALSE)</f>
        <v>1</v>
      </c>
      <c r="H631">
        <f>VLOOKUP($C631, Egli_UPEC_metadata_provided!$A$2:$M$826, 7, FALSE)</f>
        <v>4</v>
      </c>
      <c r="I631">
        <f>VLOOKUP($C631, Egli_UPEC_metadata_provided!$A$2:$M$826, 8, FALSE)</f>
        <v>81.055365686944597</v>
      </c>
      <c r="J631" t="b">
        <f>VLOOKUP($C631, Egli_UPEC_metadata_provided!$A$2:$M$826, 9, FALSE)</f>
        <v>0</v>
      </c>
      <c r="K631">
        <f>VLOOKUP($C631, Egli_UPEC_metadata_provided!$A$2:$M$826, 10, FALSE)</f>
        <v>0</v>
      </c>
      <c r="L631" t="str">
        <f>VLOOKUP($C631, Egli_UPEC_metadata_provided!$A$2:$M$826, 11, FALSE)</f>
        <v>non-invasive</v>
      </c>
      <c r="M631">
        <f>VLOOKUP($C631, Egli_UPEC_metadata_provided!$A$2:$M$826, 12, FALSE)</f>
        <v>0</v>
      </c>
      <c r="N631">
        <f>VLOOKUP($C631, Egli_UPEC_metadata_provided!$A$2:$M$826, 13, FALSE)</f>
        <v>0</v>
      </c>
      <c r="O631">
        <f>VLOOKUP($C631, Egli_UPEC_metadata_provided!$A$2:$N$826, 14, FALSE)</f>
        <v>0</v>
      </c>
    </row>
    <row r="632" spans="1:15" x14ac:dyDescent="0.2">
      <c r="A632" t="s">
        <v>600</v>
      </c>
      <c r="B632" t="s">
        <v>3835</v>
      </c>
      <c r="C632" t="s">
        <v>3835</v>
      </c>
      <c r="D632">
        <f>VLOOKUP($C632, Egli_UPEC_metadata_provided!$A$2:$M$826, 3, FALSE)</f>
        <v>2019</v>
      </c>
      <c r="E632" t="str">
        <f>VLOOKUP($C632, Egli_UPEC_metadata_provided!$A$2:$M$826, 4, FALSE)</f>
        <v>B2-1</v>
      </c>
      <c r="F632" t="str">
        <f>VLOOKUP($C632, Egli_UPEC_metadata_provided!$A$2:$M$826, 5, FALSE)</f>
        <v>w</v>
      </c>
      <c r="G632">
        <f>VLOOKUP($C632, Egli_UPEC_metadata_provided!$A$2:$M$826, 6, FALSE)</f>
        <v>0</v>
      </c>
      <c r="H632">
        <f>VLOOKUP($C632, Egli_UPEC_metadata_provided!$A$2:$M$826, 7, FALSE)</f>
        <v>6</v>
      </c>
      <c r="I632">
        <f>VLOOKUP($C632, Egli_UPEC_metadata_provided!$A$2:$M$826, 8, FALSE)</f>
        <v>79.146958304853001</v>
      </c>
      <c r="J632" t="b">
        <f>VLOOKUP($C632, Egli_UPEC_metadata_provided!$A$2:$M$826, 9, FALSE)</f>
        <v>0</v>
      </c>
      <c r="K632">
        <f>VLOOKUP($C632, Egli_UPEC_metadata_provided!$A$2:$M$826, 10, FALSE)</f>
        <v>0</v>
      </c>
      <c r="L632" t="str">
        <f>VLOOKUP($C632, Egli_UPEC_metadata_provided!$A$2:$M$826, 11, FALSE)</f>
        <v>non-invasive</v>
      </c>
      <c r="M632">
        <f>VLOOKUP($C632, Egli_UPEC_metadata_provided!$A$2:$M$826, 12, FALSE)</f>
        <v>1</v>
      </c>
      <c r="N632">
        <f>VLOOKUP($C632, Egli_UPEC_metadata_provided!$A$2:$M$826, 13, FALSE)</f>
        <v>0</v>
      </c>
      <c r="O632">
        <f>VLOOKUP($C632, Egli_UPEC_metadata_provided!$A$2:$N$826, 14, FALSE)</f>
        <v>0</v>
      </c>
    </row>
    <row r="633" spans="1:15" x14ac:dyDescent="0.2">
      <c r="A633" t="s">
        <v>601</v>
      </c>
      <c r="B633" t="s">
        <v>3836</v>
      </c>
      <c r="C633" t="s">
        <v>3836</v>
      </c>
      <c r="D633">
        <f>VLOOKUP($C633, Egli_UPEC_metadata_provided!$A$2:$M$826, 3, FALSE)</f>
        <v>2019</v>
      </c>
      <c r="E633" t="str">
        <f>VLOOKUP($C633, Egli_UPEC_metadata_provided!$A$2:$M$826, 4, FALSE)</f>
        <v>B2-2</v>
      </c>
      <c r="F633" t="str">
        <f>VLOOKUP($C633, Egli_UPEC_metadata_provided!$A$2:$M$826, 5, FALSE)</f>
        <v>w</v>
      </c>
      <c r="G633">
        <f>VLOOKUP($C633, Egli_UPEC_metadata_provided!$A$2:$M$826, 6, FALSE)</f>
        <v>0</v>
      </c>
      <c r="H633">
        <f>VLOOKUP($C633, Egli_UPEC_metadata_provided!$A$2:$M$826, 7, FALSE)</f>
        <v>2</v>
      </c>
      <c r="I633">
        <f>VLOOKUP($C633, Egli_UPEC_metadata_provided!$A$2:$M$826, 8, FALSE)</f>
        <v>75.568010936432003</v>
      </c>
      <c r="J633" t="b">
        <f>VLOOKUP($C633, Egli_UPEC_metadata_provided!$A$2:$M$826, 9, FALSE)</f>
        <v>0</v>
      </c>
      <c r="K633">
        <f>VLOOKUP($C633, Egli_UPEC_metadata_provided!$A$2:$M$826, 10, FALSE)</f>
        <v>0</v>
      </c>
      <c r="L633" t="str">
        <f>VLOOKUP($C633, Egli_UPEC_metadata_provided!$A$2:$M$826, 11, FALSE)</f>
        <v>non-invasive</v>
      </c>
      <c r="M633">
        <f>VLOOKUP($C633, Egli_UPEC_metadata_provided!$A$2:$M$826, 12, FALSE)</f>
        <v>0</v>
      </c>
      <c r="N633">
        <f>VLOOKUP($C633, Egli_UPEC_metadata_provided!$A$2:$M$826, 13, FALSE)</f>
        <v>0</v>
      </c>
      <c r="O633">
        <f>VLOOKUP($C633, Egli_UPEC_metadata_provided!$A$2:$N$826, 14, FALSE)</f>
        <v>0</v>
      </c>
    </row>
    <row r="634" spans="1:15" x14ac:dyDescent="0.2">
      <c r="A634" t="s">
        <v>602</v>
      </c>
      <c r="B634" t="s">
        <v>3837</v>
      </c>
      <c r="C634" t="s">
        <v>3837</v>
      </c>
      <c r="D634">
        <f>VLOOKUP($C634, Egli_UPEC_metadata_provided!$A$2:$M$826, 3, FALSE)</f>
        <v>2019</v>
      </c>
      <c r="E634" t="str">
        <f>VLOOKUP($C634, Egli_UPEC_metadata_provided!$A$2:$M$826, 4, FALSE)</f>
        <v>B2-1</v>
      </c>
      <c r="F634" t="str">
        <f>VLOOKUP($C634, Egli_UPEC_metadata_provided!$A$2:$M$826, 5, FALSE)</f>
        <v>w</v>
      </c>
      <c r="G634">
        <f>VLOOKUP($C634, Egli_UPEC_metadata_provided!$A$2:$M$826, 6, FALSE)</f>
        <v>0</v>
      </c>
      <c r="H634">
        <f>VLOOKUP($C634, Egli_UPEC_metadata_provided!$A$2:$M$826, 7, FALSE)</f>
        <v>7</v>
      </c>
      <c r="I634">
        <f>VLOOKUP($C634, Egli_UPEC_metadata_provided!$A$2:$M$826, 8, FALSE)</f>
        <v>86.0997949419002</v>
      </c>
      <c r="J634" t="b">
        <f>VLOOKUP($C634, Egli_UPEC_metadata_provided!$A$2:$M$826, 9, FALSE)</f>
        <v>1</v>
      </c>
      <c r="K634">
        <f>VLOOKUP($C634, Egli_UPEC_metadata_provided!$A$2:$M$826, 10, FALSE)</f>
        <v>1</v>
      </c>
      <c r="L634" t="str">
        <f>VLOOKUP($C634, Egli_UPEC_metadata_provided!$A$2:$M$826, 11, FALSE)</f>
        <v>non-invasive</v>
      </c>
      <c r="M634">
        <f>VLOOKUP($C634, Egli_UPEC_metadata_provided!$A$2:$M$826, 12, FALSE)</f>
        <v>1</v>
      </c>
      <c r="N634">
        <f>VLOOKUP($C634, Egli_UPEC_metadata_provided!$A$2:$M$826, 13, FALSE)</f>
        <v>0</v>
      </c>
      <c r="O634">
        <f>VLOOKUP($C634, Egli_UPEC_metadata_provided!$A$2:$N$826, 14, FALSE)</f>
        <v>0</v>
      </c>
    </row>
    <row r="635" spans="1:15" x14ac:dyDescent="0.2">
      <c r="A635" t="s">
        <v>603</v>
      </c>
      <c r="B635" t="s">
        <v>3838</v>
      </c>
      <c r="C635" t="s">
        <v>3838</v>
      </c>
      <c r="D635">
        <f>VLOOKUP($C635, Egli_UPEC_metadata_provided!$A$2:$M$826, 3, FALSE)</f>
        <v>2019</v>
      </c>
      <c r="E635" t="str">
        <f>VLOOKUP($C635, Egli_UPEC_metadata_provided!$A$2:$M$826, 4, FALSE)</f>
        <v>B2-2</v>
      </c>
      <c r="F635" t="str">
        <f>VLOOKUP($C635, Egli_UPEC_metadata_provided!$A$2:$M$826, 5, FALSE)</f>
        <v>w</v>
      </c>
      <c r="G635">
        <f>VLOOKUP($C635, Egli_UPEC_metadata_provided!$A$2:$M$826, 6, FALSE)</f>
        <v>0</v>
      </c>
      <c r="H635">
        <f>VLOOKUP($C635, Egli_UPEC_metadata_provided!$A$2:$M$826, 7, FALSE)</f>
        <v>4</v>
      </c>
      <c r="I635">
        <f>VLOOKUP($C635, Egli_UPEC_metadata_provided!$A$2:$M$826, 8, FALSE)</f>
        <v>91.535201640464805</v>
      </c>
      <c r="J635" t="b">
        <f>VLOOKUP($C635, Egli_UPEC_metadata_provided!$A$2:$M$826, 9, FALSE)</f>
        <v>0</v>
      </c>
      <c r="K635">
        <f>VLOOKUP($C635, Egli_UPEC_metadata_provided!$A$2:$M$826, 10, FALSE)</f>
        <v>0</v>
      </c>
      <c r="L635" t="str">
        <f>VLOOKUP($C635, Egli_UPEC_metadata_provided!$A$2:$M$826, 11, FALSE)</f>
        <v>non-invasive</v>
      </c>
      <c r="M635">
        <f>VLOOKUP($C635, Egli_UPEC_metadata_provided!$A$2:$M$826, 12, FALSE)</f>
        <v>0</v>
      </c>
      <c r="N635">
        <f>VLOOKUP($C635, Egli_UPEC_metadata_provided!$A$2:$M$826, 13, FALSE)</f>
        <v>1</v>
      </c>
      <c r="O635">
        <f>VLOOKUP($C635, Egli_UPEC_metadata_provided!$A$2:$N$826, 14, FALSE)</f>
        <v>1</v>
      </c>
    </row>
    <row r="636" spans="1:15" x14ac:dyDescent="0.2">
      <c r="A636" t="s">
        <v>604</v>
      </c>
      <c r="B636" t="s">
        <v>3839</v>
      </c>
      <c r="C636" t="s">
        <v>3839</v>
      </c>
      <c r="D636">
        <f>VLOOKUP($C636, Egli_UPEC_metadata_provided!$A$2:$M$826, 3, FALSE)</f>
        <v>2019</v>
      </c>
      <c r="E636" t="str">
        <f>VLOOKUP($C636, Egli_UPEC_metadata_provided!$A$2:$M$826, 4, FALSE)</f>
        <v>B2-2</v>
      </c>
      <c r="F636" t="str">
        <f>VLOOKUP($C636, Egli_UPEC_metadata_provided!$A$2:$M$826, 5, FALSE)</f>
        <v>m</v>
      </c>
      <c r="G636">
        <f>VLOOKUP($C636, Egli_UPEC_metadata_provided!$A$2:$M$826, 6, FALSE)</f>
        <v>1</v>
      </c>
      <c r="H636">
        <f>VLOOKUP($C636, Egli_UPEC_metadata_provided!$A$2:$M$826, 7, FALSE)</f>
        <v>5</v>
      </c>
      <c r="I636">
        <f>VLOOKUP($C636, Egli_UPEC_metadata_provided!$A$2:$M$826, 8, FALSE)</f>
        <v>61.676008202323999</v>
      </c>
      <c r="J636" t="b">
        <f>VLOOKUP($C636, Egli_UPEC_metadata_provided!$A$2:$M$826, 9, FALSE)</f>
        <v>0</v>
      </c>
      <c r="K636">
        <f>VLOOKUP($C636, Egli_UPEC_metadata_provided!$A$2:$M$826, 10, FALSE)</f>
        <v>0</v>
      </c>
      <c r="L636" t="str">
        <f>VLOOKUP($C636, Egli_UPEC_metadata_provided!$A$2:$M$826, 11, FALSE)</f>
        <v>non-invasive</v>
      </c>
      <c r="M636">
        <f>VLOOKUP($C636, Egli_UPEC_metadata_provided!$A$2:$M$826, 12, FALSE)</f>
        <v>0</v>
      </c>
      <c r="N636">
        <f>VLOOKUP($C636, Egli_UPEC_metadata_provided!$A$2:$M$826, 13, FALSE)</f>
        <v>0</v>
      </c>
      <c r="O636">
        <f>VLOOKUP($C636, Egli_UPEC_metadata_provided!$A$2:$N$826, 14, FALSE)</f>
        <v>0</v>
      </c>
    </row>
    <row r="637" spans="1:15" x14ac:dyDescent="0.2">
      <c r="A637" t="s">
        <v>605</v>
      </c>
      <c r="B637" t="s">
        <v>3840</v>
      </c>
      <c r="C637" t="s">
        <v>3840</v>
      </c>
      <c r="D637">
        <f>VLOOKUP($C637, Egli_UPEC_metadata_provided!$A$2:$M$826, 3, FALSE)</f>
        <v>2019</v>
      </c>
      <c r="E637" t="str">
        <f>VLOOKUP($C637, Egli_UPEC_metadata_provided!$A$2:$M$826, 4, FALSE)</f>
        <v>B2-1</v>
      </c>
      <c r="F637" t="str">
        <f>VLOOKUP($C637, Egli_UPEC_metadata_provided!$A$2:$M$826, 5, FALSE)</f>
        <v>m</v>
      </c>
      <c r="G637">
        <f>VLOOKUP($C637, Egli_UPEC_metadata_provided!$A$2:$M$826, 6, FALSE)</f>
        <v>0</v>
      </c>
      <c r="H637">
        <f>VLOOKUP($C637, Egli_UPEC_metadata_provided!$A$2:$M$826, 7, FALSE)</f>
        <v>4</v>
      </c>
      <c r="I637">
        <f>VLOOKUP($C637, Egli_UPEC_metadata_provided!$A$2:$M$826, 8, FALSE)</f>
        <v>64.697197539302806</v>
      </c>
      <c r="J637" t="b">
        <f>VLOOKUP($C637, Egli_UPEC_metadata_provided!$A$2:$M$826, 9, FALSE)</f>
        <v>0</v>
      </c>
      <c r="K637">
        <f>VLOOKUP($C637, Egli_UPEC_metadata_provided!$A$2:$M$826, 10, FALSE)</f>
        <v>1</v>
      </c>
      <c r="L637" t="str">
        <f>VLOOKUP($C637, Egli_UPEC_metadata_provided!$A$2:$M$826, 11, FALSE)</f>
        <v>invasive</v>
      </c>
      <c r="M637">
        <f>VLOOKUP($C637, Egli_UPEC_metadata_provided!$A$2:$M$826, 12, FALSE)</f>
        <v>1</v>
      </c>
      <c r="N637">
        <f>VLOOKUP($C637, Egli_UPEC_metadata_provided!$A$2:$M$826, 13, FALSE)</f>
        <v>0</v>
      </c>
      <c r="O637">
        <f>VLOOKUP($C637, Egli_UPEC_metadata_provided!$A$2:$N$826, 14, FALSE)</f>
        <v>0</v>
      </c>
    </row>
    <row r="638" spans="1:15" x14ac:dyDescent="0.2">
      <c r="A638" t="s">
        <v>606</v>
      </c>
      <c r="B638" t="s">
        <v>3841</v>
      </c>
      <c r="C638" t="s">
        <v>3841</v>
      </c>
      <c r="D638">
        <f>VLOOKUP($C638, Egli_UPEC_metadata_provided!$A$2:$M$826, 3, FALSE)</f>
        <v>2019</v>
      </c>
      <c r="E638" t="str">
        <f>VLOOKUP($C638, Egli_UPEC_metadata_provided!$A$2:$M$826, 4, FALSE)</f>
        <v>A</v>
      </c>
      <c r="F638" t="str">
        <f>VLOOKUP($C638, Egli_UPEC_metadata_provided!$A$2:$M$826, 5, FALSE)</f>
        <v>w</v>
      </c>
      <c r="G638">
        <f>VLOOKUP($C638, Egli_UPEC_metadata_provided!$A$2:$M$826, 6, FALSE)</f>
        <v>0</v>
      </c>
      <c r="H638">
        <f>VLOOKUP($C638, Egli_UPEC_metadata_provided!$A$2:$M$826, 7, FALSE)</f>
        <v>3</v>
      </c>
      <c r="I638">
        <f>VLOOKUP($C638, Egli_UPEC_metadata_provided!$A$2:$M$826, 8, FALSE)</f>
        <v>83.037593984962399</v>
      </c>
      <c r="J638" t="b">
        <f>VLOOKUP($C638, Egli_UPEC_metadata_provided!$A$2:$M$826, 9, FALSE)</f>
        <v>0</v>
      </c>
      <c r="K638">
        <f>VLOOKUP($C638, Egli_UPEC_metadata_provided!$A$2:$M$826, 10, FALSE)</f>
        <v>0</v>
      </c>
      <c r="L638" t="str">
        <f>VLOOKUP($C638, Egli_UPEC_metadata_provided!$A$2:$M$826, 11, FALSE)</f>
        <v>non-invasive</v>
      </c>
      <c r="M638">
        <f>VLOOKUP($C638, Egli_UPEC_metadata_provided!$A$2:$M$826, 12, FALSE)</f>
        <v>1</v>
      </c>
      <c r="N638">
        <f>VLOOKUP($C638, Egli_UPEC_metadata_provided!$A$2:$M$826, 13, FALSE)</f>
        <v>0</v>
      </c>
      <c r="O638">
        <f>VLOOKUP($C638, Egli_UPEC_metadata_provided!$A$2:$N$826, 14, FALSE)</f>
        <v>0</v>
      </c>
    </row>
    <row r="639" spans="1:15" x14ac:dyDescent="0.2">
      <c r="A639" t="s">
        <v>607</v>
      </c>
      <c r="B639" t="s">
        <v>3842</v>
      </c>
      <c r="C639" t="s">
        <v>3842</v>
      </c>
      <c r="D639">
        <f>VLOOKUP($C639, Egli_UPEC_metadata_provided!$A$2:$M$826, 3, FALSE)</f>
        <v>2019</v>
      </c>
      <c r="E639" t="str">
        <f>VLOOKUP($C639, Egli_UPEC_metadata_provided!$A$2:$M$826, 4, FALSE)</f>
        <v>B2-1</v>
      </c>
      <c r="F639" t="str">
        <f>VLOOKUP($C639, Egli_UPEC_metadata_provided!$A$2:$M$826, 5, FALSE)</f>
        <v>m</v>
      </c>
      <c r="G639">
        <f>VLOOKUP($C639, Egli_UPEC_metadata_provided!$A$2:$M$826, 6, FALSE)</f>
        <v>0</v>
      </c>
      <c r="H639">
        <f>VLOOKUP($C639, Egli_UPEC_metadata_provided!$A$2:$M$826, 7, FALSE)</f>
        <v>3</v>
      </c>
      <c r="I639">
        <f>VLOOKUP($C639, Egli_UPEC_metadata_provided!$A$2:$M$826, 8, FALSE)</f>
        <v>63.231715652768301</v>
      </c>
      <c r="J639" t="b">
        <f>VLOOKUP($C639, Egli_UPEC_metadata_provided!$A$2:$M$826, 9, FALSE)</f>
        <v>1</v>
      </c>
      <c r="K639">
        <f>VLOOKUP($C639, Egli_UPEC_metadata_provided!$A$2:$M$826, 10, FALSE)</f>
        <v>0</v>
      </c>
      <c r="L639" t="str">
        <f>VLOOKUP($C639, Egli_UPEC_metadata_provided!$A$2:$M$826, 11, FALSE)</f>
        <v>non-invasive</v>
      </c>
      <c r="M639">
        <f>VLOOKUP($C639, Egli_UPEC_metadata_provided!$A$2:$M$826, 12, FALSE)</f>
        <v>0</v>
      </c>
      <c r="N639">
        <f>VLOOKUP($C639, Egli_UPEC_metadata_provided!$A$2:$M$826, 13, FALSE)</f>
        <v>0</v>
      </c>
      <c r="O639">
        <f>VLOOKUP($C639, Egli_UPEC_metadata_provided!$A$2:$N$826, 14, FALSE)</f>
        <v>0</v>
      </c>
    </row>
    <row r="640" spans="1:15" x14ac:dyDescent="0.2">
      <c r="A640" t="s">
        <v>608</v>
      </c>
      <c r="B640" t="s">
        <v>3843</v>
      </c>
      <c r="C640" t="s">
        <v>3843</v>
      </c>
      <c r="D640">
        <f>VLOOKUP($C640, Egli_UPEC_metadata_provided!$A$2:$M$826, 3, FALSE)</f>
        <v>2019</v>
      </c>
      <c r="E640" t="str">
        <f>VLOOKUP($C640, Egli_UPEC_metadata_provided!$A$2:$M$826, 4, FALSE)</f>
        <v>B2-1</v>
      </c>
      <c r="F640" t="str">
        <f>VLOOKUP($C640, Egli_UPEC_metadata_provided!$A$2:$M$826, 5, FALSE)</f>
        <v>w</v>
      </c>
      <c r="G640">
        <f>VLOOKUP($C640, Egli_UPEC_metadata_provided!$A$2:$M$826, 6, FALSE)</f>
        <v>0</v>
      </c>
      <c r="H640">
        <f>VLOOKUP($C640, Egli_UPEC_metadata_provided!$A$2:$M$826, 7, FALSE)</f>
        <v>2</v>
      </c>
      <c r="I640">
        <f>VLOOKUP($C640, Egli_UPEC_metadata_provided!$A$2:$M$826, 8, FALSE)</f>
        <v>88.032809295967198</v>
      </c>
      <c r="J640" t="b">
        <f>VLOOKUP($C640, Egli_UPEC_metadata_provided!$A$2:$M$826, 9, FALSE)</f>
        <v>0</v>
      </c>
      <c r="K640">
        <f>VLOOKUP($C640, Egli_UPEC_metadata_provided!$A$2:$M$826, 10, FALSE)</f>
        <v>1</v>
      </c>
      <c r="L640" t="str">
        <f>VLOOKUP($C640, Egli_UPEC_metadata_provided!$A$2:$M$826, 11, FALSE)</f>
        <v>non-invasive</v>
      </c>
      <c r="M640">
        <f>VLOOKUP($C640, Egli_UPEC_metadata_provided!$A$2:$M$826, 12, FALSE)</f>
        <v>0</v>
      </c>
      <c r="N640">
        <f>VLOOKUP($C640, Egli_UPEC_metadata_provided!$A$2:$M$826, 13, FALSE)</f>
        <v>0</v>
      </c>
      <c r="O640">
        <f>VLOOKUP($C640, Egli_UPEC_metadata_provided!$A$2:$N$826, 14, FALSE)</f>
        <v>1</v>
      </c>
    </row>
    <row r="641" spans="1:15" x14ac:dyDescent="0.2">
      <c r="A641" t="s">
        <v>609</v>
      </c>
      <c r="B641" t="s">
        <v>3844</v>
      </c>
      <c r="C641" t="s">
        <v>3844</v>
      </c>
      <c r="D641">
        <f>VLOOKUP($C641, Egli_UPEC_metadata_provided!$A$2:$M$826, 3, FALSE)</f>
        <v>2019</v>
      </c>
      <c r="E641" t="str">
        <f>VLOOKUP($C641, Egli_UPEC_metadata_provided!$A$2:$M$826, 4, FALSE)</f>
        <v>D1</v>
      </c>
      <c r="F641" t="str">
        <f>VLOOKUP($C641, Egli_UPEC_metadata_provided!$A$2:$M$826, 5, FALSE)</f>
        <v>w</v>
      </c>
      <c r="G641">
        <f>VLOOKUP($C641, Egli_UPEC_metadata_provided!$A$2:$M$826, 6, FALSE)</f>
        <v>0</v>
      </c>
      <c r="H641">
        <f>VLOOKUP($C641, Egli_UPEC_metadata_provided!$A$2:$M$826, 7, FALSE)</f>
        <v>2</v>
      </c>
      <c r="I641">
        <f>VLOOKUP($C641, Egli_UPEC_metadata_provided!$A$2:$M$826, 8, FALSE)</f>
        <v>76.505809979494202</v>
      </c>
      <c r="J641" t="b">
        <f>VLOOKUP($C641, Egli_UPEC_metadata_provided!$A$2:$M$826, 9, FALSE)</f>
        <v>1</v>
      </c>
      <c r="K641">
        <f>VLOOKUP($C641, Egli_UPEC_metadata_provided!$A$2:$M$826, 10, FALSE)</f>
        <v>0</v>
      </c>
      <c r="L641" t="str">
        <f>VLOOKUP($C641, Egli_UPEC_metadata_provided!$A$2:$M$826, 11, FALSE)</f>
        <v>non-invasive</v>
      </c>
      <c r="M641">
        <f>VLOOKUP($C641, Egli_UPEC_metadata_provided!$A$2:$M$826, 12, FALSE)</f>
        <v>1</v>
      </c>
      <c r="N641">
        <f>VLOOKUP($C641, Egli_UPEC_metadata_provided!$A$2:$M$826, 13, FALSE)</f>
        <v>0</v>
      </c>
      <c r="O641">
        <f>VLOOKUP($C641, Egli_UPEC_metadata_provided!$A$2:$N$826, 14, FALSE)</f>
        <v>0</v>
      </c>
    </row>
    <row r="642" spans="1:15" x14ac:dyDescent="0.2">
      <c r="A642" t="s">
        <v>610</v>
      </c>
      <c r="B642" t="s">
        <v>3845</v>
      </c>
      <c r="C642" t="s">
        <v>3845</v>
      </c>
      <c r="D642">
        <f>VLOOKUP($C642, Egli_UPEC_metadata_provided!$A$2:$M$826, 3, FALSE)</f>
        <v>2019</v>
      </c>
      <c r="E642" t="str">
        <f>VLOOKUP($C642, Egli_UPEC_metadata_provided!$A$2:$M$826, 4, FALSE)</f>
        <v>B2-2</v>
      </c>
      <c r="F642" t="str">
        <f>VLOOKUP($C642, Egli_UPEC_metadata_provided!$A$2:$M$826, 5, FALSE)</f>
        <v>w</v>
      </c>
      <c r="G642">
        <f>VLOOKUP($C642, Egli_UPEC_metadata_provided!$A$2:$M$826, 6, FALSE)</f>
        <v>0</v>
      </c>
      <c r="H642">
        <f>VLOOKUP($C642, Egli_UPEC_metadata_provided!$A$2:$M$826, 7, FALSE)</f>
        <v>2</v>
      </c>
      <c r="I642">
        <f>VLOOKUP($C642, Egli_UPEC_metadata_provided!$A$2:$M$826, 8, FALSE)</f>
        <v>96.358168147641805</v>
      </c>
      <c r="J642" t="b">
        <f>VLOOKUP($C642, Egli_UPEC_metadata_provided!$A$2:$M$826, 9, FALSE)</f>
        <v>0</v>
      </c>
      <c r="K642">
        <f>VLOOKUP($C642, Egli_UPEC_metadata_provided!$A$2:$M$826, 10, FALSE)</f>
        <v>0</v>
      </c>
      <c r="L642" t="str">
        <f>VLOOKUP($C642, Egli_UPEC_metadata_provided!$A$2:$M$826, 11, FALSE)</f>
        <v>non-invasive</v>
      </c>
      <c r="M642">
        <f>VLOOKUP($C642, Egli_UPEC_metadata_provided!$A$2:$M$826, 12, FALSE)</f>
        <v>0</v>
      </c>
      <c r="N642">
        <f>VLOOKUP($C642, Egli_UPEC_metadata_provided!$A$2:$M$826, 13, FALSE)</f>
        <v>0</v>
      </c>
      <c r="O642">
        <f>VLOOKUP($C642, Egli_UPEC_metadata_provided!$A$2:$N$826, 14, FALSE)</f>
        <v>0</v>
      </c>
    </row>
    <row r="643" spans="1:15" x14ac:dyDescent="0.2">
      <c r="A643" t="s">
        <v>611</v>
      </c>
      <c r="B643" t="s">
        <v>3846</v>
      </c>
      <c r="C643" t="s">
        <v>3846</v>
      </c>
      <c r="D643">
        <f>VLOOKUP($C643, Egli_UPEC_metadata_provided!$A$2:$M$826, 3, FALSE)</f>
        <v>2019</v>
      </c>
      <c r="E643" t="str">
        <f>VLOOKUP($C643, Egli_UPEC_metadata_provided!$A$2:$M$826, 4, FALSE)</f>
        <v>B2-2</v>
      </c>
      <c r="F643" t="str">
        <f>VLOOKUP($C643, Egli_UPEC_metadata_provided!$A$2:$M$826, 5, FALSE)</f>
        <v>w</v>
      </c>
      <c r="G643">
        <f>VLOOKUP($C643, Egli_UPEC_metadata_provided!$A$2:$M$826, 6, FALSE)</f>
        <v>0</v>
      </c>
      <c r="H643">
        <f>VLOOKUP($C643, Egli_UPEC_metadata_provided!$A$2:$M$826, 7, FALSE)</f>
        <v>5</v>
      </c>
      <c r="I643">
        <f>VLOOKUP($C643, Egli_UPEC_metadata_provided!$A$2:$M$826, 8, FALSE)</f>
        <v>92.161312371838704</v>
      </c>
      <c r="J643" t="b">
        <f>VLOOKUP($C643, Egli_UPEC_metadata_provided!$A$2:$M$826, 9, FALSE)</f>
        <v>1</v>
      </c>
      <c r="K643">
        <f>VLOOKUP($C643, Egli_UPEC_metadata_provided!$A$2:$M$826, 10, FALSE)</f>
        <v>0</v>
      </c>
      <c r="L643" t="str">
        <f>VLOOKUP($C643, Egli_UPEC_metadata_provided!$A$2:$M$826, 11, FALSE)</f>
        <v>non-invasive</v>
      </c>
      <c r="M643">
        <f>VLOOKUP($C643, Egli_UPEC_metadata_provided!$A$2:$M$826, 12, FALSE)</f>
        <v>0</v>
      </c>
      <c r="N643">
        <f>VLOOKUP($C643, Egli_UPEC_metadata_provided!$A$2:$M$826, 13, FALSE)</f>
        <v>0</v>
      </c>
      <c r="O643">
        <f>VLOOKUP($C643, Egli_UPEC_metadata_provided!$A$2:$N$826, 14, FALSE)</f>
        <v>0</v>
      </c>
    </row>
    <row r="644" spans="1:15" x14ac:dyDescent="0.2">
      <c r="A644" t="s">
        <v>612</v>
      </c>
      <c r="B644" t="s">
        <v>3847</v>
      </c>
      <c r="C644" t="s">
        <v>3847</v>
      </c>
      <c r="D644">
        <f>VLOOKUP($C644, Egli_UPEC_metadata_provided!$A$2:$M$826, 3, FALSE)</f>
        <v>2019</v>
      </c>
      <c r="E644" t="str">
        <f>VLOOKUP($C644, Egli_UPEC_metadata_provided!$A$2:$M$826, 4, FALSE)</f>
        <v>B1</v>
      </c>
      <c r="F644" t="str">
        <f>VLOOKUP($C644, Egli_UPEC_metadata_provided!$A$2:$M$826, 5, FALSE)</f>
        <v>w</v>
      </c>
      <c r="G644">
        <f>VLOOKUP($C644, Egli_UPEC_metadata_provided!$A$2:$M$826, 6, FALSE)</f>
        <v>0</v>
      </c>
      <c r="H644">
        <f>VLOOKUP($C644, Egli_UPEC_metadata_provided!$A$2:$M$826, 7, FALSE)</f>
        <v>2</v>
      </c>
      <c r="I644">
        <f>VLOOKUP($C644, Egli_UPEC_metadata_provided!$A$2:$M$826, 8, FALSE)</f>
        <v>82.291182501708803</v>
      </c>
      <c r="J644" t="b">
        <f>VLOOKUP($C644, Egli_UPEC_metadata_provided!$A$2:$M$826, 9, FALSE)</f>
        <v>0</v>
      </c>
      <c r="K644">
        <f>VLOOKUP($C644, Egli_UPEC_metadata_provided!$A$2:$M$826, 10, FALSE)</f>
        <v>0</v>
      </c>
      <c r="L644" t="str">
        <f>VLOOKUP($C644, Egli_UPEC_metadata_provided!$A$2:$M$826, 11, FALSE)</f>
        <v>non-invasive</v>
      </c>
      <c r="M644">
        <f>VLOOKUP($C644, Egli_UPEC_metadata_provided!$A$2:$M$826, 12, FALSE)</f>
        <v>0</v>
      </c>
      <c r="N644">
        <f>VLOOKUP($C644, Egli_UPEC_metadata_provided!$A$2:$M$826, 13, FALSE)</f>
        <v>0</v>
      </c>
      <c r="O644">
        <f>VLOOKUP($C644, Egli_UPEC_metadata_provided!$A$2:$N$826, 14, FALSE)</f>
        <v>1</v>
      </c>
    </row>
    <row r="645" spans="1:15" x14ac:dyDescent="0.2">
      <c r="A645" t="s">
        <v>613</v>
      </c>
      <c r="B645" t="s">
        <v>3848</v>
      </c>
      <c r="C645" t="s">
        <v>3848</v>
      </c>
      <c r="D645">
        <f>VLOOKUP($C645, Egli_UPEC_metadata_provided!$A$2:$M$826, 3, FALSE)</f>
        <v>2019</v>
      </c>
      <c r="E645" t="str">
        <f>VLOOKUP($C645, Egli_UPEC_metadata_provided!$A$2:$M$826, 4, FALSE)</f>
        <v>C</v>
      </c>
      <c r="F645" t="str">
        <f>VLOOKUP($C645, Egli_UPEC_metadata_provided!$A$2:$M$826, 5, FALSE)</f>
        <v>w</v>
      </c>
      <c r="G645">
        <f>VLOOKUP($C645, Egli_UPEC_metadata_provided!$A$2:$M$826, 6, FALSE)</f>
        <v>0</v>
      </c>
      <c r="H645">
        <f>VLOOKUP($C645, Egli_UPEC_metadata_provided!$A$2:$M$826, 7, FALSE)</f>
        <v>2</v>
      </c>
      <c r="I645">
        <f>VLOOKUP($C645, Egli_UPEC_metadata_provided!$A$2:$M$826, 8, FALSE)</f>
        <v>70.313055365686907</v>
      </c>
      <c r="J645" t="b">
        <f>VLOOKUP($C645, Egli_UPEC_metadata_provided!$A$2:$M$826, 9, FALSE)</f>
        <v>0</v>
      </c>
      <c r="K645">
        <f>VLOOKUP($C645, Egli_UPEC_metadata_provided!$A$2:$M$826, 10, FALSE)</f>
        <v>0</v>
      </c>
      <c r="L645" t="str">
        <f>VLOOKUP($C645, Egli_UPEC_metadata_provided!$A$2:$M$826, 11, FALSE)</f>
        <v>non-invasive</v>
      </c>
      <c r="M645">
        <f>VLOOKUP($C645, Egli_UPEC_metadata_provided!$A$2:$M$826, 12, FALSE)</f>
        <v>1</v>
      </c>
      <c r="N645">
        <f>VLOOKUP($C645, Egli_UPEC_metadata_provided!$A$2:$M$826, 13, FALSE)</f>
        <v>0</v>
      </c>
      <c r="O645">
        <f>VLOOKUP($C645, Egli_UPEC_metadata_provided!$A$2:$N$826, 14, FALSE)</f>
        <v>0</v>
      </c>
    </row>
    <row r="646" spans="1:15" x14ac:dyDescent="0.2">
      <c r="A646" t="s">
        <v>614</v>
      </c>
      <c r="B646" t="s">
        <v>3849</v>
      </c>
      <c r="C646" t="s">
        <v>3849</v>
      </c>
      <c r="D646">
        <f>VLOOKUP($C646, Egli_UPEC_metadata_provided!$A$2:$M$826, 3, FALSE)</f>
        <v>2019</v>
      </c>
      <c r="E646" t="str">
        <f>VLOOKUP($C646, Egli_UPEC_metadata_provided!$A$2:$M$826, 4, FALSE)</f>
        <v>D3</v>
      </c>
      <c r="F646" t="str">
        <f>VLOOKUP($C646, Egli_UPEC_metadata_provided!$A$2:$M$826, 5, FALSE)</f>
        <v>w</v>
      </c>
      <c r="G646">
        <f>VLOOKUP($C646, Egli_UPEC_metadata_provided!$A$2:$M$826, 6, FALSE)</f>
        <v>0</v>
      </c>
      <c r="H646">
        <f>VLOOKUP($C646, Egli_UPEC_metadata_provided!$A$2:$M$826, 7, FALSE)</f>
        <v>0</v>
      </c>
      <c r="I646">
        <f>VLOOKUP($C646, Egli_UPEC_metadata_provided!$A$2:$M$826, 8, FALSE)</f>
        <v>35.125085440874898</v>
      </c>
      <c r="J646" t="b">
        <f>VLOOKUP($C646, Egli_UPEC_metadata_provided!$A$2:$M$826, 9, FALSE)</f>
        <v>1</v>
      </c>
      <c r="K646">
        <f>VLOOKUP($C646, Egli_UPEC_metadata_provided!$A$2:$M$826, 10, FALSE)</f>
        <v>0</v>
      </c>
      <c r="L646" t="str">
        <f>VLOOKUP($C646, Egli_UPEC_metadata_provided!$A$2:$M$826, 11, FALSE)</f>
        <v>non-invasive</v>
      </c>
      <c r="M646">
        <f>VLOOKUP($C646, Egli_UPEC_metadata_provided!$A$2:$M$826, 12, FALSE)</f>
        <v>0</v>
      </c>
      <c r="N646">
        <f>VLOOKUP($C646, Egli_UPEC_metadata_provided!$A$2:$M$826, 13, FALSE)</f>
        <v>0</v>
      </c>
      <c r="O646">
        <f>VLOOKUP($C646, Egli_UPEC_metadata_provided!$A$2:$N$826, 14, FALSE)</f>
        <v>0</v>
      </c>
    </row>
    <row r="647" spans="1:15" x14ac:dyDescent="0.2">
      <c r="A647" t="s">
        <v>615</v>
      </c>
      <c r="B647" t="s">
        <v>3850</v>
      </c>
      <c r="C647" t="s">
        <v>3850</v>
      </c>
      <c r="D647">
        <f>VLOOKUP($C647, Egli_UPEC_metadata_provided!$A$2:$M$826, 3, FALSE)</f>
        <v>2019</v>
      </c>
      <c r="E647" t="str">
        <f>VLOOKUP($C647, Egli_UPEC_metadata_provided!$A$2:$M$826, 4, FALSE)</f>
        <v>B2-2</v>
      </c>
      <c r="F647" t="str">
        <f>VLOOKUP($C647, Egli_UPEC_metadata_provided!$A$2:$M$826, 5, FALSE)</f>
        <v>w</v>
      </c>
      <c r="G647">
        <f>VLOOKUP($C647, Egli_UPEC_metadata_provided!$A$2:$M$826, 6, FALSE)</f>
        <v>0</v>
      </c>
      <c r="H647">
        <f>VLOOKUP($C647, Egli_UPEC_metadata_provided!$A$2:$M$826, 7, FALSE)</f>
        <v>2</v>
      </c>
      <c r="I647">
        <f>VLOOKUP($C647, Egli_UPEC_metadata_provided!$A$2:$M$826, 8, FALSE)</f>
        <v>90.580997949419</v>
      </c>
      <c r="J647" t="b">
        <f>VLOOKUP($C647, Egli_UPEC_metadata_provided!$A$2:$M$826, 9, FALSE)</f>
        <v>0</v>
      </c>
      <c r="K647">
        <f>VLOOKUP($C647, Egli_UPEC_metadata_provided!$A$2:$M$826, 10, FALSE)</f>
        <v>0</v>
      </c>
      <c r="L647" t="str">
        <f>VLOOKUP($C647, Egli_UPEC_metadata_provided!$A$2:$M$826, 11, FALSE)</f>
        <v>non-invasive</v>
      </c>
      <c r="M647">
        <f>VLOOKUP($C647, Egli_UPEC_metadata_provided!$A$2:$M$826, 12, FALSE)</f>
        <v>0</v>
      </c>
      <c r="N647">
        <f>VLOOKUP($C647, Egli_UPEC_metadata_provided!$A$2:$M$826, 13, FALSE)</f>
        <v>0</v>
      </c>
      <c r="O647">
        <f>VLOOKUP($C647, Egli_UPEC_metadata_provided!$A$2:$N$826, 14, FALSE)</f>
        <v>0</v>
      </c>
    </row>
    <row r="648" spans="1:15" x14ac:dyDescent="0.2">
      <c r="A648" t="s">
        <v>616</v>
      </c>
      <c r="B648" t="s">
        <v>3851</v>
      </c>
      <c r="C648" t="s">
        <v>3851</v>
      </c>
      <c r="D648">
        <f>VLOOKUP($C648, Egli_UPEC_metadata_provided!$A$2:$M$826, 3, FALSE)</f>
        <v>2019</v>
      </c>
      <c r="E648" t="str">
        <f>VLOOKUP($C648, Egli_UPEC_metadata_provided!$A$2:$M$826, 4, FALSE)</f>
        <v>B2-2</v>
      </c>
      <c r="F648" t="str">
        <f>VLOOKUP($C648, Egli_UPEC_metadata_provided!$A$2:$M$826, 5, FALSE)</f>
        <v>w</v>
      </c>
      <c r="G648">
        <f>VLOOKUP($C648, Egli_UPEC_metadata_provided!$A$2:$M$826, 6, FALSE)</f>
        <v>0</v>
      </c>
      <c r="H648">
        <f>VLOOKUP($C648, Egli_UPEC_metadata_provided!$A$2:$M$826, 7, FALSE)</f>
        <v>3</v>
      </c>
      <c r="I648">
        <f>VLOOKUP($C648, Egli_UPEC_metadata_provided!$A$2:$M$826, 8, FALSE)</f>
        <v>85.643198906356801</v>
      </c>
      <c r="J648" t="b">
        <f>VLOOKUP($C648, Egli_UPEC_metadata_provided!$A$2:$M$826, 9, FALSE)</f>
        <v>0</v>
      </c>
      <c r="K648">
        <f>VLOOKUP($C648, Egli_UPEC_metadata_provided!$A$2:$M$826, 10, FALSE)</f>
        <v>0</v>
      </c>
      <c r="L648" t="str">
        <f>VLOOKUP($C648, Egli_UPEC_metadata_provided!$A$2:$M$826, 11, FALSE)</f>
        <v>non-invasive</v>
      </c>
      <c r="M648">
        <f>VLOOKUP($C648, Egli_UPEC_metadata_provided!$A$2:$M$826, 12, FALSE)</f>
        <v>0</v>
      </c>
      <c r="N648">
        <f>VLOOKUP($C648, Egli_UPEC_metadata_provided!$A$2:$M$826, 13, FALSE)</f>
        <v>0</v>
      </c>
      <c r="O648">
        <f>VLOOKUP($C648, Egli_UPEC_metadata_provided!$A$2:$N$826, 14, FALSE)</f>
        <v>0</v>
      </c>
    </row>
    <row r="649" spans="1:15" x14ac:dyDescent="0.2">
      <c r="A649" t="s">
        <v>617</v>
      </c>
      <c r="B649" t="s">
        <v>3852</v>
      </c>
      <c r="C649" t="s">
        <v>3852</v>
      </c>
      <c r="D649">
        <f>VLOOKUP($C649, Egli_UPEC_metadata_provided!$A$2:$M$826, 3, FALSE)</f>
        <v>2019</v>
      </c>
      <c r="E649" t="str">
        <f>VLOOKUP($C649, Egli_UPEC_metadata_provided!$A$2:$M$826, 4, FALSE)</f>
        <v>B2-1</v>
      </c>
      <c r="F649" t="str">
        <f>VLOOKUP($C649, Egli_UPEC_metadata_provided!$A$2:$M$826, 5, FALSE)</f>
        <v>m</v>
      </c>
      <c r="G649">
        <f>VLOOKUP($C649, Egli_UPEC_metadata_provided!$A$2:$M$826, 6, FALSE)</f>
        <v>0</v>
      </c>
      <c r="H649">
        <f>VLOOKUP($C649, Egli_UPEC_metadata_provided!$A$2:$M$826, 7, FALSE)</f>
        <v>3</v>
      </c>
      <c r="I649">
        <f>VLOOKUP($C649, Egli_UPEC_metadata_provided!$A$2:$M$826, 8, FALSE)</f>
        <v>77.208475734791506</v>
      </c>
      <c r="J649" t="b">
        <f>VLOOKUP($C649, Egli_UPEC_metadata_provided!$A$2:$M$826, 9, FALSE)</f>
        <v>0</v>
      </c>
      <c r="K649">
        <f>VLOOKUP($C649, Egli_UPEC_metadata_provided!$A$2:$M$826, 10, FALSE)</f>
        <v>0</v>
      </c>
      <c r="L649" t="str">
        <f>VLOOKUP($C649, Egli_UPEC_metadata_provided!$A$2:$M$826, 11, FALSE)</f>
        <v>non-invasive</v>
      </c>
      <c r="M649">
        <f>VLOOKUP($C649, Egli_UPEC_metadata_provided!$A$2:$M$826, 12, FALSE)</f>
        <v>1</v>
      </c>
      <c r="N649">
        <f>VLOOKUP($C649, Egli_UPEC_metadata_provided!$A$2:$M$826, 13, FALSE)</f>
        <v>1</v>
      </c>
      <c r="O649">
        <f>VLOOKUP($C649, Egli_UPEC_metadata_provided!$A$2:$N$826, 14, FALSE)</f>
        <v>0</v>
      </c>
    </row>
    <row r="650" spans="1:15" x14ac:dyDescent="0.2">
      <c r="A650" t="s">
        <v>618</v>
      </c>
      <c r="B650" t="s">
        <v>3853</v>
      </c>
      <c r="C650" t="s">
        <v>3853</v>
      </c>
      <c r="D650">
        <f>VLOOKUP($C650, Egli_UPEC_metadata_provided!$A$2:$M$826, 3, FALSE)</f>
        <v>2019</v>
      </c>
      <c r="E650" t="str">
        <f>VLOOKUP($C650, Egli_UPEC_metadata_provided!$A$2:$M$826, 4, FALSE)</f>
        <v>B2-1</v>
      </c>
      <c r="F650" t="str">
        <f>VLOOKUP($C650, Egli_UPEC_metadata_provided!$A$2:$M$826, 5, FALSE)</f>
        <v>w</v>
      </c>
      <c r="G650">
        <f>VLOOKUP($C650, Egli_UPEC_metadata_provided!$A$2:$M$826, 6, FALSE)</f>
        <v>0</v>
      </c>
      <c r="H650">
        <f>VLOOKUP($C650, Egli_UPEC_metadata_provided!$A$2:$M$826, 7, FALSE)</f>
        <v>6</v>
      </c>
      <c r="I650">
        <f>VLOOKUP($C650, Egli_UPEC_metadata_provided!$A$2:$M$826, 8, FALSE)</f>
        <v>71.321941216678098</v>
      </c>
      <c r="J650" t="b">
        <f>VLOOKUP($C650, Egli_UPEC_metadata_provided!$A$2:$M$826, 9, FALSE)</f>
        <v>0</v>
      </c>
      <c r="K650">
        <f>VLOOKUP($C650, Egli_UPEC_metadata_provided!$A$2:$M$826, 10, FALSE)</f>
        <v>0</v>
      </c>
      <c r="L650" t="str">
        <f>VLOOKUP($C650, Egli_UPEC_metadata_provided!$A$2:$M$826, 11, FALSE)</f>
        <v>non-invasive</v>
      </c>
      <c r="M650">
        <f>VLOOKUP($C650, Egli_UPEC_metadata_provided!$A$2:$M$826, 12, FALSE)</f>
        <v>0</v>
      </c>
      <c r="N650">
        <f>VLOOKUP($C650, Egli_UPEC_metadata_provided!$A$2:$M$826, 13, FALSE)</f>
        <v>0</v>
      </c>
      <c r="O650">
        <f>VLOOKUP($C650, Egli_UPEC_metadata_provided!$A$2:$N$826, 14, FALSE)</f>
        <v>0</v>
      </c>
    </row>
    <row r="651" spans="1:15" x14ac:dyDescent="0.2">
      <c r="A651" t="s">
        <v>619</v>
      </c>
      <c r="B651" t="s">
        <v>3854</v>
      </c>
      <c r="C651" t="s">
        <v>3854</v>
      </c>
      <c r="D651">
        <f>VLOOKUP($C651, Egli_UPEC_metadata_provided!$A$2:$M$826, 3, FALSE)</f>
        <v>2019</v>
      </c>
      <c r="E651" t="str">
        <f>VLOOKUP($C651, Egli_UPEC_metadata_provided!$A$2:$M$826, 4, FALSE)</f>
        <v>B2-2</v>
      </c>
      <c r="F651" t="str">
        <f>VLOOKUP($C651, Egli_UPEC_metadata_provided!$A$2:$M$826, 5, FALSE)</f>
        <v>m</v>
      </c>
      <c r="G651">
        <f>VLOOKUP($C651, Egli_UPEC_metadata_provided!$A$2:$M$826, 6, FALSE)</f>
        <v>0</v>
      </c>
      <c r="H651">
        <f>VLOOKUP($C651, Egli_UPEC_metadata_provided!$A$2:$M$826, 7, FALSE)</f>
        <v>11</v>
      </c>
      <c r="I651">
        <f>VLOOKUP($C651, Egli_UPEC_metadata_provided!$A$2:$M$826, 8, FALSE)</f>
        <v>78.556390977443598</v>
      </c>
      <c r="J651" t="b">
        <f>VLOOKUP($C651, Egli_UPEC_metadata_provided!$A$2:$M$826, 9, FALSE)</f>
        <v>0</v>
      </c>
      <c r="K651">
        <f>VLOOKUP($C651, Egli_UPEC_metadata_provided!$A$2:$M$826, 10, FALSE)</f>
        <v>0</v>
      </c>
      <c r="L651" t="str">
        <f>VLOOKUP($C651, Egli_UPEC_metadata_provided!$A$2:$M$826, 11, FALSE)</f>
        <v>non-invasive</v>
      </c>
      <c r="M651">
        <f>VLOOKUP($C651, Egli_UPEC_metadata_provided!$A$2:$M$826, 12, FALSE)</f>
        <v>0</v>
      </c>
      <c r="N651">
        <f>VLOOKUP($C651, Egli_UPEC_metadata_provided!$A$2:$M$826, 13, FALSE)</f>
        <v>0</v>
      </c>
      <c r="O651">
        <f>VLOOKUP($C651, Egli_UPEC_metadata_provided!$A$2:$N$826, 14, FALSE)</f>
        <v>0</v>
      </c>
    </row>
    <row r="652" spans="1:15" x14ac:dyDescent="0.2">
      <c r="A652" t="s">
        <v>620</v>
      </c>
      <c r="B652" t="s">
        <v>3855</v>
      </c>
      <c r="C652" t="s">
        <v>3855</v>
      </c>
      <c r="D652">
        <f>VLOOKUP($C652, Egli_UPEC_metadata_provided!$A$2:$M$826, 3, FALSE)</f>
        <v>2019</v>
      </c>
      <c r="E652" t="str">
        <f>VLOOKUP($C652, Egli_UPEC_metadata_provided!$A$2:$M$826, 4, FALSE)</f>
        <v>B2-2</v>
      </c>
      <c r="F652" t="str">
        <f>VLOOKUP($C652, Egli_UPEC_metadata_provided!$A$2:$M$826, 5, FALSE)</f>
        <v>w</v>
      </c>
      <c r="G652">
        <f>VLOOKUP($C652, Egli_UPEC_metadata_provided!$A$2:$M$826, 6, FALSE)</f>
        <v>0</v>
      </c>
      <c r="H652">
        <f>VLOOKUP($C652, Egli_UPEC_metadata_provided!$A$2:$M$826, 7, FALSE)</f>
        <v>3</v>
      </c>
      <c r="I652">
        <f>VLOOKUP($C652, Egli_UPEC_metadata_provided!$A$2:$M$826, 8, FALSE)</f>
        <v>92.833902939166094</v>
      </c>
      <c r="J652" t="b">
        <f>VLOOKUP($C652, Egli_UPEC_metadata_provided!$A$2:$M$826, 9, FALSE)</f>
        <v>0</v>
      </c>
      <c r="K652">
        <f>VLOOKUP($C652, Egli_UPEC_metadata_provided!$A$2:$M$826, 10, FALSE)</f>
        <v>0</v>
      </c>
      <c r="L652" t="str">
        <f>VLOOKUP($C652, Egli_UPEC_metadata_provided!$A$2:$M$826, 11, FALSE)</f>
        <v>non-invasive</v>
      </c>
      <c r="M652">
        <f>VLOOKUP($C652, Egli_UPEC_metadata_provided!$A$2:$M$826, 12, FALSE)</f>
        <v>0</v>
      </c>
      <c r="N652">
        <f>VLOOKUP($C652, Egli_UPEC_metadata_provided!$A$2:$M$826, 13, FALSE)</f>
        <v>0</v>
      </c>
      <c r="O652">
        <f>VLOOKUP($C652, Egli_UPEC_metadata_provided!$A$2:$N$826, 14, FALSE)</f>
        <v>0</v>
      </c>
    </row>
    <row r="653" spans="1:15" x14ac:dyDescent="0.2">
      <c r="A653" t="s">
        <v>621</v>
      </c>
      <c r="B653" t="s">
        <v>3856</v>
      </c>
      <c r="C653" t="s">
        <v>3856</v>
      </c>
      <c r="D653">
        <f>VLOOKUP($C653, Egli_UPEC_metadata_provided!$A$2:$M$826, 3, FALSE)</f>
        <v>2019</v>
      </c>
      <c r="E653" t="str">
        <f>VLOOKUP($C653, Egli_UPEC_metadata_provided!$A$2:$M$826, 4, FALSE)</f>
        <v>B2-2</v>
      </c>
      <c r="F653" t="str">
        <f>VLOOKUP($C653, Egli_UPEC_metadata_provided!$A$2:$M$826, 5, FALSE)</f>
        <v>w</v>
      </c>
      <c r="G653">
        <f>VLOOKUP($C653, Egli_UPEC_metadata_provided!$A$2:$M$826, 6, FALSE)</f>
        <v>0</v>
      </c>
      <c r="H653">
        <f>VLOOKUP($C653, Egli_UPEC_metadata_provided!$A$2:$M$826, 7, FALSE)</f>
        <v>2</v>
      </c>
      <c r="I653">
        <f>VLOOKUP($C653, Egli_UPEC_metadata_provided!$A$2:$M$826, 8, FALSE)</f>
        <v>89.861927546138105</v>
      </c>
      <c r="J653" t="b">
        <f>VLOOKUP($C653, Egli_UPEC_metadata_provided!$A$2:$M$826, 9, FALSE)</f>
        <v>0</v>
      </c>
      <c r="K653">
        <f>VLOOKUP($C653, Egli_UPEC_metadata_provided!$A$2:$M$826, 10, FALSE)</f>
        <v>0</v>
      </c>
      <c r="L653" t="str">
        <f>VLOOKUP($C653, Egli_UPEC_metadata_provided!$A$2:$M$826, 11, FALSE)</f>
        <v>non-invasive</v>
      </c>
      <c r="M653">
        <f>VLOOKUP($C653, Egli_UPEC_metadata_provided!$A$2:$M$826, 12, FALSE)</f>
        <v>0</v>
      </c>
      <c r="N653">
        <f>VLOOKUP($C653, Egli_UPEC_metadata_provided!$A$2:$M$826, 13, FALSE)</f>
        <v>0</v>
      </c>
      <c r="O653">
        <f>VLOOKUP($C653, Egli_UPEC_metadata_provided!$A$2:$N$826, 14, FALSE)</f>
        <v>0</v>
      </c>
    </row>
    <row r="654" spans="1:15" x14ac:dyDescent="0.2">
      <c r="A654" t="s">
        <v>622</v>
      </c>
      <c r="B654" t="s">
        <v>3857</v>
      </c>
      <c r="C654" t="s">
        <v>3857</v>
      </c>
      <c r="D654">
        <f>VLOOKUP($C654, Egli_UPEC_metadata_provided!$A$2:$M$826, 3, FALSE)</f>
        <v>2019</v>
      </c>
      <c r="E654" t="str">
        <f>VLOOKUP($C654, Egli_UPEC_metadata_provided!$A$2:$M$826, 4, FALSE)</f>
        <v>B2-1</v>
      </c>
      <c r="F654" t="str">
        <f>VLOOKUP($C654, Egli_UPEC_metadata_provided!$A$2:$M$826, 5, FALSE)</f>
        <v>w</v>
      </c>
      <c r="G654">
        <f>VLOOKUP($C654, Egli_UPEC_metadata_provided!$A$2:$M$826, 6, FALSE)</f>
        <v>0</v>
      </c>
      <c r="H654">
        <f>VLOOKUP($C654, Egli_UPEC_metadata_provided!$A$2:$M$826, 7, FALSE)</f>
        <v>2</v>
      </c>
      <c r="I654">
        <f>VLOOKUP($C654, Egli_UPEC_metadata_provided!$A$2:$M$826, 8, FALSE)</f>
        <v>88.792891319207101</v>
      </c>
      <c r="J654" t="b">
        <f>VLOOKUP($C654, Egli_UPEC_metadata_provided!$A$2:$M$826, 9, FALSE)</f>
        <v>0</v>
      </c>
      <c r="K654">
        <f>VLOOKUP($C654, Egli_UPEC_metadata_provided!$A$2:$M$826, 10, FALSE)</f>
        <v>0</v>
      </c>
      <c r="L654" t="str">
        <f>VLOOKUP($C654, Egli_UPEC_metadata_provided!$A$2:$M$826, 11, FALSE)</f>
        <v>non-invasive</v>
      </c>
      <c r="M654">
        <f>VLOOKUP($C654, Egli_UPEC_metadata_provided!$A$2:$M$826, 12, FALSE)</f>
        <v>0</v>
      </c>
      <c r="N654">
        <f>VLOOKUP($C654, Egli_UPEC_metadata_provided!$A$2:$M$826, 13, FALSE)</f>
        <v>0</v>
      </c>
      <c r="O654">
        <f>VLOOKUP($C654, Egli_UPEC_metadata_provided!$A$2:$N$826, 14, FALSE)</f>
        <v>1</v>
      </c>
    </row>
    <row r="655" spans="1:15" x14ac:dyDescent="0.2">
      <c r="A655" t="s">
        <v>623</v>
      </c>
      <c r="B655" t="s">
        <v>3858</v>
      </c>
      <c r="C655" t="s">
        <v>3858</v>
      </c>
      <c r="D655">
        <f>VLOOKUP($C655, Egli_UPEC_metadata_provided!$A$2:$M$826, 3, FALSE)</f>
        <v>2019</v>
      </c>
      <c r="E655" t="str">
        <f>VLOOKUP($C655, Egli_UPEC_metadata_provided!$A$2:$M$826, 4, FALSE)</f>
        <v>B2-2</v>
      </c>
      <c r="F655" t="str">
        <f>VLOOKUP($C655, Egli_UPEC_metadata_provided!$A$2:$M$826, 5, FALSE)</f>
        <v>w</v>
      </c>
      <c r="G655">
        <f>VLOOKUP($C655, Egli_UPEC_metadata_provided!$A$2:$M$826, 6, FALSE)</f>
        <v>0</v>
      </c>
      <c r="H655">
        <f>VLOOKUP($C655, Egli_UPEC_metadata_provided!$A$2:$M$826, 7, FALSE)</f>
        <v>3</v>
      </c>
      <c r="I655">
        <f>VLOOKUP($C655, Egli_UPEC_metadata_provided!$A$2:$M$826, 8, FALSE)</f>
        <v>69.372522214627494</v>
      </c>
      <c r="J655" t="b">
        <f>VLOOKUP($C655, Egli_UPEC_metadata_provided!$A$2:$M$826, 9, FALSE)</f>
        <v>0</v>
      </c>
      <c r="K655">
        <f>VLOOKUP($C655, Egli_UPEC_metadata_provided!$A$2:$M$826, 10, FALSE)</f>
        <v>0</v>
      </c>
      <c r="L655" t="str">
        <f>VLOOKUP($C655, Egli_UPEC_metadata_provided!$A$2:$M$826, 11, FALSE)</f>
        <v>non-invasive</v>
      </c>
      <c r="M655">
        <f>VLOOKUP($C655, Egli_UPEC_metadata_provided!$A$2:$M$826, 12, FALSE)</f>
        <v>0</v>
      </c>
      <c r="N655">
        <f>VLOOKUP($C655, Egli_UPEC_metadata_provided!$A$2:$M$826, 13, FALSE)</f>
        <v>0</v>
      </c>
      <c r="O655">
        <f>VLOOKUP($C655, Egli_UPEC_metadata_provided!$A$2:$N$826, 14, FALSE)</f>
        <v>0</v>
      </c>
    </row>
    <row r="656" spans="1:15" x14ac:dyDescent="0.2">
      <c r="A656" t="s">
        <v>624</v>
      </c>
      <c r="B656" t="s">
        <v>3859</v>
      </c>
      <c r="C656" t="s">
        <v>3859</v>
      </c>
      <c r="D656">
        <f>VLOOKUP($C656, Egli_UPEC_metadata_provided!$A$2:$M$826, 3, FALSE)</f>
        <v>2019</v>
      </c>
      <c r="E656" t="str">
        <f>VLOOKUP($C656, Egli_UPEC_metadata_provided!$A$2:$M$826, 4, FALSE)</f>
        <v>B1</v>
      </c>
      <c r="F656" t="str">
        <f>VLOOKUP($C656, Egli_UPEC_metadata_provided!$A$2:$M$826, 5, FALSE)</f>
        <v>w</v>
      </c>
      <c r="G656">
        <f>VLOOKUP($C656, Egli_UPEC_metadata_provided!$A$2:$M$826, 6, FALSE)</f>
        <v>0</v>
      </c>
      <c r="H656">
        <f>VLOOKUP($C656, Egli_UPEC_metadata_provided!$A$2:$M$826, 7, FALSE)</f>
        <v>3</v>
      </c>
      <c r="I656">
        <f>VLOOKUP($C656, Egli_UPEC_metadata_provided!$A$2:$M$826, 8, FALSE)</f>
        <v>80.467532467532493</v>
      </c>
      <c r="J656" t="b">
        <f>VLOOKUP($C656, Egli_UPEC_metadata_provided!$A$2:$M$826, 9, FALSE)</f>
        <v>0</v>
      </c>
      <c r="K656">
        <f>VLOOKUP($C656, Egli_UPEC_metadata_provided!$A$2:$M$826, 10, FALSE)</f>
        <v>0</v>
      </c>
      <c r="L656" t="str">
        <f>VLOOKUP($C656, Egli_UPEC_metadata_provided!$A$2:$M$826, 11, FALSE)</f>
        <v>non-invasive</v>
      </c>
      <c r="M656">
        <f>VLOOKUP($C656, Egli_UPEC_metadata_provided!$A$2:$M$826, 12, FALSE)</f>
        <v>0</v>
      </c>
      <c r="N656">
        <f>VLOOKUP($C656, Egli_UPEC_metadata_provided!$A$2:$M$826, 13, FALSE)</f>
        <v>0</v>
      </c>
      <c r="O656">
        <f>VLOOKUP($C656, Egli_UPEC_metadata_provided!$A$2:$N$826, 14, FALSE)</f>
        <v>0</v>
      </c>
    </row>
    <row r="657" spans="1:15" x14ac:dyDescent="0.2">
      <c r="A657" t="s">
        <v>625</v>
      </c>
      <c r="B657" t="s">
        <v>3860</v>
      </c>
      <c r="C657" t="s">
        <v>3860</v>
      </c>
      <c r="D657">
        <f>VLOOKUP($C657, Egli_UPEC_metadata_provided!$A$2:$M$826, 3, FALSE)</f>
        <v>2019</v>
      </c>
      <c r="E657" t="str">
        <f>VLOOKUP($C657, Egli_UPEC_metadata_provided!$A$2:$M$826, 4, FALSE)</f>
        <v>B2-2</v>
      </c>
      <c r="F657" t="str">
        <f>VLOOKUP($C657, Egli_UPEC_metadata_provided!$A$2:$M$826, 5, FALSE)</f>
        <v>w</v>
      </c>
      <c r="G657">
        <f>VLOOKUP($C657, Egli_UPEC_metadata_provided!$A$2:$M$826, 6, FALSE)</f>
        <v>1</v>
      </c>
      <c r="H657">
        <f>VLOOKUP($C657, Egli_UPEC_metadata_provided!$A$2:$M$826, 7, FALSE)</f>
        <v>2</v>
      </c>
      <c r="I657">
        <f>VLOOKUP($C657, Egli_UPEC_metadata_provided!$A$2:$M$826, 8, FALSE)</f>
        <v>30.138072453861898</v>
      </c>
      <c r="J657" t="b">
        <f>VLOOKUP($C657, Egli_UPEC_metadata_provided!$A$2:$M$826, 9, FALSE)</f>
        <v>0</v>
      </c>
      <c r="K657">
        <f>VLOOKUP($C657, Egli_UPEC_metadata_provided!$A$2:$M$826, 10, FALSE)</f>
        <v>0</v>
      </c>
      <c r="L657" t="str">
        <f>VLOOKUP($C657, Egli_UPEC_metadata_provided!$A$2:$M$826, 11, FALSE)</f>
        <v>non-invasive</v>
      </c>
      <c r="M657">
        <f>VLOOKUP($C657, Egli_UPEC_metadata_provided!$A$2:$M$826, 12, FALSE)</f>
        <v>1</v>
      </c>
      <c r="N657">
        <f>VLOOKUP($C657, Egli_UPEC_metadata_provided!$A$2:$M$826, 13, FALSE)</f>
        <v>0</v>
      </c>
      <c r="O657">
        <f>VLOOKUP($C657, Egli_UPEC_metadata_provided!$A$2:$N$826, 14, FALSE)</f>
        <v>1</v>
      </c>
    </row>
    <row r="658" spans="1:15" x14ac:dyDescent="0.2">
      <c r="A658" t="s">
        <v>626</v>
      </c>
      <c r="B658" t="s">
        <v>3861</v>
      </c>
      <c r="C658" t="s">
        <v>3861</v>
      </c>
      <c r="D658">
        <f>VLOOKUP($C658, Egli_UPEC_metadata_provided!$A$2:$M$826, 3, FALSE)</f>
        <v>2019</v>
      </c>
      <c r="E658" t="str">
        <f>VLOOKUP($C658, Egli_UPEC_metadata_provided!$A$2:$M$826, 4, FALSE)</f>
        <v>B2-2</v>
      </c>
      <c r="F658" t="str">
        <f>VLOOKUP($C658, Egli_UPEC_metadata_provided!$A$2:$M$826, 5, FALSE)</f>
        <v>m</v>
      </c>
      <c r="G658">
        <f>VLOOKUP($C658, Egli_UPEC_metadata_provided!$A$2:$M$826, 6, FALSE)</f>
        <v>1</v>
      </c>
      <c r="H658">
        <f>VLOOKUP($C658, Egli_UPEC_metadata_provided!$A$2:$M$826, 7, FALSE)</f>
        <v>4</v>
      </c>
      <c r="I658">
        <f>VLOOKUP($C658, Egli_UPEC_metadata_provided!$A$2:$M$826, 8, FALSE)</f>
        <v>66.086124401913906</v>
      </c>
      <c r="J658" t="b">
        <f>VLOOKUP($C658, Egli_UPEC_metadata_provided!$A$2:$M$826, 9, FALSE)</f>
        <v>1</v>
      </c>
      <c r="K658">
        <f>VLOOKUP($C658, Egli_UPEC_metadata_provided!$A$2:$M$826, 10, FALSE)</f>
        <v>1</v>
      </c>
      <c r="L658" t="str">
        <f>VLOOKUP($C658, Egli_UPEC_metadata_provided!$A$2:$M$826, 11, FALSE)</f>
        <v>non-invasive</v>
      </c>
      <c r="M658">
        <f>VLOOKUP($C658, Egli_UPEC_metadata_provided!$A$2:$M$826, 12, FALSE)</f>
        <v>1</v>
      </c>
      <c r="N658">
        <f>VLOOKUP($C658, Egli_UPEC_metadata_provided!$A$2:$M$826, 13, FALSE)</f>
        <v>0</v>
      </c>
      <c r="O658">
        <f>VLOOKUP($C658, Egli_UPEC_metadata_provided!$A$2:$N$826, 14, FALSE)</f>
        <v>1</v>
      </c>
    </row>
    <row r="659" spans="1:15" x14ac:dyDescent="0.2">
      <c r="A659" t="s">
        <v>627</v>
      </c>
      <c r="B659" t="s">
        <v>3862</v>
      </c>
      <c r="C659" t="s">
        <v>3862</v>
      </c>
      <c r="D659">
        <f>VLOOKUP($C659, Egli_UPEC_metadata_provided!$A$2:$M$826, 3, FALSE)</f>
        <v>2019</v>
      </c>
      <c r="E659" t="str">
        <f>VLOOKUP($C659, Egli_UPEC_metadata_provided!$A$2:$M$826, 4, FALSE)</f>
        <v>B2-1</v>
      </c>
      <c r="F659" t="str">
        <f>VLOOKUP($C659, Egli_UPEC_metadata_provided!$A$2:$M$826, 5, FALSE)</f>
        <v>w</v>
      </c>
      <c r="G659">
        <f>VLOOKUP($C659, Egli_UPEC_metadata_provided!$A$2:$M$826, 6, FALSE)</f>
        <v>0</v>
      </c>
      <c r="H659">
        <f>VLOOKUP($C659, Egli_UPEC_metadata_provided!$A$2:$M$826, 7, FALSE)</f>
        <v>2</v>
      </c>
      <c r="I659">
        <f>VLOOKUP($C659, Egli_UPEC_metadata_provided!$A$2:$M$826, 8, FALSE)</f>
        <v>75.696514012303496</v>
      </c>
      <c r="J659" t="b">
        <f>VLOOKUP($C659, Egli_UPEC_metadata_provided!$A$2:$M$826, 9, FALSE)</f>
        <v>0</v>
      </c>
      <c r="K659">
        <f>VLOOKUP($C659, Egli_UPEC_metadata_provided!$A$2:$M$826, 10, FALSE)</f>
        <v>0</v>
      </c>
      <c r="L659" t="str">
        <f>VLOOKUP($C659, Egli_UPEC_metadata_provided!$A$2:$M$826, 11, FALSE)</f>
        <v>non-invasive</v>
      </c>
      <c r="M659">
        <f>VLOOKUP($C659, Egli_UPEC_metadata_provided!$A$2:$M$826, 12, FALSE)</f>
        <v>1</v>
      </c>
      <c r="N659">
        <f>VLOOKUP($C659, Egli_UPEC_metadata_provided!$A$2:$M$826, 13, FALSE)</f>
        <v>0</v>
      </c>
      <c r="O659">
        <f>VLOOKUP($C659, Egli_UPEC_metadata_provided!$A$2:$N$826, 14, FALSE)</f>
        <v>1</v>
      </c>
    </row>
    <row r="660" spans="1:15" x14ac:dyDescent="0.2">
      <c r="A660" t="s">
        <v>628</v>
      </c>
      <c r="B660" t="s">
        <v>3863</v>
      </c>
      <c r="C660" t="s">
        <v>3863</v>
      </c>
      <c r="D660">
        <f>VLOOKUP($C660, Egli_UPEC_metadata_provided!$A$2:$M$826, 3, FALSE)</f>
        <v>2019</v>
      </c>
      <c r="E660" t="str">
        <f>VLOOKUP($C660, Egli_UPEC_metadata_provided!$A$2:$M$826, 4, FALSE)</f>
        <v>B2-2</v>
      </c>
      <c r="F660" t="str">
        <f>VLOOKUP($C660, Egli_UPEC_metadata_provided!$A$2:$M$826, 5, FALSE)</f>
        <v>w</v>
      </c>
      <c r="G660">
        <f>VLOOKUP($C660, Egli_UPEC_metadata_provided!$A$2:$M$826, 6, FALSE)</f>
        <v>0</v>
      </c>
      <c r="H660">
        <f>VLOOKUP($C660, Egli_UPEC_metadata_provided!$A$2:$M$826, 7, FALSE)</f>
        <v>1</v>
      </c>
      <c r="I660">
        <f>VLOOKUP($C660, Egli_UPEC_metadata_provided!$A$2:$M$826, 8, FALSE)</f>
        <v>69.760765550239199</v>
      </c>
      <c r="J660" t="b">
        <f>VLOOKUP($C660, Egli_UPEC_metadata_provided!$A$2:$M$826, 9, FALSE)</f>
        <v>0</v>
      </c>
      <c r="K660">
        <f>VLOOKUP($C660, Egli_UPEC_metadata_provided!$A$2:$M$826, 10, FALSE)</f>
        <v>0</v>
      </c>
      <c r="L660" t="str">
        <f>VLOOKUP($C660, Egli_UPEC_metadata_provided!$A$2:$M$826, 11, FALSE)</f>
        <v>non-invasive</v>
      </c>
      <c r="M660">
        <f>VLOOKUP($C660, Egli_UPEC_metadata_provided!$A$2:$M$826, 12, FALSE)</f>
        <v>0</v>
      </c>
      <c r="N660">
        <f>VLOOKUP($C660, Egli_UPEC_metadata_provided!$A$2:$M$826, 13, FALSE)</f>
        <v>0</v>
      </c>
      <c r="O660">
        <f>VLOOKUP($C660, Egli_UPEC_metadata_provided!$A$2:$N$826, 14, FALSE)</f>
        <v>0</v>
      </c>
    </row>
    <row r="661" spans="1:15" x14ac:dyDescent="0.2">
      <c r="A661" t="s">
        <v>629</v>
      </c>
      <c r="B661" t="s">
        <v>3864</v>
      </c>
      <c r="C661" t="s">
        <v>3864</v>
      </c>
      <c r="D661">
        <f>VLOOKUP($C661, Egli_UPEC_metadata_provided!$A$2:$M$826, 3, FALSE)</f>
        <v>2019</v>
      </c>
      <c r="E661" t="str">
        <f>VLOOKUP($C661, Egli_UPEC_metadata_provided!$A$2:$M$826, 4, FALSE)</f>
        <v>B2-2</v>
      </c>
      <c r="F661" t="str">
        <f>VLOOKUP($C661, Egli_UPEC_metadata_provided!$A$2:$M$826, 5, FALSE)</f>
        <v>w</v>
      </c>
      <c r="G661">
        <f>VLOOKUP($C661, Egli_UPEC_metadata_provided!$A$2:$M$826, 6, FALSE)</f>
        <v>0</v>
      </c>
      <c r="H661">
        <f>VLOOKUP($C661, Egli_UPEC_metadata_provided!$A$2:$M$826, 7, FALSE)</f>
        <v>0</v>
      </c>
      <c r="I661">
        <f>VLOOKUP($C661, Egli_UPEC_metadata_provided!$A$2:$M$826, 8, FALSE)</f>
        <v>84.656185919343798</v>
      </c>
      <c r="J661" t="b">
        <f>VLOOKUP($C661, Egli_UPEC_metadata_provided!$A$2:$M$826, 9, FALSE)</f>
        <v>0</v>
      </c>
      <c r="K661">
        <f>VLOOKUP($C661, Egli_UPEC_metadata_provided!$A$2:$M$826, 10, FALSE)</f>
        <v>0</v>
      </c>
      <c r="L661" t="str">
        <f>VLOOKUP($C661, Egli_UPEC_metadata_provided!$A$2:$M$826, 11, FALSE)</f>
        <v>non-invasive</v>
      </c>
      <c r="M661">
        <f>VLOOKUP($C661, Egli_UPEC_metadata_provided!$A$2:$M$826, 12, FALSE)</f>
        <v>1</v>
      </c>
      <c r="N661">
        <f>VLOOKUP($C661, Egli_UPEC_metadata_provided!$A$2:$M$826, 13, FALSE)</f>
        <v>0</v>
      </c>
      <c r="O661">
        <f>VLOOKUP($C661, Egli_UPEC_metadata_provided!$A$2:$N$826, 14, FALSE)</f>
        <v>0</v>
      </c>
    </row>
    <row r="662" spans="1:15" x14ac:dyDescent="0.2">
      <c r="A662" t="s">
        <v>630</v>
      </c>
      <c r="B662" t="s">
        <v>3865</v>
      </c>
      <c r="C662" t="s">
        <v>3865</v>
      </c>
      <c r="D662">
        <f>VLOOKUP($C662, Egli_UPEC_metadata_provided!$A$2:$M$826, 3, FALSE)</f>
        <v>2019</v>
      </c>
      <c r="E662" t="str">
        <f>VLOOKUP($C662, Egli_UPEC_metadata_provided!$A$2:$M$826, 4, FALSE)</f>
        <v>D1</v>
      </c>
      <c r="F662" t="str">
        <f>VLOOKUP($C662, Egli_UPEC_metadata_provided!$A$2:$M$826, 5, FALSE)</f>
        <v>w</v>
      </c>
      <c r="G662">
        <f>VLOOKUP($C662, Egli_UPEC_metadata_provided!$A$2:$M$826, 6, FALSE)</f>
        <v>0</v>
      </c>
      <c r="H662">
        <f>VLOOKUP($C662, Egli_UPEC_metadata_provided!$A$2:$M$826, 7, FALSE)</f>
        <v>3</v>
      </c>
      <c r="I662">
        <f>VLOOKUP($C662, Egli_UPEC_metadata_provided!$A$2:$M$826, 8, FALSE)</f>
        <v>51.890635680109398</v>
      </c>
      <c r="J662" t="b">
        <f>VLOOKUP($C662, Egli_UPEC_metadata_provided!$A$2:$M$826, 9, FALSE)</f>
        <v>0</v>
      </c>
      <c r="K662">
        <f>VLOOKUP($C662, Egli_UPEC_metadata_provided!$A$2:$M$826, 10, FALSE)</f>
        <v>0</v>
      </c>
      <c r="L662" t="str">
        <f>VLOOKUP($C662, Egli_UPEC_metadata_provided!$A$2:$M$826, 11, FALSE)</f>
        <v>non-invasive</v>
      </c>
      <c r="M662">
        <f>VLOOKUP($C662, Egli_UPEC_metadata_provided!$A$2:$M$826, 12, FALSE)</f>
        <v>1</v>
      </c>
      <c r="N662">
        <f>VLOOKUP($C662, Egli_UPEC_metadata_provided!$A$2:$M$826, 13, FALSE)</f>
        <v>0</v>
      </c>
      <c r="O662">
        <f>VLOOKUP($C662, Egli_UPEC_metadata_provided!$A$2:$N$826, 14, FALSE)</f>
        <v>0</v>
      </c>
    </row>
    <row r="663" spans="1:15" x14ac:dyDescent="0.2">
      <c r="A663" t="s">
        <v>631</v>
      </c>
      <c r="B663" t="s">
        <v>3866</v>
      </c>
      <c r="C663" t="s">
        <v>3866</v>
      </c>
      <c r="D663">
        <f>VLOOKUP($C663, Egli_UPEC_metadata_provided!$A$2:$M$826, 3, FALSE)</f>
        <v>2019</v>
      </c>
      <c r="E663" t="str">
        <f>VLOOKUP($C663, Egli_UPEC_metadata_provided!$A$2:$M$826, 4, FALSE)</f>
        <v>B2-1</v>
      </c>
      <c r="F663" t="str">
        <f>VLOOKUP($C663, Egli_UPEC_metadata_provided!$A$2:$M$826, 5, FALSE)</f>
        <v>w</v>
      </c>
      <c r="G663">
        <f>VLOOKUP($C663, Egli_UPEC_metadata_provided!$A$2:$M$826, 6, FALSE)</f>
        <v>1</v>
      </c>
      <c r="H663">
        <f>VLOOKUP($C663, Egli_UPEC_metadata_provided!$A$2:$M$826, 7, FALSE)</f>
        <v>3</v>
      </c>
      <c r="I663">
        <f>VLOOKUP($C663, Egli_UPEC_metadata_provided!$A$2:$M$826, 8, FALSE)</f>
        <v>60.385509227614499</v>
      </c>
      <c r="J663" t="b">
        <f>VLOOKUP($C663, Egli_UPEC_metadata_provided!$A$2:$M$826, 9, FALSE)</f>
        <v>0</v>
      </c>
      <c r="K663">
        <f>VLOOKUP($C663, Egli_UPEC_metadata_provided!$A$2:$M$826, 10, FALSE)</f>
        <v>0</v>
      </c>
      <c r="L663" t="str">
        <f>VLOOKUP($C663, Egli_UPEC_metadata_provided!$A$2:$M$826, 11, FALSE)</f>
        <v>non-invasive</v>
      </c>
      <c r="M663">
        <f>VLOOKUP($C663, Egli_UPEC_metadata_provided!$A$2:$M$826, 12, FALSE)</f>
        <v>0</v>
      </c>
      <c r="N663">
        <f>VLOOKUP($C663, Egli_UPEC_metadata_provided!$A$2:$M$826, 13, FALSE)</f>
        <v>0</v>
      </c>
      <c r="O663">
        <f>VLOOKUP($C663, Egli_UPEC_metadata_provided!$A$2:$N$826, 14, FALSE)</f>
        <v>0</v>
      </c>
    </row>
    <row r="664" spans="1:15" x14ac:dyDescent="0.2">
      <c r="A664" t="s">
        <v>632</v>
      </c>
      <c r="B664" t="s">
        <v>3867</v>
      </c>
      <c r="C664" t="s">
        <v>3867</v>
      </c>
      <c r="D664">
        <f>VLOOKUP($C664, Egli_UPEC_metadata_provided!$A$2:$M$826, 3, FALSE)</f>
        <v>2019</v>
      </c>
      <c r="E664" t="str">
        <f>VLOOKUP($C664, Egli_UPEC_metadata_provided!$A$2:$M$826, 4, FALSE)</f>
        <v>B1</v>
      </c>
      <c r="F664" t="str">
        <f>VLOOKUP($C664, Egli_UPEC_metadata_provided!$A$2:$M$826, 5, FALSE)</f>
        <v>w</v>
      </c>
      <c r="G664">
        <f>VLOOKUP($C664, Egli_UPEC_metadata_provided!$A$2:$M$826, 6, FALSE)</f>
        <v>0</v>
      </c>
      <c r="H664">
        <f>VLOOKUP($C664, Egli_UPEC_metadata_provided!$A$2:$M$826, 7, FALSE)</f>
        <v>0</v>
      </c>
      <c r="I664">
        <f>VLOOKUP($C664, Egli_UPEC_metadata_provided!$A$2:$M$826, 8, FALSE)</f>
        <v>69.432672590567293</v>
      </c>
      <c r="J664" t="b">
        <f>VLOOKUP($C664, Egli_UPEC_metadata_provided!$A$2:$M$826, 9, FALSE)</f>
        <v>0</v>
      </c>
      <c r="K664">
        <f>VLOOKUP($C664, Egli_UPEC_metadata_provided!$A$2:$M$826, 10, FALSE)</f>
        <v>0</v>
      </c>
      <c r="L664" t="str">
        <f>VLOOKUP($C664, Egli_UPEC_metadata_provided!$A$2:$M$826, 11, FALSE)</f>
        <v>non-invasive</v>
      </c>
      <c r="M664">
        <f>VLOOKUP($C664, Egli_UPEC_metadata_provided!$A$2:$M$826, 12, FALSE)</f>
        <v>0</v>
      </c>
      <c r="N664">
        <f>VLOOKUP($C664, Egli_UPEC_metadata_provided!$A$2:$M$826, 13, FALSE)</f>
        <v>0</v>
      </c>
      <c r="O664">
        <f>VLOOKUP($C664, Egli_UPEC_metadata_provided!$A$2:$N$826, 14, FALSE)</f>
        <v>0</v>
      </c>
    </row>
    <row r="665" spans="1:15" x14ac:dyDescent="0.2">
      <c r="A665" t="s">
        <v>633</v>
      </c>
      <c r="B665" t="s">
        <v>3868</v>
      </c>
      <c r="C665" t="s">
        <v>3868</v>
      </c>
      <c r="D665">
        <f>VLOOKUP($C665, Egli_UPEC_metadata_provided!$A$2:$M$826, 3, FALSE)</f>
        <v>2019</v>
      </c>
      <c r="E665" t="str">
        <f>VLOOKUP($C665, Egli_UPEC_metadata_provided!$A$2:$M$826, 4, FALSE)</f>
        <v>A</v>
      </c>
      <c r="F665" t="str">
        <f>VLOOKUP($C665, Egli_UPEC_metadata_provided!$A$2:$M$826, 5, FALSE)</f>
        <v>w</v>
      </c>
      <c r="G665">
        <f>VLOOKUP($C665, Egli_UPEC_metadata_provided!$A$2:$M$826, 6, FALSE)</f>
        <v>0</v>
      </c>
      <c r="H665">
        <f>VLOOKUP($C665, Egli_UPEC_metadata_provided!$A$2:$M$826, 7, FALSE)</f>
        <v>2</v>
      </c>
      <c r="I665">
        <f>VLOOKUP($C665, Egli_UPEC_metadata_provided!$A$2:$M$826, 8, FALSE)</f>
        <v>65.766233766233796</v>
      </c>
      <c r="J665" t="b">
        <f>VLOOKUP($C665, Egli_UPEC_metadata_provided!$A$2:$M$826, 9, FALSE)</f>
        <v>0</v>
      </c>
      <c r="K665">
        <f>VLOOKUP($C665, Egli_UPEC_metadata_provided!$A$2:$M$826, 10, FALSE)</f>
        <v>0</v>
      </c>
      <c r="L665" t="str">
        <f>VLOOKUP($C665, Egli_UPEC_metadata_provided!$A$2:$M$826, 11, FALSE)</f>
        <v>non-invasive</v>
      </c>
      <c r="M665">
        <f>VLOOKUP($C665, Egli_UPEC_metadata_provided!$A$2:$M$826, 12, FALSE)</f>
        <v>0</v>
      </c>
      <c r="N665">
        <f>VLOOKUP($C665, Egli_UPEC_metadata_provided!$A$2:$M$826, 13, FALSE)</f>
        <v>0</v>
      </c>
      <c r="O665">
        <f>VLOOKUP($C665, Egli_UPEC_metadata_provided!$A$2:$N$826, 14, FALSE)</f>
        <v>1</v>
      </c>
    </row>
    <row r="666" spans="1:15" x14ac:dyDescent="0.2">
      <c r="A666" t="s">
        <v>634</v>
      </c>
      <c r="B666" t="s">
        <v>3869</v>
      </c>
      <c r="C666" t="s">
        <v>3869</v>
      </c>
      <c r="D666">
        <f>VLOOKUP($C666, Egli_UPEC_metadata_provided!$A$2:$M$826, 3, FALSE)</f>
        <v>2019</v>
      </c>
      <c r="E666" t="str">
        <f>VLOOKUP($C666, Egli_UPEC_metadata_provided!$A$2:$M$826, 4, FALSE)</f>
        <v>B2-2</v>
      </c>
      <c r="F666" t="str">
        <f>VLOOKUP($C666, Egli_UPEC_metadata_provided!$A$2:$M$826, 5, FALSE)</f>
        <v>w</v>
      </c>
      <c r="G666">
        <f>VLOOKUP($C666, Egli_UPEC_metadata_provided!$A$2:$M$826, 6, FALSE)</f>
        <v>0</v>
      </c>
      <c r="H666">
        <f>VLOOKUP($C666, Egli_UPEC_metadata_provided!$A$2:$M$826, 7, FALSE)</f>
        <v>4</v>
      </c>
      <c r="I666">
        <f>VLOOKUP($C666, Egli_UPEC_metadata_provided!$A$2:$M$826, 8, FALSE)</f>
        <v>93.479152426520898</v>
      </c>
      <c r="J666" t="b">
        <f>VLOOKUP($C666, Egli_UPEC_metadata_provided!$A$2:$M$826, 9, FALSE)</f>
        <v>0</v>
      </c>
      <c r="K666">
        <f>VLOOKUP($C666, Egli_UPEC_metadata_provided!$A$2:$M$826, 10, FALSE)</f>
        <v>0</v>
      </c>
      <c r="L666" t="str">
        <f>VLOOKUP($C666, Egli_UPEC_metadata_provided!$A$2:$M$826, 11, FALSE)</f>
        <v>non-invasive</v>
      </c>
      <c r="M666">
        <f>VLOOKUP($C666, Egli_UPEC_metadata_provided!$A$2:$M$826, 12, FALSE)</f>
        <v>0</v>
      </c>
      <c r="N666">
        <f>VLOOKUP($C666, Egli_UPEC_metadata_provided!$A$2:$M$826, 13, FALSE)</f>
        <v>0</v>
      </c>
      <c r="O666">
        <f>VLOOKUP($C666, Egli_UPEC_metadata_provided!$A$2:$N$826, 14, FALSE)</f>
        <v>0</v>
      </c>
    </row>
    <row r="667" spans="1:15" x14ac:dyDescent="0.2">
      <c r="A667" t="s">
        <v>635</v>
      </c>
      <c r="B667" t="s">
        <v>3870</v>
      </c>
      <c r="C667" t="s">
        <v>3870</v>
      </c>
      <c r="D667">
        <f>VLOOKUP($C667, Egli_UPEC_metadata_provided!$A$2:$M$826, 3, FALSE)</f>
        <v>2019</v>
      </c>
      <c r="E667" t="str">
        <f>VLOOKUP($C667, Egli_UPEC_metadata_provided!$A$2:$M$826, 4, FALSE)</f>
        <v>D1</v>
      </c>
      <c r="F667" t="str">
        <f>VLOOKUP($C667, Egli_UPEC_metadata_provided!$A$2:$M$826, 5, FALSE)</f>
        <v>m</v>
      </c>
      <c r="G667">
        <f>VLOOKUP($C667, Egli_UPEC_metadata_provided!$A$2:$M$826, 6, FALSE)</f>
        <v>0</v>
      </c>
      <c r="H667">
        <f>VLOOKUP($C667, Egli_UPEC_metadata_provided!$A$2:$M$826, 7, FALSE)</f>
        <v>3</v>
      </c>
      <c r="I667">
        <f>VLOOKUP($C667, Egli_UPEC_metadata_provided!$A$2:$M$826, 8, FALSE)</f>
        <v>86.255639097744407</v>
      </c>
      <c r="J667" t="b">
        <f>VLOOKUP($C667, Egli_UPEC_metadata_provided!$A$2:$M$826, 9, FALSE)</f>
        <v>1</v>
      </c>
      <c r="K667">
        <f>VLOOKUP($C667, Egli_UPEC_metadata_provided!$A$2:$M$826, 10, FALSE)</f>
        <v>0</v>
      </c>
      <c r="L667" t="str">
        <f>VLOOKUP($C667, Egli_UPEC_metadata_provided!$A$2:$M$826, 11, FALSE)</f>
        <v>non-invasive</v>
      </c>
      <c r="M667">
        <f>VLOOKUP($C667, Egli_UPEC_metadata_provided!$A$2:$M$826, 12, FALSE)</f>
        <v>0</v>
      </c>
      <c r="N667">
        <f>VLOOKUP($C667, Egli_UPEC_metadata_provided!$A$2:$M$826, 13, FALSE)</f>
        <v>0</v>
      </c>
      <c r="O667">
        <f>VLOOKUP($C667, Egli_UPEC_metadata_provided!$A$2:$N$826, 14, FALSE)</f>
        <v>0</v>
      </c>
    </row>
    <row r="668" spans="1:15" x14ac:dyDescent="0.2">
      <c r="A668" t="s">
        <v>636</v>
      </c>
      <c r="B668" t="s">
        <v>3871</v>
      </c>
      <c r="C668" t="s">
        <v>3871</v>
      </c>
      <c r="D668">
        <f>VLOOKUP($C668, Egli_UPEC_metadata_provided!$A$2:$M$826, 3, FALSE)</f>
        <v>2019</v>
      </c>
      <c r="E668" t="str">
        <f>VLOOKUP($C668, Egli_UPEC_metadata_provided!$A$2:$M$826, 4, FALSE)</f>
        <v>D1</v>
      </c>
      <c r="F668" t="str">
        <f>VLOOKUP($C668, Egli_UPEC_metadata_provided!$A$2:$M$826, 5, FALSE)</f>
        <v>w</v>
      </c>
      <c r="G668">
        <f>VLOOKUP($C668, Egli_UPEC_metadata_provided!$A$2:$M$826, 6, FALSE)</f>
        <v>0</v>
      </c>
      <c r="H668">
        <f>VLOOKUP($C668, Egli_UPEC_metadata_provided!$A$2:$M$826, 7, FALSE)</f>
        <v>1</v>
      </c>
      <c r="I668">
        <f>VLOOKUP($C668, Egli_UPEC_metadata_provided!$A$2:$M$826, 8, FALSE)</f>
        <v>91.207108680792899</v>
      </c>
      <c r="J668" t="b">
        <f>VLOOKUP($C668, Egli_UPEC_metadata_provided!$A$2:$M$826, 9, FALSE)</f>
        <v>0</v>
      </c>
      <c r="K668">
        <f>VLOOKUP($C668, Egli_UPEC_metadata_provided!$A$2:$M$826, 10, FALSE)</f>
        <v>0</v>
      </c>
      <c r="L668" t="str">
        <f>VLOOKUP($C668, Egli_UPEC_metadata_provided!$A$2:$M$826, 11, FALSE)</f>
        <v>non-invasive</v>
      </c>
      <c r="M668">
        <f>VLOOKUP($C668, Egli_UPEC_metadata_provided!$A$2:$M$826, 12, FALSE)</f>
        <v>1</v>
      </c>
      <c r="N668">
        <f>VLOOKUP($C668, Egli_UPEC_metadata_provided!$A$2:$M$826, 13, FALSE)</f>
        <v>1</v>
      </c>
      <c r="O668">
        <f>VLOOKUP($C668, Egli_UPEC_metadata_provided!$A$2:$N$826, 14, FALSE)</f>
        <v>0</v>
      </c>
    </row>
    <row r="669" spans="1:15" x14ac:dyDescent="0.2">
      <c r="A669" t="s">
        <v>637</v>
      </c>
      <c r="B669" t="s">
        <v>3872</v>
      </c>
      <c r="C669" t="s">
        <v>3872</v>
      </c>
      <c r="D669">
        <f>VLOOKUP($C669, Egli_UPEC_metadata_provided!$A$2:$M$826, 3, FALSE)</f>
        <v>2019</v>
      </c>
      <c r="E669" t="str">
        <f>VLOOKUP($C669, Egli_UPEC_metadata_provided!$A$2:$M$826, 4, FALSE)</f>
        <v>B2-1</v>
      </c>
      <c r="F669" t="str">
        <f>VLOOKUP($C669, Egli_UPEC_metadata_provided!$A$2:$M$826, 5, FALSE)</f>
        <v>w</v>
      </c>
      <c r="G669">
        <f>VLOOKUP($C669, Egli_UPEC_metadata_provided!$A$2:$M$826, 6, FALSE)</f>
        <v>0</v>
      </c>
      <c r="H669">
        <f>VLOOKUP($C669, Egli_UPEC_metadata_provided!$A$2:$M$826, 7, FALSE)</f>
        <v>2</v>
      </c>
      <c r="I669">
        <f>VLOOKUP($C669, Egli_UPEC_metadata_provided!$A$2:$M$826, 8, FALSE)</f>
        <v>89.974025974026006</v>
      </c>
      <c r="J669" t="b">
        <f>VLOOKUP($C669, Egli_UPEC_metadata_provided!$A$2:$M$826, 9, FALSE)</f>
        <v>1</v>
      </c>
      <c r="K669">
        <f>VLOOKUP($C669, Egli_UPEC_metadata_provided!$A$2:$M$826, 10, FALSE)</f>
        <v>1</v>
      </c>
      <c r="L669" t="str">
        <f>VLOOKUP($C669, Egli_UPEC_metadata_provided!$A$2:$M$826, 11, FALSE)</f>
        <v>non-invasive</v>
      </c>
      <c r="M669">
        <f>VLOOKUP($C669, Egli_UPEC_metadata_provided!$A$2:$M$826, 12, FALSE)</f>
        <v>0</v>
      </c>
      <c r="N669">
        <f>VLOOKUP($C669, Egli_UPEC_metadata_provided!$A$2:$M$826, 13, FALSE)</f>
        <v>1</v>
      </c>
      <c r="O669">
        <f>VLOOKUP($C669, Egli_UPEC_metadata_provided!$A$2:$N$826, 14, FALSE)</f>
        <v>1</v>
      </c>
    </row>
    <row r="670" spans="1:15" x14ac:dyDescent="0.2">
      <c r="A670" t="s">
        <v>638</v>
      </c>
      <c r="B670" t="s">
        <v>3873</v>
      </c>
      <c r="C670" t="s">
        <v>3873</v>
      </c>
      <c r="D670">
        <f>VLOOKUP($C670, Egli_UPEC_metadata_provided!$A$2:$M$826, 3, FALSE)</f>
        <v>2019</v>
      </c>
      <c r="E670" t="str">
        <f>VLOOKUP($C670, Egli_UPEC_metadata_provided!$A$2:$M$826, 4, FALSE)</f>
        <v>B1</v>
      </c>
      <c r="F670" t="str">
        <f>VLOOKUP($C670, Egli_UPEC_metadata_provided!$A$2:$M$826, 5, FALSE)</f>
        <v>w</v>
      </c>
      <c r="G670">
        <f>VLOOKUP($C670, Egli_UPEC_metadata_provided!$A$2:$M$826, 6, FALSE)</f>
        <v>0</v>
      </c>
      <c r="H670">
        <f>VLOOKUP($C670, Egli_UPEC_metadata_provided!$A$2:$M$826, 7, FALSE)</f>
        <v>0</v>
      </c>
      <c r="I670">
        <f>VLOOKUP($C670, Egli_UPEC_metadata_provided!$A$2:$M$826, 8, FALSE)</f>
        <v>79.660970608338999</v>
      </c>
      <c r="J670" t="b">
        <f>VLOOKUP($C670, Egli_UPEC_metadata_provided!$A$2:$M$826, 9, FALSE)</f>
        <v>0</v>
      </c>
      <c r="K670">
        <f>VLOOKUP($C670, Egli_UPEC_metadata_provided!$A$2:$M$826, 10, FALSE)</f>
        <v>0</v>
      </c>
      <c r="L670" t="str">
        <f>VLOOKUP($C670, Egli_UPEC_metadata_provided!$A$2:$M$826, 11, FALSE)</f>
        <v>non-invasive</v>
      </c>
      <c r="M670">
        <f>VLOOKUP($C670, Egli_UPEC_metadata_provided!$A$2:$M$826, 12, FALSE)</f>
        <v>0</v>
      </c>
      <c r="N670">
        <f>VLOOKUP($C670, Egli_UPEC_metadata_provided!$A$2:$M$826, 13, FALSE)</f>
        <v>0</v>
      </c>
      <c r="O670">
        <f>VLOOKUP($C670, Egli_UPEC_metadata_provided!$A$2:$N$826, 14, FALSE)</f>
        <v>1</v>
      </c>
    </row>
    <row r="671" spans="1:15" x14ac:dyDescent="0.2">
      <c r="A671" t="s">
        <v>639</v>
      </c>
      <c r="B671" t="s">
        <v>3874</v>
      </c>
      <c r="C671" t="s">
        <v>3874</v>
      </c>
      <c r="D671">
        <f>VLOOKUP($C671, Egli_UPEC_metadata_provided!$A$2:$M$826, 3, FALSE)</f>
        <v>2019</v>
      </c>
      <c r="E671" t="str">
        <f>VLOOKUP($C671, Egli_UPEC_metadata_provided!$A$2:$M$826, 4, FALSE)</f>
        <v>B2-1</v>
      </c>
      <c r="F671" t="str">
        <f>VLOOKUP($C671, Egli_UPEC_metadata_provided!$A$2:$M$826, 5, FALSE)</f>
        <v>w</v>
      </c>
      <c r="G671">
        <f>VLOOKUP($C671, Egli_UPEC_metadata_provided!$A$2:$M$826, 6, FALSE)</f>
        <v>0</v>
      </c>
      <c r="H671">
        <f>VLOOKUP($C671, Egli_UPEC_metadata_provided!$A$2:$M$826, 7, FALSE)</f>
        <v>1</v>
      </c>
      <c r="I671">
        <f>VLOOKUP($C671, Egli_UPEC_metadata_provided!$A$2:$M$826, 8, FALSE)</f>
        <v>86.430622009569404</v>
      </c>
      <c r="J671" t="b">
        <f>VLOOKUP($C671, Egli_UPEC_metadata_provided!$A$2:$M$826, 9, FALSE)</f>
        <v>0</v>
      </c>
      <c r="K671">
        <f>VLOOKUP($C671, Egli_UPEC_metadata_provided!$A$2:$M$826, 10, FALSE)</f>
        <v>0</v>
      </c>
      <c r="L671" t="str">
        <f>VLOOKUP($C671, Egli_UPEC_metadata_provided!$A$2:$M$826, 11, FALSE)</f>
        <v>non-invasive</v>
      </c>
      <c r="M671">
        <f>VLOOKUP($C671, Egli_UPEC_metadata_provided!$A$2:$M$826, 12, FALSE)</f>
        <v>0</v>
      </c>
      <c r="N671">
        <f>VLOOKUP($C671, Egli_UPEC_metadata_provided!$A$2:$M$826, 13, FALSE)</f>
        <v>0</v>
      </c>
      <c r="O671">
        <f>VLOOKUP($C671, Egli_UPEC_metadata_provided!$A$2:$N$826, 14, FALSE)</f>
        <v>1</v>
      </c>
    </row>
    <row r="672" spans="1:15" x14ac:dyDescent="0.2">
      <c r="A672" t="s">
        <v>640</v>
      </c>
      <c r="B672" t="s">
        <v>3875</v>
      </c>
      <c r="C672" t="s">
        <v>3875</v>
      </c>
      <c r="D672">
        <f>VLOOKUP($C672, Egli_UPEC_metadata_provided!$A$2:$M$826, 3, FALSE)</f>
        <v>2019</v>
      </c>
      <c r="E672" t="str">
        <f>VLOOKUP($C672, Egli_UPEC_metadata_provided!$A$2:$M$826, 4, FALSE)</f>
        <v>B1</v>
      </c>
      <c r="F672" t="str">
        <f>VLOOKUP($C672, Egli_UPEC_metadata_provided!$A$2:$M$826, 5, FALSE)</f>
        <v>w</v>
      </c>
      <c r="G672">
        <f>VLOOKUP($C672, Egli_UPEC_metadata_provided!$A$2:$M$826, 6, FALSE)</f>
        <v>0</v>
      </c>
      <c r="H672">
        <f>VLOOKUP($C672, Egli_UPEC_metadata_provided!$A$2:$M$826, 7, FALSE)</f>
        <v>2</v>
      </c>
      <c r="I672">
        <f>VLOOKUP($C672, Egli_UPEC_metadata_provided!$A$2:$M$826, 8, FALSE)</f>
        <v>78.559125085440897</v>
      </c>
      <c r="J672" t="b">
        <f>VLOOKUP($C672, Egli_UPEC_metadata_provided!$A$2:$M$826, 9, FALSE)</f>
        <v>0</v>
      </c>
      <c r="K672">
        <f>VLOOKUP($C672, Egli_UPEC_metadata_provided!$A$2:$M$826, 10, FALSE)</f>
        <v>0</v>
      </c>
      <c r="L672" t="str">
        <f>VLOOKUP($C672, Egli_UPEC_metadata_provided!$A$2:$M$826, 11, FALSE)</f>
        <v>non-invasive</v>
      </c>
      <c r="M672">
        <f>VLOOKUP($C672, Egli_UPEC_metadata_provided!$A$2:$M$826, 12, FALSE)</f>
        <v>0</v>
      </c>
      <c r="N672">
        <f>VLOOKUP($C672, Egli_UPEC_metadata_provided!$A$2:$M$826, 13, FALSE)</f>
        <v>0</v>
      </c>
      <c r="O672">
        <f>VLOOKUP($C672, Egli_UPEC_metadata_provided!$A$2:$N$826, 14, FALSE)</f>
        <v>1</v>
      </c>
    </row>
    <row r="673" spans="1:15" x14ac:dyDescent="0.2">
      <c r="A673" t="s">
        <v>641</v>
      </c>
      <c r="B673" t="s">
        <v>3876</v>
      </c>
      <c r="C673" t="s">
        <v>3876</v>
      </c>
      <c r="D673">
        <f>VLOOKUP($C673, Egli_UPEC_metadata_provided!$A$2:$M$826, 3, FALSE)</f>
        <v>2019</v>
      </c>
      <c r="E673" t="str">
        <f>VLOOKUP($C673, Egli_UPEC_metadata_provided!$A$2:$M$826, 4, FALSE)</f>
        <v>B1</v>
      </c>
      <c r="F673" t="str">
        <f>VLOOKUP($C673, Egli_UPEC_metadata_provided!$A$2:$M$826, 5, FALSE)</f>
        <v>w</v>
      </c>
      <c r="G673">
        <f>VLOOKUP($C673, Egli_UPEC_metadata_provided!$A$2:$M$826, 6, FALSE)</f>
        <v>0</v>
      </c>
      <c r="H673">
        <f>VLOOKUP($C673, Egli_UPEC_metadata_provided!$A$2:$M$826, 7, FALSE)</f>
        <v>6</v>
      </c>
      <c r="I673">
        <f>VLOOKUP($C673, Egli_UPEC_metadata_provided!$A$2:$M$826, 8, FALSE)</f>
        <v>43.226247436773697</v>
      </c>
      <c r="J673" t="b">
        <f>VLOOKUP($C673, Egli_UPEC_metadata_provided!$A$2:$M$826, 9, FALSE)</f>
        <v>0</v>
      </c>
      <c r="K673">
        <f>VLOOKUP($C673, Egli_UPEC_metadata_provided!$A$2:$M$826, 10, FALSE)</f>
        <v>0</v>
      </c>
      <c r="L673" t="str">
        <f>VLOOKUP($C673, Egli_UPEC_metadata_provided!$A$2:$M$826, 11, FALSE)</f>
        <v>non-invasive</v>
      </c>
      <c r="M673">
        <f>VLOOKUP($C673, Egli_UPEC_metadata_provided!$A$2:$M$826, 12, FALSE)</f>
        <v>1</v>
      </c>
      <c r="N673">
        <f>VLOOKUP($C673, Egli_UPEC_metadata_provided!$A$2:$M$826, 13, FALSE)</f>
        <v>0</v>
      </c>
      <c r="O673">
        <f>VLOOKUP($C673, Egli_UPEC_metadata_provided!$A$2:$N$826, 14, FALSE)</f>
        <v>1</v>
      </c>
    </row>
    <row r="674" spans="1:15" x14ac:dyDescent="0.2">
      <c r="A674" t="s">
        <v>642</v>
      </c>
      <c r="B674" t="s">
        <v>3877</v>
      </c>
      <c r="C674" t="s">
        <v>3877</v>
      </c>
      <c r="D674">
        <f>VLOOKUP($C674, Egli_UPEC_metadata_provided!$A$2:$M$826, 3, FALSE)</f>
        <v>2019</v>
      </c>
      <c r="E674" t="str">
        <f>VLOOKUP($C674, Egli_UPEC_metadata_provided!$A$2:$M$826, 4, FALSE)</f>
        <v>B2-1</v>
      </c>
      <c r="F674" t="str">
        <f>VLOOKUP($C674, Egli_UPEC_metadata_provided!$A$2:$M$826, 5, FALSE)</f>
        <v>m</v>
      </c>
      <c r="G674">
        <f>VLOOKUP($C674, Egli_UPEC_metadata_provided!$A$2:$M$826, 6, FALSE)</f>
        <v>0</v>
      </c>
      <c r="H674">
        <f>VLOOKUP($C674, Egli_UPEC_metadata_provided!$A$2:$M$826, 7, FALSE)</f>
        <v>3</v>
      </c>
      <c r="I674">
        <f>VLOOKUP($C674, Egli_UPEC_metadata_provided!$A$2:$M$826, 8, FALSE)</f>
        <v>74.630211893369804</v>
      </c>
      <c r="J674" t="b">
        <f>VLOOKUP($C674, Egli_UPEC_metadata_provided!$A$2:$M$826, 9, FALSE)</f>
        <v>1</v>
      </c>
      <c r="K674">
        <f>VLOOKUP($C674, Egli_UPEC_metadata_provided!$A$2:$M$826, 10, FALSE)</f>
        <v>1</v>
      </c>
      <c r="L674" t="str">
        <f>VLOOKUP($C674, Egli_UPEC_metadata_provided!$A$2:$M$826, 11, FALSE)</f>
        <v>non-invasive</v>
      </c>
      <c r="M674">
        <f>VLOOKUP($C674, Egli_UPEC_metadata_provided!$A$2:$M$826, 12, FALSE)</f>
        <v>1</v>
      </c>
      <c r="N674">
        <f>VLOOKUP($C674, Egli_UPEC_metadata_provided!$A$2:$M$826, 13, FALSE)</f>
        <v>0</v>
      </c>
      <c r="O674">
        <f>VLOOKUP($C674, Egli_UPEC_metadata_provided!$A$2:$N$826, 14, FALSE)</f>
        <v>0</v>
      </c>
    </row>
    <row r="675" spans="1:15" x14ac:dyDescent="0.2">
      <c r="A675" t="s">
        <v>643</v>
      </c>
      <c r="B675" t="s">
        <v>3878</v>
      </c>
      <c r="C675" t="s">
        <v>3878</v>
      </c>
      <c r="D675">
        <f>VLOOKUP($C675, Egli_UPEC_metadata_provided!$A$2:$M$826, 3, FALSE)</f>
        <v>2019</v>
      </c>
      <c r="E675" t="str">
        <f>VLOOKUP($C675, Egli_UPEC_metadata_provided!$A$2:$M$826, 4, FALSE)</f>
        <v>B1</v>
      </c>
      <c r="F675" t="str">
        <f>VLOOKUP($C675, Egli_UPEC_metadata_provided!$A$2:$M$826, 5, FALSE)</f>
        <v>w</v>
      </c>
      <c r="G675">
        <f>VLOOKUP($C675, Egli_UPEC_metadata_provided!$A$2:$M$826, 6, FALSE)</f>
        <v>0</v>
      </c>
      <c r="H675">
        <f>VLOOKUP($C675, Egli_UPEC_metadata_provided!$A$2:$M$826, 7, FALSE)</f>
        <v>5</v>
      </c>
      <c r="I675">
        <f>VLOOKUP($C675, Egli_UPEC_metadata_provided!$A$2:$M$826, 8, FALSE)</f>
        <v>73.189336978810701</v>
      </c>
      <c r="J675" t="b">
        <f>VLOOKUP($C675, Egli_UPEC_metadata_provided!$A$2:$M$826, 9, FALSE)</f>
        <v>0</v>
      </c>
      <c r="K675">
        <f>VLOOKUP($C675, Egli_UPEC_metadata_provided!$A$2:$M$826, 10, FALSE)</f>
        <v>1</v>
      </c>
      <c r="L675" t="str">
        <f>VLOOKUP($C675, Egli_UPEC_metadata_provided!$A$2:$M$826, 11, FALSE)</f>
        <v>non-invasive</v>
      </c>
      <c r="M675">
        <f>VLOOKUP($C675, Egli_UPEC_metadata_provided!$A$2:$M$826, 12, FALSE)</f>
        <v>0</v>
      </c>
      <c r="N675">
        <f>VLOOKUP($C675, Egli_UPEC_metadata_provided!$A$2:$M$826, 13, FALSE)</f>
        <v>0</v>
      </c>
      <c r="O675">
        <f>VLOOKUP($C675, Egli_UPEC_metadata_provided!$A$2:$N$826, 14, FALSE)</f>
        <v>0</v>
      </c>
    </row>
    <row r="676" spans="1:15" x14ac:dyDescent="0.2">
      <c r="A676" t="s">
        <v>644</v>
      </c>
      <c r="B676" t="s">
        <v>3879</v>
      </c>
      <c r="C676" t="s">
        <v>3879</v>
      </c>
      <c r="D676">
        <f>VLOOKUP($C676, Egli_UPEC_metadata_provided!$A$2:$M$826, 3, FALSE)</f>
        <v>2019</v>
      </c>
      <c r="E676" t="str">
        <f>VLOOKUP($C676, Egli_UPEC_metadata_provided!$A$2:$M$826, 4, FALSE)</f>
        <v>A</v>
      </c>
      <c r="F676" t="str">
        <f>VLOOKUP($C676, Egli_UPEC_metadata_provided!$A$2:$M$826, 5, FALSE)</f>
        <v>w</v>
      </c>
      <c r="G676">
        <f>VLOOKUP($C676, Egli_UPEC_metadata_provided!$A$2:$M$826, 6, FALSE)</f>
        <v>0</v>
      </c>
      <c r="H676">
        <f>VLOOKUP($C676, Egli_UPEC_metadata_provided!$A$2:$M$826, 7, FALSE)</f>
        <v>0</v>
      </c>
      <c r="I676">
        <f>VLOOKUP($C676, Egli_UPEC_metadata_provided!$A$2:$M$826, 8, FALSE)</f>
        <v>83.945317840054699</v>
      </c>
      <c r="J676" t="b">
        <f>VLOOKUP($C676, Egli_UPEC_metadata_provided!$A$2:$M$826, 9, FALSE)</f>
        <v>0</v>
      </c>
      <c r="K676">
        <f>VLOOKUP($C676, Egli_UPEC_metadata_provided!$A$2:$M$826, 10, FALSE)</f>
        <v>0</v>
      </c>
      <c r="L676" t="str">
        <f>VLOOKUP($C676, Egli_UPEC_metadata_provided!$A$2:$M$826, 11, FALSE)</f>
        <v>non-invasive</v>
      </c>
      <c r="M676">
        <f>VLOOKUP($C676, Egli_UPEC_metadata_provided!$A$2:$M$826, 12, FALSE)</f>
        <v>0</v>
      </c>
      <c r="N676">
        <f>VLOOKUP($C676, Egli_UPEC_metadata_provided!$A$2:$M$826, 13, FALSE)</f>
        <v>0</v>
      </c>
      <c r="O676">
        <f>VLOOKUP($C676, Egli_UPEC_metadata_provided!$A$2:$N$826, 14, FALSE)</f>
        <v>0</v>
      </c>
    </row>
    <row r="677" spans="1:15" x14ac:dyDescent="0.2">
      <c r="A677" t="s">
        <v>645</v>
      </c>
      <c r="B677" t="s">
        <v>3880</v>
      </c>
      <c r="C677" t="s">
        <v>3880</v>
      </c>
      <c r="D677">
        <f>VLOOKUP($C677, Egli_UPEC_metadata_provided!$A$2:$M$826, 3, FALSE)</f>
        <v>2019</v>
      </c>
      <c r="E677" t="str">
        <f>VLOOKUP($C677, Egli_UPEC_metadata_provided!$A$2:$M$826, 4, FALSE)</f>
        <v>B2-2</v>
      </c>
      <c r="F677" t="str">
        <f>VLOOKUP($C677, Egli_UPEC_metadata_provided!$A$2:$M$826, 5, FALSE)</f>
        <v>w</v>
      </c>
      <c r="G677">
        <f>VLOOKUP($C677, Egli_UPEC_metadata_provided!$A$2:$M$826, 6, FALSE)</f>
        <v>0</v>
      </c>
      <c r="H677">
        <f>VLOOKUP($C677, Egli_UPEC_metadata_provided!$A$2:$M$826, 7, FALSE)</f>
        <v>0</v>
      </c>
      <c r="I677">
        <f>VLOOKUP($C677, Egli_UPEC_metadata_provided!$A$2:$M$826, 8, FALSE)</f>
        <v>81.342447026657595</v>
      </c>
      <c r="J677" t="b">
        <f>VLOOKUP($C677, Egli_UPEC_metadata_provided!$A$2:$M$826, 9, FALSE)</f>
        <v>0</v>
      </c>
      <c r="K677">
        <f>VLOOKUP($C677, Egli_UPEC_metadata_provided!$A$2:$M$826, 10, FALSE)</f>
        <v>0</v>
      </c>
      <c r="L677" t="str">
        <f>VLOOKUP($C677, Egli_UPEC_metadata_provided!$A$2:$M$826, 11, FALSE)</f>
        <v>non-invasive</v>
      </c>
      <c r="M677">
        <f>VLOOKUP($C677, Egli_UPEC_metadata_provided!$A$2:$M$826, 12, FALSE)</f>
        <v>0</v>
      </c>
      <c r="N677">
        <f>VLOOKUP($C677, Egli_UPEC_metadata_provided!$A$2:$M$826, 13, FALSE)</f>
        <v>0</v>
      </c>
      <c r="O677">
        <f>VLOOKUP($C677, Egli_UPEC_metadata_provided!$A$2:$N$826, 14, FALSE)</f>
        <v>0</v>
      </c>
    </row>
    <row r="678" spans="1:15" x14ac:dyDescent="0.2">
      <c r="A678" t="s">
        <v>646</v>
      </c>
      <c r="B678" t="s">
        <v>3881</v>
      </c>
      <c r="C678" t="s">
        <v>3881</v>
      </c>
      <c r="D678">
        <f>VLOOKUP($C678, Egli_UPEC_metadata_provided!$A$2:$M$826, 3, FALSE)</f>
        <v>2019</v>
      </c>
      <c r="E678" t="str">
        <f>VLOOKUP($C678, Egli_UPEC_metadata_provided!$A$2:$M$826, 4, FALSE)</f>
        <v>B1</v>
      </c>
      <c r="F678" t="str">
        <f>VLOOKUP($C678, Egli_UPEC_metadata_provided!$A$2:$M$826, 5, FALSE)</f>
        <v>w</v>
      </c>
      <c r="G678">
        <f>VLOOKUP($C678, Egli_UPEC_metadata_provided!$A$2:$M$826, 6, FALSE)</f>
        <v>0</v>
      </c>
      <c r="H678">
        <f>VLOOKUP($C678, Egli_UPEC_metadata_provided!$A$2:$M$826, 7, FALSE)</f>
        <v>1</v>
      </c>
      <c r="I678">
        <f>VLOOKUP($C678, Egli_UPEC_metadata_provided!$A$2:$M$826, 8, FALSE)</f>
        <v>92.489405331510596</v>
      </c>
      <c r="J678" t="b">
        <f>VLOOKUP($C678, Egli_UPEC_metadata_provided!$A$2:$M$826, 9, FALSE)</f>
        <v>0</v>
      </c>
      <c r="K678">
        <f>VLOOKUP($C678, Egli_UPEC_metadata_provided!$A$2:$M$826, 10, FALSE)</f>
        <v>0</v>
      </c>
      <c r="L678" t="str">
        <f>VLOOKUP($C678, Egli_UPEC_metadata_provided!$A$2:$M$826, 11, FALSE)</f>
        <v>non-invasive</v>
      </c>
      <c r="M678">
        <f>VLOOKUP($C678, Egli_UPEC_metadata_provided!$A$2:$M$826, 12, FALSE)</f>
        <v>0</v>
      </c>
      <c r="N678">
        <f>VLOOKUP($C678, Egli_UPEC_metadata_provided!$A$2:$M$826, 13, FALSE)</f>
        <v>0</v>
      </c>
      <c r="O678">
        <f>VLOOKUP($C678, Egli_UPEC_metadata_provided!$A$2:$N$826, 14, FALSE)</f>
        <v>0</v>
      </c>
    </row>
    <row r="679" spans="1:15" x14ac:dyDescent="0.2">
      <c r="A679" t="s">
        <v>647</v>
      </c>
      <c r="B679" t="s">
        <v>3882</v>
      </c>
      <c r="C679" t="s">
        <v>3882</v>
      </c>
      <c r="D679">
        <f>VLOOKUP($C679, Egli_UPEC_metadata_provided!$A$2:$M$826, 3, FALSE)</f>
        <v>2019</v>
      </c>
      <c r="E679" t="str">
        <f>VLOOKUP($C679, Egli_UPEC_metadata_provided!$A$2:$M$826, 4, FALSE)</f>
        <v>B2-1</v>
      </c>
      <c r="F679" t="str">
        <f>VLOOKUP($C679, Egli_UPEC_metadata_provided!$A$2:$M$826, 5, FALSE)</f>
        <v>m</v>
      </c>
      <c r="G679">
        <f>VLOOKUP($C679, Egli_UPEC_metadata_provided!$A$2:$M$826, 6, FALSE)</f>
        <v>0</v>
      </c>
      <c r="H679">
        <f>VLOOKUP($C679, Egli_UPEC_metadata_provided!$A$2:$M$826, 7, FALSE)</f>
        <v>7</v>
      </c>
      <c r="I679">
        <f>VLOOKUP($C679, Egli_UPEC_metadata_provided!$A$2:$M$826, 8, FALSE)</f>
        <v>75.324675324675297</v>
      </c>
      <c r="J679" t="b">
        <f>VLOOKUP($C679, Egli_UPEC_metadata_provided!$A$2:$M$826, 9, FALSE)</f>
        <v>0</v>
      </c>
      <c r="K679">
        <f>VLOOKUP($C679, Egli_UPEC_metadata_provided!$A$2:$M$826, 10, FALSE)</f>
        <v>0</v>
      </c>
      <c r="L679" t="str">
        <f>VLOOKUP($C679, Egli_UPEC_metadata_provided!$A$2:$M$826, 11, FALSE)</f>
        <v>non-invasive</v>
      </c>
      <c r="M679">
        <f>VLOOKUP($C679, Egli_UPEC_metadata_provided!$A$2:$M$826, 12, FALSE)</f>
        <v>0</v>
      </c>
      <c r="N679">
        <f>VLOOKUP($C679, Egli_UPEC_metadata_provided!$A$2:$M$826, 13, FALSE)</f>
        <v>0</v>
      </c>
      <c r="O679">
        <f>VLOOKUP($C679, Egli_UPEC_metadata_provided!$A$2:$N$826, 14, FALSE)</f>
        <v>1</v>
      </c>
    </row>
    <row r="680" spans="1:15" x14ac:dyDescent="0.2">
      <c r="A680" t="s">
        <v>648</v>
      </c>
      <c r="B680" t="s">
        <v>3883</v>
      </c>
      <c r="C680" t="s">
        <v>3883</v>
      </c>
      <c r="D680">
        <f>VLOOKUP($C680, Egli_UPEC_metadata_provided!$A$2:$M$826, 3, FALSE)</f>
        <v>2019</v>
      </c>
      <c r="E680" t="str">
        <f>VLOOKUP($C680, Egli_UPEC_metadata_provided!$A$2:$M$826, 4, FALSE)</f>
        <v>B2-1</v>
      </c>
      <c r="F680" t="str">
        <f>VLOOKUP($C680, Egli_UPEC_metadata_provided!$A$2:$M$826, 5, FALSE)</f>
        <v>m</v>
      </c>
      <c r="G680">
        <f>VLOOKUP($C680, Egli_UPEC_metadata_provided!$A$2:$M$826, 6, FALSE)</f>
        <v>0</v>
      </c>
      <c r="H680">
        <f>VLOOKUP($C680, Egli_UPEC_metadata_provided!$A$2:$M$826, 7, FALSE)</f>
        <v>2</v>
      </c>
      <c r="I680">
        <f>VLOOKUP($C680, Egli_UPEC_metadata_provided!$A$2:$M$826, 8, FALSE)</f>
        <v>76.076555023923405</v>
      </c>
      <c r="J680" t="b">
        <f>VLOOKUP($C680, Egli_UPEC_metadata_provided!$A$2:$M$826, 9, FALSE)</f>
        <v>0</v>
      </c>
      <c r="K680">
        <f>VLOOKUP($C680, Egli_UPEC_metadata_provided!$A$2:$M$826, 10, FALSE)</f>
        <v>0</v>
      </c>
      <c r="L680" t="str">
        <f>VLOOKUP($C680, Egli_UPEC_metadata_provided!$A$2:$M$826, 11, FALSE)</f>
        <v>non-invasive</v>
      </c>
      <c r="M680">
        <f>VLOOKUP($C680, Egli_UPEC_metadata_provided!$A$2:$M$826, 12, FALSE)</f>
        <v>0</v>
      </c>
      <c r="N680">
        <f>VLOOKUP($C680, Egli_UPEC_metadata_provided!$A$2:$M$826, 13, FALSE)</f>
        <v>0</v>
      </c>
      <c r="O680">
        <f>VLOOKUP($C680, Egli_UPEC_metadata_provided!$A$2:$N$826, 14, FALSE)</f>
        <v>1</v>
      </c>
    </row>
    <row r="681" spans="1:15" x14ac:dyDescent="0.2">
      <c r="A681" t="s">
        <v>649</v>
      </c>
      <c r="B681" t="s">
        <v>3884</v>
      </c>
      <c r="C681" t="s">
        <v>3884</v>
      </c>
      <c r="D681">
        <f>VLOOKUP($C681, Egli_UPEC_metadata_provided!$A$2:$M$826, 3, FALSE)</f>
        <v>2019</v>
      </c>
      <c r="E681" t="str">
        <f>VLOOKUP($C681, Egli_UPEC_metadata_provided!$A$2:$M$826, 4, FALSE)</f>
        <v>B2-1</v>
      </c>
      <c r="F681" t="str">
        <f>VLOOKUP($C681, Egli_UPEC_metadata_provided!$A$2:$M$826, 5, FALSE)</f>
        <v>m</v>
      </c>
      <c r="G681">
        <f>VLOOKUP($C681, Egli_UPEC_metadata_provided!$A$2:$M$826, 6, FALSE)</f>
        <v>0</v>
      </c>
      <c r="H681">
        <f>VLOOKUP($C681, Egli_UPEC_metadata_provided!$A$2:$M$826, 7, FALSE)</f>
        <v>2</v>
      </c>
      <c r="I681">
        <f>VLOOKUP($C681, Egli_UPEC_metadata_provided!$A$2:$M$826, 8, FALSE)</f>
        <v>83.483253588516703</v>
      </c>
      <c r="J681" t="b">
        <f>VLOOKUP($C681, Egli_UPEC_metadata_provided!$A$2:$M$826, 9, FALSE)</f>
        <v>1</v>
      </c>
      <c r="K681">
        <f>VLOOKUP($C681, Egli_UPEC_metadata_provided!$A$2:$M$826, 10, FALSE)</f>
        <v>1</v>
      </c>
      <c r="L681" t="str">
        <f>VLOOKUP($C681, Egli_UPEC_metadata_provided!$A$2:$M$826, 11, FALSE)</f>
        <v>non-invasive</v>
      </c>
      <c r="M681">
        <f>VLOOKUP($C681, Egli_UPEC_metadata_provided!$A$2:$M$826, 12, FALSE)</f>
        <v>0</v>
      </c>
      <c r="N681">
        <f>VLOOKUP($C681, Egli_UPEC_metadata_provided!$A$2:$M$826, 13, FALSE)</f>
        <v>0</v>
      </c>
      <c r="O681">
        <f>VLOOKUP($C681, Egli_UPEC_metadata_provided!$A$2:$N$826, 14, FALSE)</f>
        <v>0</v>
      </c>
    </row>
    <row r="682" spans="1:15" x14ac:dyDescent="0.2">
      <c r="A682" t="s">
        <v>650</v>
      </c>
      <c r="B682" t="s">
        <v>3885</v>
      </c>
      <c r="C682" t="s">
        <v>3885</v>
      </c>
      <c r="D682">
        <f>VLOOKUP($C682, Egli_UPEC_metadata_provided!$A$2:$M$826, 3, FALSE)</f>
        <v>2019</v>
      </c>
      <c r="E682" t="str">
        <f>VLOOKUP($C682, Egli_UPEC_metadata_provided!$A$2:$M$826, 4, FALSE)</f>
        <v>B1</v>
      </c>
      <c r="F682" t="str">
        <f>VLOOKUP($C682, Egli_UPEC_metadata_provided!$A$2:$M$826, 5, FALSE)</f>
        <v>w</v>
      </c>
      <c r="G682">
        <f>VLOOKUP($C682, Egli_UPEC_metadata_provided!$A$2:$M$826, 6, FALSE)</f>
        <v>1</v>
      </c>
      <c r="H682">
        <f>VLOOKUP($C682, Egli_UPEC_metadata_provided!$A$2:$M$826, 7, FALSE)</f>
        <v>4</v>
      </c>
      <c r="I682">
        <f>VLOOKUP($C682, Egli_UPEC_metadata_provided!$A$2:$M$826, 8, FALSE)</f>
        <v>84.809295967190707</v>
      </c>
      <c r="J682" t="b">
        <f>VLOOKUP($C682, Egli_UPEC_metadata_provided!$A$2:$M$826, 9, FALSE)</f>
        <v>0</v>
      </c>
      <c r="K682">
        <f>VLOOKUP($C682, Egli_UPEC_metadata_provided!$A$2:$M$826, 10, FALSE)</f>
        <v>0</v>
      </c>
      <c r="L682" t="str">
        <f>VLOOKUP($C682, Egli_UPEC_metadata_provided!$A$2:$M$826, 11, FALSE)</f>
        <v>non-invasive</v>
      </c>
      <c r="M682">
        <f>VLOOKUP($C682, Egli_UPEC_metadata_provided!$A$2:$M$826, 12, FALSE)</f>
        <v>0</v>
      </c>
      <c r="N682">
        <f>VLOOKUP($C682, Egli_UPEC_metadata_provided!$A$2:$M$826, 13, FALSE)</f>
        <v>0</v>
      </c>
      <c r="O682">
        <f>VLOOKUP($C682, Egli_UPEC_metadata_provided!$A$2:$N$826, 14, FALSE)</f>
        <v>1</v>
      </c>
    </row>
    <row r="683" spans="1:15" x14ac:dyDescent="0.2">
      <c r="A683" t="s">
        <v>651</v>
      </c>
      <c r="B683" t="s">
        <v>3886</v>
      </c>
      <c r="C683" t="s">
        <v>3886</v>
      </c>
      <c r="D683">
        <f>VLOOKUP($C683, Egli_UPEC_metadata_provided!$A$2:$M$826, 3, FALSE)</f>
        <v>2019</v>
      </c>
      <c r="E683" t="str">
        <f>VLOOKUP($C683, Egli_UPEC_metadata_provided!$A$2:$M$826, 4, FALSE)</f>
        <v>B2-2</v>
      </c>
      <c r="F683" t="str">
        <f>VLOOKUP($C683, Egli_UPEC_metadata_provided!$A$2:$M$826, 5, FALSE)</f>
        <v>w</v>
      </c>
      <c r="G683">
        <f>VLOOKUP($C683, Egli_UPEC_metadata_provided!$A$2:$M$826, 6, FALSE)</f>
        <v>0</v>
      </c>
      <c r="H683">
        <f>VLOOKUP($C683, Egli_UPEC_metadata_provided!$A$2:$M$826, 7, FALSE)</f>
        <v>2</v>
      </c>
      <c r="I683">
        <f>VLOOKUP($C683, Egli_UPEC_metadata_provided!$A$2:$M$826, 8, FALSE)</f>
        <v>91.051264524948706</v>
      </c>
      <c r="J683" t="b">
        <f>VLOOKUP($C683, Egli_UPEC_metadata_provided!$A$2:$M$826, 9, FALSE)</f>
        <v>0</v>
      </c>
      <c r="K683">
        <f>VLOOKUP($C683, Egli_UPEC_metadata_provided!$A$2:$M$826, 10, FALSE)</f>
        <v>0</v>
      </c>
      <c r="L683" t="str">
        <f>VLOOKUP($C683, Egli_UPEC_metadata_provided!$A$2:$M$826, 11, FALSE)</f>
        <v>non-invasive</v>
      </c>
      <c r="M683">
        <f>VLOOKUP($C683, Egli_UPEC_metadata_provided!$A$2:$M$826, 12, FALSE)</f>
        <v>0</v>
      </c>
      <c r="N683">
        <f>VLOOKUP($C683, Egli_UPEC_metadata_provided!$A$2:$M$826, 13, FALSE)</f>
        <v>0</v>
      </c>
      <c r="O683">
        <f>VLOOKUP($C683, Egli_UPEC_metadata_provided!$A$2:$N$826, 14, FALSE)</f>
        <v>1</v>
      </c>
    </row>
    <row r="684" spans="1:15" x14ac:dyDescent="0.2">
      <c r="A684" t="s">
        <v>652</v>
      </c>
      <c r="B684" t="s">
        <v>3887</v>
      </c>
      <c r="C684" t="s">
        <v>3887</v>
      </c>
      <c r="D684">
        <f>VLOOKUP($C684, Egli_UPEC_metadata_provided!$A$2:$M$826, 3, FALSE)</f>
        <v>2019</v>
      </c>
      <c r="E684" t="str">
        <f>VLOOKUP($C684, Egli_UPEC_metadata_provided!$A$2:$M$826, 4, FALSE)</f>
        <v>B2-2</v>
      </c>
      <c r="F684" t="str">
        <f>VLOOKUP($C684, Egli_UPEC_metadata_provided!$A$2:$M$826, 5, FALSE)</f>
        <v>w</v>
      </c>
      <c r="G684">
        <f>VLOOKUP($C684, Egli_UPEC_metadata_provided!$A$2:$M$826, 6, FALSE)</f>
        <v>0</v>
      </c>
      <c r="H684">
        <f>VLOOKUP($C684, Egli_UPEC_metadata_provided!$A$2:$M$826, 7, FALSE)</f>
        <v>1</v>
      </c>
      <c r="I684">
        <f>VLOOKUP($C684, Egli_UPEC_metadata_provided!$A$2:$M$826, 8, FALSE)</f>
        <v>82.602870813397104</v>
      </c>
      <c r="J684" t="b">
        <f>VLOOKUP($C684, Egli_UPEC_metadata_provided!$A$2:$M$826, 9, FALSE)</f>
        <v>0</v>
      </c>
      <c r="K684">
        <f>VLOOKUP($C684, Egli_UPEC_metadata_provided!$A$2:$M$826, 10, FALSE)</f>
        <v>0</v>
      </c>
      <c r="L684" t="str">
        <f>VLOOKUP($C684, Egli_UPEC_metadata_provided!$A$2:$M$826, 11, FALSE)</f>
        <v>non-invasive</v>
      </c>
      <c r="M684">
        <f>VLOOKUP($C684, Egli_UPEC_metadata_provided!$A$2:$M$826, 12, FALSE)</f>
        <v>0</v>
      </c>
      <c r="N684">
        <f>VLOOKUP($C684, Egli_UPEC_metadata_provided!$A$2:$M$826, 13, FALSE)</f>
        <v>0</v>
      </c>
      <c r="O684">
        <f>VLOOKUP($C684, Egli_UPEC_metadata_provided!$A$2:$N$826, 14, FALSE)</f>
        <v>1</v>
      </c>
    </row>
    <row r="685" spans="1:15" x14ac:dyDescent="0.2">
      <c r="A685" t="s">
        <v>654</v>
      </c>
      <c r="B685" t="s">
        <v>3889</v>
      </c>
      <c r="C685" t="s">
        <v>3889</v>
      </c>
      <c r="D685">
        <f>VLOOKUP($C685, Egli_UPEC_metadata_provided!$A$2:$M$826, 3, FALSE)</f>
        <v>2019</v>
      </c>
      <c r="E685" t="str">
        <f>VLOOKUP($C685, Egli_UPEC_metadata_provided!$A$2:$M$826, 4, FALSE)</f>
        <v>B2-2</v>
      </c>
      <c r="F685" t="str">
        <f>VLOOKUP($C685, Egli_UPEC_metadata_provided!$A$2:$M$826, 5, FALSE)</f>
        <v>m</v>
      </c>
      <c r="G685">
        <f>VLOOKUP($C685, Egli_UPEC_metadata_provided!$A$2:$M$826, 6, FALSE)</f>
        <v>0</v>
      </c>
      <c r="H685">
        <f>VLOOKUP($C685, Egli_UPEC_metadata_provided!$A$2:$M$826, 7, FALSE)</f>
        <v>0</v>
      </c>
      <c r="I685">
        <f>VLOOKUP($C685, Egli_UPEC_metadata_provided!$A$2:$M$826, 8, FALSE)</f>
        <v>85.189336978810701</v>
      </c>
      <c r="J685" t="b">
        <f>VLOOKUP($C685, Egli_UPEC_metadata_provided!$A$2:$M$826, 9, FALSE)</f>
        <v>0</v>
      </c>
      <c r="K685">
        <f>VLOOKUP($C685, Egli_UPEC_metadata_provided!$A$2:$M$826, 10, FALSE)</f>
        <v>0</v>
      </c>
      <c r="L685" t="str">
        <f>VLOOKUP($C685, Egli_UPEC_metadata_provided!$A$2:$M$826, 11, FALSE)</f>
        <v>non-invasive</v>
      </c>
      <c r="M685">
        <f>VLOOKUP($C685, Egli_UPEC_metadata_provided!$A$2:$M$826, 12, FALSE)</f>
        <v>0</v>
      </c>
      <c r="N685">
        <f>VLOOKUP($C685, Egli_UPEC_metadata_provided!$A$2:$M$826, 13, FALSE)</f>
        <v>0</v>
      </c>
      <c r="O685">
        <f>VLOOKUP($C685, Egli_UPEC_metadata_provided!$A$2:$N$826, 14, FALSE)</f>
        <v>0</v>
      </c>
    </row>
    <row r="686" spans="1:15" x14ac:dyDescent="0.2">
      <c r="A686" t="s">
        <v>655</v>
      </c>
      <c r="B686" t="s">
        <v>3890</v>
      </c>
      <c r="C686" t="s">
        <v>3890</v>
      </c>
      <c r="D686">
        <f>VLOOKUP($C686, Egli_UPEC_metadata_provided!$A$2:$M$826, 3, FALSE)</f>
        <v>2019</v>
      </c>
      <c r="E686" t="str">
        <f>VLOOKUP($C686, Egli_UPEC_metadata_provided!$A$2:$M$826, 4, FALSE)</f>
        <v>B2-2</v>
      </c>
      <c r="F686" t="str">
        <f>VLOOKUP($C686, Egli_UPEC_metadata_provided!$A$2:$M$826, 5, FALSE)</f>
        <v>w</v>
      </c>
      <c r="G686">
        <f>VLOOKUP($C686, Egli_UPEC_metadata_provided!$A$2:$M$826, 6, FALSE)</f>
        <v>0</v>
      </c>
      <c r="H686">
        <f>VLOOKUP($C686, Egli_UPEC_metadata_provided!$A$2:$M$826, 7, FALSE)</f>
        <v>3</v>
      </c>
      <c r="I686">
        <f>VLOOKUP($C686, Egli_UPEC_metadata_provided!$A$2:$M$826, 8, FALSE)</f>
        <v>73.599453178400495</v>
      </c>
      <c r="J686" t="b">
        <f>VLOOKUP($C686, Egli_UPEC_metadata_provided!$A$2:$M$826, 9, FALSE)</f>
        <v>0</v>
      </c>
      <c r="K686">
        <f>VLOOKUP($C686, Egli_UPEC_metadata_provided!$A$2:$M$826, 10, FALSE)</f>
        <v>0</v>
      </c>
      <c r="L686" t="str">
        <f>VLOOKUP($C686, Egli_UPEC_metadata_provided!$A$2:$M$826, 11, FALSE)</f>
        <v>non-invasive</v>
      </c>
      <c r="M686">
        <f>VLOOKUP($C686, Egli_UPEC_metadata_provided!$A$2:$M$826, 12, FALSE)</f>
        <v>1</v>
      </c>
      <c r="N686">
        <f>VLOOKUP($C686, Egli_UPEC_metadata_provided!$A$2:$M$826, 13, FALSE)</f>
        <v>0</v>
      </c>
      <c r="O686">
        <f>VLOOKUP($C686, Egli_UPEC_metadata_provided!$A$2:$N$826, 14, FALSE)</f>
        <v>0</v>
      </c>
    </row>
    <row r="687" spans="1:15" x14ac:dyDescent="0.2">
      <c r="A687" t="s">
        <v>656</v>
      </c>
      <c r="B687" t="s">
        <v>3891</v>
      </c>
      <c r="C687" t="s">
        <v>3891</v>
      </c>
      <c r="D687">
        <f>VLOOKUP($C687, Egli_UPEC_metadata_provided!$A$2:$M$826, 3, FALSE)</f>
        <v>2019</v>
      </c>
      <c r="E687" t="str">
        <f>VLOOKUP($C687, Egli_UPEC_metadata_provided!$A$2:$M$826, 4, FALSE)</f>
        <v>D1</v>
      </c>
      <c r="F687" t="str">
        <f>VLOOKUP($C687, Egli_UPEC_metadata_provided!$A$2:$M$826, 5, FALSE)</f>
        <v>w</v>
      </c>
      <c r="G687">
        <f>VLOOKUP($C687, Egli_UPEC_metadata_provided!$A$2:$M$826, 6, FALSE)</f>
        <v>0</v>
      </c>
      <c r="H687">
        <f>VLOOKUP($C687, Egli_UPEC_metadata_provided!$A$2:$M$826, 7, FALSE)</f>
        <v>0</v>
      </c>
      <c r="I687">
        <f>VLOOKUP($C687, Egli_UPEC_metadata_provided!$A$2:$M$826, 8, FALSE)</f>
        <v>76.669856459330106</v>
      </c>
      <c r="J687" t="b">
        <f>VLOOKUP($C687, Egli_UPEC_metadata_provided!$A$2:$M$826, 9, FALSE)</f>
        <v>0</v>
      </c>
      <c r="K687">
        <f>VLOOKUP($C687, Egli_UPEC_metadata_provided!$A$2:$M$826, 10, FALSE)</f>
        <v>0</v>
      </c>
      <c r="L687" t="str">
        <f>VLOOKUP($C687, Egli_UPEC_metadata_provided!$A$2:$M$826, 11, FALSE)</f>
        <v>non-invasive</v>
      </c>
      <c r="M687">
        <f>VLOOKUP($C687, Egli_UPEC_metadata_provided!$A$2:$M$826, 12, FALSE)</f>
        <v>0</v>
      </c>
      <c r="N687">
        <f>VLOOKUP($C687, Egli_UPEC_metadata_provided!$A$2:$M$826, 13, FALSE)</f>
        <v>0</v>
      </c>
      <c r="O687">
        <f>VLOOKUP($C687, Egli_UPEC_metadata_provided!$A$2:$N$826, 14, FALSE)</f>
        <v>1</v>
      </c>
    </row>
    <row r="688" spans="1:15" x14ac:dyDescent="0.2">
      <c r="A688" t="s">
        <v>680</v>
      </c>
      <c r="B688" t="s">
        <v>3915</v>
      </c>
      <c r="C688" t="s">
        <v>3915</v>
      </c>
      <c r="D688">
        <f>VLOOKUP($C688, Egli_UPEC_metadata_provided!$A$2:$M$826, 3, FALSE)</f>
        <v>2019</v>
      </c>
      <c r="E688" t="str">
        <f>VLOOKUP($C688, Egli_UPEC_metadata_provided!$A$2:$M$826, 4, FALSE)</f>
        <v>B2-1</v>
      </c>
      <c r="F688" t="str">
        <f>VLOOKUP($C688, Egli_UPEC_metadata_provided!$A$2:$M$826, 5, FALSE)</f>
        <v>w</v>
      </c>
      <c r="G688">
        <f>VLOOKUP($C688, Egli_UPEC_metadata_provided!$A$2:$M$826, 6, FALSE)</f>
        <v>0</v>
      </c>
      <c r="H688">
        <f>VLOOKUP($C688, Egli_UPEC_metadata_provided!$A$2:$M$826, 7, FALSE)</f>
        <v>2</v>
      </c>
      <c r="I688">
        <f>VLOOKUP($C688, Egli_UPEC_metadata_provided!$A$2:$M$826, 8, FALSE)</f>
        <v>94.575529733424503</v>
      </c>
      <c r="J688" t="b">
        <f>VLOOKUP($C688, Egli_UPEC_metadata_provided!$A$2:$M$826, 9, FALSE)</f>
        <v>0</v>
      </c>
      <c r="K688">
        <f>VLOOKUP($C688, Egli_UPEC_metadata_provided!$A$2:$M$826, 10, FALSE)</f>
        <v>0</v>
      </c>
      <c r="L688" t="str">
        <f>VLOOKUP($C688, Egli_UPEC_metadata_provided!$A$2:$M$826, 11, FALSE)</f>
        <v>non-invasive</v>
      </c>
      <c r="M688">
        <f>VLOOKUP($C688, Egli_UPEC_metadata_provided!$A$2:$M$826, 12, FALSE)</f>
        <v>0</v>
      </c>
      <c r="N688">
        <f>VLOOKUP($C688, Egli_UPEC_metadata_provided!$A$2:$M$826, 13, FALSE)</f>
        <v>0</v>
      </c>
      <c r="O688">
        <f>VLOOKUP($C688, Egli_UPEC_metadata_provided!$A$2:$N$826, 14, FALSE)</f>
        <v>0</v>
      </c>
    </row>
    <row r="689" spans="1:15" x14ac:dyDescent="0.2">
      <c r="A689" t="s">
        <v>681</v>
      </c>
      <c r="B689" t="s">
        <v>3916</v>
      </c>
      <c r="C689" t="s">
        <v>3916</v>
      </c>
      <c r="D689">
        <f>VLOOKUP($C689, Egli_UPEC_metadata_provided!$A$2:$M$826, 3, FALSE)</f>
        <v>2019</v>
      </c>
      <c r="E689" t="str">
        <f>VLOOKUP($C689, Egli_UPEC_metadata_provided!$A$2:$M$826, 4, FALSE)</f>
        <v>B2-2</v>
      </c>
      <c r="F689" t="str">
        <f>VLOOKUP($C689, Egli_UPEC_metadata_provided!$A$2:$M$826, 5, FALSE)</f>
        <v>m</v>
      </c>
      <c r="G689">
        <f>VLOOKUP($C689, Egli_UPEC_metadata_provided!$A$2:$M$826, 6, FALSE)</f>
        <v>0</v>
      </c>
      <c r="H689">
        <f>VLOOKUP($C689, Egli_UPEC_metadata_provided!$A$2:$M$826, 7, FALSE)</f>
        <v>7</v>
      </c>
      <c r="I689">
        <f>VLOOKUP($C689, Egli_UPEC_metadata_provided!$A$2:$M$826, 8, FALSE)</f>
        <v>75.551606288448397</v>
      </c>
      <c r="J689" t="b">
        <f>VLOOKUP($C689, Egli_UPEC_metadata_provided!$A$2:$M$826, 9, FALSE)</f>
        <v>0</v>
      </c>
      <c r="K689">
        <f>VLOOKUP($C689, Egli_UPEC_metadata_provided!$A$2:$M$826, 10, FALSE)</f>
        <v>0</v>
      </c>
      <c r="L689" t="str">
        <f>VLOOKUP($C689, Egli_UPEC_metadata_provided!$A$2:$M$826, 11, FALSE)</f>
        <v>non-invasive</v>
      </c>
      <c r="M689">
        <f>VLOOKUP($C689, Egli_UPEC_metadata_provided!$A$2:$M$826, 12, FALSE)</f>
        <v>0</v>
      </c>
      <c r="N689">
        <f>VLOOKUP($C689, Egli_UPEC_metadata_provided!$A$2:$M$826, 13, FALSE)</f>
        <v>0</v>
      </c>
      <c r="O689">
        <f>VLOOKUP($C689, Egli_UPEC_metadata_provided!$A$2:$N$826, 14, FALSE)</f>
        <v>0</v>
      </c>
    </row>
    <row r="690" spans="1:15" x14ac:dyDescent="0.2">
      <c r="A690" t="s">
        <v>682</v>
      </c>
      <c r="B690" t="s">
        <v>3917</v>
      </c>
      <c r="C690" t="s">
        <v>3917</v>
      </c>
      <c r="D690">
        <f>VLOOKUP($C690, Egli_UPEC_metadata_provided!$A$2:$M$826, 3, FALSE)</f>
        <v>2019</v>
      </c>
      <c r="E690" t="str">
        <f>VLOOKUP($C690, Egli_UPEC_metadata_provided!$A$2:$M$826, 4, FALSE)</f>
        <v>B2-2</v>
      </c>
      <c r="F690" t="str">
        <f>VLOOKUP($C690, Egli_UPEC_metadata_provided!$A$2:$M$826, 5, FALSE)</f>
        <v>m</v>
      </c>
      <c r="G690">
        <f>VLOOKUP($C690, Egli_UPEC_metadata_provided!$A$2:$M$826, 6, FALSE)</f>
        <v>0</v>
      </c>
      <c r="H690">
        <f>VLOOKUP($C690, Egli_UPEC_metadata_provided!$A$2:$M$826, 7, FALSE)</f>
        <v>3</v>
      </c>
      <c r="I690">
        <f>VLOOKUP($C690, Egli_UPEC_metadata_provided!$A$2:$M$826, 8, FALSE)</f>
        <v>75.6883116883117</v>
      </c>
      <c r="J690" t="b">
        <f>VLOOKUP($C690, Egli_UPEC_metadata_provided!$A$2:$M$826, 9, FALSE)</f>
        <v>0</v>
      </c>
      <c r="K690">
        <f>VLOOKUP($C690, Egli_UPEC_metadata_provided!$A$2:$M$826, 10, FALSE)</f>
        <v>0</v>
      </c>
      <c r="L690" t="str">
        <f>VLOOKUP($C690, Egli_UPEC_metadata_provided!$A$2:$M$826, 11, FALSE)</f>
        <v>non-invasive</v>
      </c>
      <c r="M690">
        <f>VLOOKUP($C690, Egli_UPEC_metadata_provided!$A$2:$M$826, 12, FALSE)</f>
        <v>1</v>
      </c>
      <c r="N690">
        <f>VLOOKUP($C690, Egli_UPEC_metadata_provided!$A$2:$M$826, 13, FALSE)</f>
        <v>1</v>
      </c>
      <c r="O690">
        <f>VLOOKUP($C690, Egli_UPEC_metadata_provided!$A$2:$N$826, 14, FALSE)</f>
        <v>0</v>
      </c>
    </row>
    <row r="691" spans="1:15" x14ac:dyDescent="0.2">
      <c r="A691" t="s">
        <v>686</v>
      </c>
      <c r="B691" t="s">
        <v>3921</v>
      </c>
      <c r="C691" t="s">
        <v>3921</v>
      </c>
      <c r="D691">
        <f>VLOOKUP($C691, Egli_UPEC_metadata_provided!$A$2:$M$826, 3, FALSE)</f>
        <v>2019</v>
      </c>
      <c r="E691" t="str">
        <f>VLOOKUP($C691, Egli_UPEC_metadata_provided!$A$2:$M$826, 4, FALSE)</f>
        <v>B2-2</v>
      </c>
      <c r="F691" t="str">
        <f>VLOOKUP($C691, Egli_UPEC_metadata_provided!$A$2:$M$826, 5, FALSE)</f>
        <v>w</v>
      </c>
      <c r="G691">
        <f>VLOOKUP($C691, Egli_UPEC_metadata_provided!$A$2:$M$826, 6, FALSE)</f>
        <v>0</v>
      </c>
      <c r="H691">
        <f>VLOOKUP($C691, Egli_UPEC_metadata_provided!$A$2:$M$826, 7, FALSE)</f>
        <v>1</v>
      </c>
      <c r="I691">
        <f>VLOOKUP($C691, Egli_UPEC_metadata_provided!$A$2:$M$826, 8, FALSE)</f>
        <v>80.716336295283696</v>
      </c>
      <c r="J691" t="b">
        <f>VLOOKUP($C691, Egli_UPEC_metadata_provided!$A$2:$M$826, 9, FALSE)</f>
        <v>0</v>
      </c>
      <c r="K691">
        <f>VLOOKUP($C691, Egli_UPEC_metadata_provided!$A$2:$M$826, 10, FALSE)</f>
        <v>0</v>
      </c>
      <c r="L691" t="str">
        <f>VLOOKUP($C691, Egli_UPEC_metadata_provided!$A$2:$M$826, 11, FALSE)</f>
        <v>non-invasive</v>
      </c>
      <c r="M691">
        <f>VLOOKUP($C691, Egli_UPEC_metadata_provided!$A$2:$M$826, 12, FALSE)</f>
        <v>0</v>
      </c>
      <c r="N691">
        <f>VLOOKUP($C691, Egli_UPEC_metadata_provided!$A$2:$M$826, 13, FALSE)</f>
        <v>0</v>
      </c>
      <c r="O691">
        <f>VLOOKUP($C691, Egli_UPEC_metadata_provided!$A$2:$N$826, 14, FALSE)</f>
        <v>1</v>
      </c>
    </row>
    <row r="692" spans="1:15" x14ac:dyDescent="0.2">
      <c r="A692" t="s">
        <v>687</v>
      </c>
      <c r="B692" t="s">
        <v>3922</v>
      </c>
      <c r="C692" t="s">
        <v>3922</v>
      </c>
      <c r="D692">
        <f>VLOOKUP($C692, Egli_UPEC_metadata_provided!$A$2:$M$826, 3, FALSE)</f>
        <v>2019</v>
      </c>
      <c r="E692" t="str">
        <f>VLOOKUP($C692, Egli_UPEC_metadata_provided!$A$2:$M$826, 4, FALSE)</f>
        <v>D1</v>
      </c>
      <c r="F692" t="str">
        <f>VLOOKUP($C692, Egli_UPEC_metadata_provided!$A$2:$M$826, 5, FALSE)</f>
        <v>w</v>
      </c>
      <c r="G692">
        <f>VLOOKUP($C692, Egli_UPEC_metadata_provided!$A$2:$M$826, 6, FALSE)</f>
        <v>0</v>
      </c>
      <c r="H692">
        <f>VLOOKUP($C692, Egli_UPEC_metadata_provided!$A$2:$M$826, 7, FALSE)</f>
        <v>2</v>
      </c>
      <c r="I692">
        <f>VLOOKUP($C692, Egli_UPEC_metadata_provided!$A$2:$M$826, 8, FALSE)</f>
        <v>82.362269309637696</v>
      </c>
      <c r="J692" t="b">
        <f>VLOOKUP($C692, Egli_UPEC_metadata_provided!$A$2:$M$826, 9, FALSE)</f>
        <v>1</v>
      </c>
      <c r="K692">
        <f>VLOOKUP($C692, Egli_UPEC_metadata_provided!$A$2:$M$826, 10, FALSE)</f>
        <v>0</v>
      </c>
      <c r="L692" t="str">
        <f>VLOOKUP($C692, Egli_UPEC_metadata_provided!$A$2:$M$826, 11, FALSE)</f>
        <v>non-invasive</v>
      </c>
      <c r="M692">
        <f>VLOOKUP($C692, Egli_UPEC_metadata_provided!$A$2:$M$826, 12, FALSE)</f>
        <v>1</v>
      </c>
      <c r="N692">
        <f>VLOOKUP($C692, Egli_UPEC_metadata_provided!$A$2:$M$826, 13, FALSE)</f>
        <v>0</v>
      </c>
      <c r="O692">
        <f>VLOOKUP($C692, Egli_UPEC_metadata_provided!$A$2:$N$826, 14, FALSE)</f>
        <v>1</v>
      </c>
    </row>
    <row r="693" spans="1:15" x14ac:dyDescent="0.2">
      <c r="A693" t="s">
        <v>690</v>
      </c>
      <c r="B693" t="s">
        <v>3925</v>
      </c>
      <c r="C693" t="s">
        <v>3925</v>
      </c>
      <c r="D693">
        <f>VLOOKUP($C693, Egli_UPEC_metadata_provided!$A$2:$M$826, 3, FALSE)</f>
        <v>2019</v>
      </c>
      <c r="E693" t="str">
        <f>VLOOKUP($C693, Egli_UPEC_metadata_provided!$A$2:$M$826, 4, FALSE)</f>
        <v>B2-2</v>
      </c>
      <c r="F693" t="str">
        <f>VLOOKUP($C693, Egli_UPEC_metadata_provided!$A$2:$M$826, 5, FALSE)</f>
        <v>w</v>
      </c>
      <c r="G693">
        <f>VLOOKUP($C693, Egli_UPEC_metadata_provided!$A$2:$M$826, 6, FALSE)</f>
        <v>0</v>
      </c>
      <c r="H693">
        <f>VLOOKUP($C693, Egli_UPEC_metadata_provided!$A$2:$M$826, 7, FALSE)</f>
        <v>0</v>
      </c>
      <c r="I693">
        <f>VLOOKUP($C693, Egli_UPEC_metadata_provided!$A$2:$M$826, 8, FALSE)</f>
        <v>83.595352016404604</v>
      </c>
      <c r="J693" t="b">
        <f>VLOOKUP($C693, Egli_UPEC_metadata_provided!$A$2:$M$826, 9, FALSE)</f>
        <v>0</v>
      </c>
      <c r="K693">
        <f>VLOOKUP($C693, Egli_UPEC_metadata_provided!$A$2:$M$826, 10, FALSE)</f>
        <v>0</v>
      </c>
      <c r="L693" t="str">
        <f>VLOOKUP($C693, Egli_UPEC_metadata_provided!$A$2:$M$826, 11, FALSE)</f>
        <v>non-invasive</v>
      </c>
      <c r="M693">
        <f>VLOOKUP($C693, Egli_UPEC_metadata_provided!$A$2:$M$826, 12, FALSE)</f>
        <v>1</v>
      </c>
      <c r="N693">
        <f>VLOOKUP($C693, Egli_UPEC_metadata_provided!$A$2:$M$826, 13, FALSE)</f>
        <v>0</v>
      </c>
      <c r="O693">
        <f>VLOOKUP($C693, Egli_UPEC_metadata_provided!$A$2:$N$826, 14, FALSE)</f>
        <v>1</v>
      </c>
    </row>
    <row r="694" spans="1:15" x14ac:dyDescent="0.2">
      <c r="A694" t="s">
        <v>692</v>
      </c>
      <c r="B694" t="s">
        <v>3927</v>
      </c>
      <c r="C694" t="s">
        <v>3927</v>
      </c>
      <c r="D694">
        <f>VLOOKUP($C694, Egli_UPEC_metadata_provided!$A$2:$M$826, 3, FALSE)</f>
        <v>2019</v>
      </c>
      <c r="E694" t="str">
        <f>VLOOKUP($C694, Egli_UPEC_metadata_provided!$A$2:$M$826, 4, FALSE)</f>
        <v>B2-2</v>
      </c>
      <c r="F694" t="str">
        <f>VLOOKUP($C694, Egli_UPEC_metadata_provided!$A$2:$M$826, 5, FALSE)</f>
        <v>m</v>
      </c>
      <c r="G694">
        <f>VLOOKUP($C694, Egli_UPEC_metadata_provided!$A$2:$M$826, 6, FALSE)</f>
        <v>0</v>
      </c>
      <c r="H694">
        <f>VLOOKUP($C694, Egli_UPEC_metadata_provided!$A$2:$M$826, 7, FALSE)</f>
        <v>2</v>
      </c>
      <c r="I694">
        <f>VLOOKUP($C694, Egli_UPEC_metadata_provided!$A$2:$M$826, 8, FALSE)</f>
        <v>73.484620642515395</v>
      </c>
      <c r="J694" t="b">
        <f>VLOOKUP($C694, Egli_UPEC_metadata_provided!$A$2:$M$826, 9, FALSE)</f>
        <v>0</v>
      </c>
      <c r="K694">
        <f>VLOOKUP($C694, Egli_UPEC_metadata_provided!$A$2:$M$826, 10, FALSE)</f>
        <v>0</v>
      </c>
      <c r="L694" t="str">
        <f>VLOOKUP($C694, Egli_UPEC_metadata_provided!$A$2:$M$826, 11, FALSE)</f>
        <v>non-invasive</v>
      </c>
      <c r="M694">
        <f>VLOOKUP($C694, Egli_UPEC_metadata_provided!$A$2:$M$826, 12, FALSE)</f>
        <v>0</v>
      </c>
      <c r="N694">
        <f>VLOOKUP($C694, Egli_UPEC_metadata_provided!$A$2:$M$826, 13, FALSE)</f>
        <v>0</v>
      </c>
      <c r="O694">
        <f>VLOOKUP($C694, Egli_UPEC_metadata_provided!$A$2:$N$826, 14, FALSE)</f>
        <v>0</v>
      </c>
    </row>
    <row r="695" spans="1:15" x14ac:dyDescent="0.2">
      <c r="A695" t="s">
        <v>696</v>
      </c>
      <c r="B695" t="s">
        <v>3931</v>
      </c>
      <c r="C695" t="s">
        <v>3931</v>
      </c>
      <c r="D695">
        <f>VLOOKUP($C695, Egli_UPEC_metadata_provided!$A$2:$M$826, 3, FALSE)</f>
        <v>2019</v>
      </c>
      <c r="E695" t="str">
        <f>VLOOKUP($C695, Egli_UPEC_metadata_provided!$A$2:$M$826, 4, FALSE)</f>
        <v>B1</v>
      </c>
      <c r="F695" t="str">
        <f>VLOOKUP($C695, Egli_UPEC_metadata_provided!$A$2:$M$826, 5, FALSE)</f>
        <v>m</v>
      </c>
      <c r="G695">
        <f>VLOOKUP($C695, Egli_UPEC_metadata_provided!$A$2:$M$826, 6, FALSE)</f>
        <v>0</v>
      </c>
      <c r="H695">
        <f>VLOOKUP($C695, Egli_UPEC_metadata_provided!$A$2:$M$826, 7, FALSE)</f>
        <v>2</v>
      </c>
      <c r="I695">
        <f>VLOOKUP($C695, Egli_UPEC_metadata_provided!$A$2:$M$826, 8, FALSE)</f>
        <v>66.693096377306901</v>
      </c>
      <c r="J695" t="b">
        <f>VLOOKUP($C695, Egli_UPEC_metadata_provided!$A$2:$M$826, 9, FALSE)</f>
        <v>0</v>
      </c>
      <c r="K695">
        <f>VLOOKUP($C695, Egli_UPEC_metadata_provided!$A$2:$M$826, 10, FALSE)</f>
        <v>0</v>
      </c>
      <c r="L695" t="str">
        <f>VLOOKUP($C695, Egli_UPEC_metadata_provided!$A$2:$M$826, 11, FALSE)</f>
        <v>non-invasive</v>
      </c>
      <c r="M695">
        <f>VLOOKUP($C695, Egli_UPEC_metadata_provided!$A$2:$M$826, 12, FALSE)</f>
        <v>1</v>
      </c>
      <c r="N695">
        <f>VLOOKUP($C695, Egli_UPEC_metadata_provided!$A$2:$M$826, 13, FALSE)</f>
        <v>0</v>
      </c>
      <c r="O695">
        <f>VLOOKUP($C695, Egli_UPEC_metadata_provided!$A$2:$N$826, 14, FALSE)</f>
        <v>0</v>
      </c>
    </row>
    <row r="696" spans="1:15" x14ac:dyDescent="0.2">
      <c r="A696" t="s">
        <v>698</v>
      </c>
      <c r="B696" t="s">
        <v>3933</v>
      </c>
      <c r="C696" t="s">
        <v>3933</v>
      </c>
      <c r="D696">
        <f>VLOOKUP($C696, Egli_UPEC_metadata_provided!$A$2:$M$826, 3, FALSE)</f>
        <v>2019</v>
      </c>
      <c r="E696" t="str">
        <f>VLOOKUP($C696, Egli_UPEC_metadata_provided!$A$2:$M$826, 4, FALSE)</f>
        <v>B2-2</v>
      </c>
      <c r="F696" t="str">
        <f>VLOOKUP($C696, Egli_UPEC_metadata_provided!$A$2:$M$826, 5, FALSE)</f>
        <v>w</v>
      </c>
      <c r="G696">
        <f>VLOOKUP($C696, Egli_UPEC_metadata_provided!$A$2:$M$826, 6, FALSE)</f>
        <v>0</v>
      </c>
      <c r="H696">
        <f>VLOOKUP($C696, Egli_UPEC_metadata_provided!$A$2:$M$826, 7, FALSE)</f>
        <v>1</v>
      </c>
      <c r="I696">
        <f>VLOOKUP($C696, Egli_UPEC_metadata_provided!$A$2:$M$826, 8, FALSE)</f>
        <v>85.777170198222805</v>
      </c>
      <c r="J696" t="b">
        <f>VLOOKUP($C696, Egli_UPEC_metadata_provided!$A$2:$M$826, 9, FALSE)</f>
        <v>0</v>
      </c>
      <c r="K696">
        <f>VLOOKUP($C696, Egli_UPEC_metadata_provided!$A$2:$M$826, 10, FALSE)</f>
        <v>0</v>
      </c>
      <c r="L696" t="str">
        <f>VLOOKUP($C696, Egli_UPEC_metadata_provided!$A$2:$M$826, 11, FALSE)</f>
        <v>non-invasive</v>
      </c>
      <c r="M696">
        <f>VLOOKUP($C696, Egli_UPEC_metadata_provided!$A$2:$M$826, 12, FALSE)</f>
        <v>0</v>
      </c>
      <c r="N696">
        <f>VLOOKUP($C696, Egli_UPEC_metadata_provided!$A$2:$M$826, 13, FALSE)</f>
        <v>0</v>
      </c>
      <c r="O696">
        <f>VLOOKUP($C696, Egli_UPEC_metadata_provided!$A$2:$N$826, 14, FALSE)</f>
        <v>1</v>
      </c>
    </row>
    <row r="697" spans="1:15" x14ac:dyDescent="0.2">
      <c r="A697" t="s">
        <v>700</v>
      </c>
      <c r="B697" t="s">
        <v>3936</v>
      </c>
      <c r="C697" t="s">
        <v>3936</v>
      </c>
      <c r="D697">
        <f>VLOOKUP($C697, Egli_UPEC_metadata_provided!$A$2:$M$826, 3, FALSE)</f>
        <v>2019</v>
      </c>
      <c r="E697" t="str">
        <f>VLOOKUP($C697, Egli_UPEC_metadata_provided!$A$2:$M$826, 4, FALSE)</f>
        <v>B2-1</v>
      </c>
      <c r="F697" t="str">
        <f>VLOOKUP($C697, Egli_UPEC_metadata_provided!$A$2:$M$826, 5, FALSE)</f>
        <v>w</v>
      </c>
      <c r="G697">
        <f>VLOOKUP($C697, Egli_UPEC_metadata_provided!$A$2:$M$826, 6, FALSE)</f>
        <v>0</v>
      </c>
      <c r="H697">
        <f>VLOOKUP($C697, Egli_UPEC_metadata_provided!$A$2:$M$826, 7, FALSE)</f>
        <v>3</v>
      </c>
      <c r="I697">
        <f>VLOOKUP($C697, Egli_UPEC_metadata_provided!$A$2:$M$826, 8, FALSE)</f>
        <v>90.734107997265895</v>
      </c>
      <c r="J697" t="b">
        <f>VLOOKUP($C697, Egli_UPEC_metadata_provided!$A$2:$M$826, 9, FALSE)</f>
        <v>0</v>
      </c>
      <c r="K697">
        <f>VLOOKUP($C697, Egli_UPEC_metadata_provided!$A$2:$M$826, 10, FALSE)</f>
        <v>0</v>
      </c>
      <c r="L697" t="str">
        <f>VLOOKUP($C697, Egli_UPEC_metadata_provided!$A$2:$M$826, 11, FALSE)</f>
        <v>non-invasive</v>
      </c>
      <c r="M697">
        <f>VLOOKUP($C697, Egli_UPEC_metadata_provided!$A$2:$M$826, 12, FALSE)</f>
        <v>0</v>
      </c>
      <c r="N697">
        <f>VLOOKUP($C697, Egli_UPEC_metadata_provided!$A$2:$M$826, 13, FALSE)</f>
        <v>0</v>
      </c>
      <c r="O697">
        <f>VLOOKUP($C697, Egli_UPEC_metadata_provided!$A$2:$N$826, 14, FALSE)</f>
        <v>1</v>
      </c>
    </row>
    <row r="698" spans="1:15" x14ac:dyDescent="0.2">
      <c r="A698" t="s">
        <v>715</v>
      </c>
      <c r="B698" t="s">
        <v>3951</v>
      </c>
      <c r="C698" t="s">
        <v>3951</v>
      </c>
      <c r="D698">
        <f>VLOOKUP($C698, Egli_UPEC_metadata_provided!$A$2:$M$826, 3, FALSE)</f>
        <v>2019</v>
      </c>
      <c r="E698" t="str">
        <f>VLOOKUP($C698, Egli_UPEC_metadata_provided!$A$2:$M$826, 4, FALSE)</f>
        <v>B2-2</v>
      </c>
      <c r="F698" t="str">
        <f>VLOOKUP($C698, Egli_UPEC_metadata_provided!$A$2:$M$826, 5, FALSE)</f>
        <v>w</v>
      </c>
      <c r="G698">
        <f>VLOOKUP($C698, Egli_UPEC_metadata_provided!$A$2:$M$826, 6, FALSE)</f>
        <v>0</v>
      </c>
      <c r="H698">
        <f>VLOOKUP($C698, Egli_UPEC_metadata_provided!$A$2:$M$826, 7, FALSE)</f>
        <v>6</v>
      </c>
      <c r="I698">
        <f>VLOOKUP($C698, Egli_UPEC_metadata_provided!$A$2:$M$826, 8, FALSE)</f>
        <v>87.912508544087501</v>
      </c>
      <c r="J698" t="b">
        <f>VLOOKUP($C698, Egli_UPEC_metadata_provided!$A$2:$M$826, 9, FALSE)</f>
        <v>0</v>
      </c>
      <c r="K698">
        <f>VLOOKUP($C698, Egli_UPEC_metadata_provided!$A$2:$M$826, 10, FALSE)</f>
        <v>0</v>
      </c>
      <c r="L698" t="str">
        <f>VLOOKUP($C698, Egli_UPEC_metadata_provided!$A$2:$M$826, 11, FALSE)</f>
        <v>non-invasive</v>
      </c>
      <c r="M698">
        <f>VLOOKUP($C698, Egli_UPEC_metadata_provided!$A$2:$M$826, 12, FALSE)</f>
        <v>0</v>
      </c>
      <c r="N698">
        <f>VLOOKUP($C698, Egli_UPEC_metadata_provided!$A$2:$M$826, 13, FALSE)</f>
        <v>1</v>
      </c>
      <c r="O698">
        <f>VLOOKUP($C698, Egli_UPEC_metadata_provided!$A$2:$N$826, 14, FALSE)</f>
        <v>0</v>
      </c>
    </row>
    <row r="699" spans="1:15" x14ac:dyDescent="0.2">
      <c r="A699" t="s">
        <v>716</v>
      </c>
      <c r="B699" t="s">
        <v>3952</v>
      </c>
      <c r="C699" t="s">
        <v>3952</v>
      </c>
      <c r="D699">
        <f>VLOOKUP($C699, Egli_UPEC_metadata_provided!$A$2:$M$826, 3, FALSE)</f>
        <v>2019</v>
      </c>
      <c r="E699" t="str">
        <f>VLOOKUP($C699, Egli_UPEC_metadata_provided!$A$2:$M$826, 4, FALSE)</f>
        <v>A</v>
      </c>
      <c r="F699" t="str">
        <f>VLOOKUP($C699, Egli_UPEC_metadata_provided!$A$2:$M$826, 5, FALSE)</f>
        <v>w</v>
      </c>
      <c r="G699">
        <f>VLOOKUP($C699, Egli_UPEC_metadata_provided!$A$2:$M$826, 6, FALSE)</f>
        <v>0</v>
      </c>
      <c r="H699">
        <f>VLOOKUP($C699, Egli_UPEC_metadata_provided!$A$2:$M$826, 7, FALSE)</f>
        <v>4</v>
      </c>
      <c r="I699">
        <f>VLOOKUP($C699, Egli_UPEC_metadata_provided!$A$2:$M$826, 8, FALSE)</f>
        <v>80.913192071086797</v>
      </c>
      <c r="J699" t="b">
        <f>VLOOKUP($C699, Egli_UPEC_metadata_provided!$A$2:$M$826, 9, FALSE)</f>
        <v>0</v>
      </c>
      <c r="K699">
        <f>VLOOKUP($C699, Egli_UPEC_metadata_provided!$A$2:$M$826, 10, FALSE)</f>
        <v>0</v>
      </c>
      <c r="L699" t="str">
        <f>VLOOKUP($C699, Egli_UPEC_metadata_provided!$A$2:$M$826, 11, FALSE)</f>
        <v>non-invasive</v>
      </c>
      <c r="M699">
        <f>VLOOKUP($C699, Egli_UPEC_metadata_provided!$A$2:$M$826, 12, FALSE)</f>
        <v>1</v>
      </c>
      <c r="N699">
        <f>VLOOKUP($C699, Egli_UPEC_metadata_provided!$A$2:$M$826, 13, FALSE)</f>
        <v>0</v>
      </c>
      <c r="O699">
        <f>VLOOKUP($C699, Egli_UPEC_metadata_provided!$A$2:$N$826, 14, FALSE)</f>
        <v>0</v>
      </c>
    </row>
    <row r="700" spans="1:15" x14ac:dyDescent="0.2">
      <c r="A700" t="s">
        <v>717</v>
      </c>
      <c r="B700" t="s">
        <v>3953</v>
      </c>
      <c r="C700" t="s">
        <v>3953</v>
      </c>
      <c r="D700">
        <f>VLOOKUP($C700, Egli_UPEC_metadata_provided!$A$2:$M$826, 3, FALSE)</f>
        <v>2019</v>
      </c>
      <c r="E700" t="str">
        <f>VLOOKUP($C700, Egli_UPEC_metadata_provided!$A$2:$M$826, 4, FALSE)</f>
        <v>A</v>
      </c>
      <c r="F700" t="str">
        <f>VLOOKUP($C700, Egli_UPEC_metadata_provided!$A$2:$M$826, 5, FALSE)</f>
        <v>w</v>
      </c>
      <c r="G700">
        <f>VLOOKUP($C700, Egli_UPEC_metadata_provided!$A$2:$M$826, 6, FALSE)</f>
        <v>0</v>
      </c>
      <c r="H700">
        <f>VLOOKUP($C700, Egli_UPEC_metadata_provided!$A$2:$M$826, 7, FALSE)</f>
        <v>8</v>
      </c>
      <c r="I700">
        <f>VLOOKUP($C700, Egli_UPEC_metadata_provided!$A$2:$M$826, 8, FALSE)</f>
        <v>81.429938482570094</v>
      </c>
      <c r="J700" t="b">
        <f>VLOOKUP($C700, Egli_UPEC_metadata_provided!$A$2:$M$826, 9, FALSE)</f>
        <v>0</v>
      </c>
      <c r="K700">
        <f>VLOOKUP($C700, Egli_UPEC_metadata_provided!$A$2:$M$826, 10, FALSE)</f>
        <v>0</v>
      </c>
      <c r="L700" t="str">
        <f>VLOOKUP($C700, Egli_UPEC_metadata_provided!$A$2:$M$826, 11, FALSE)</f>
        <v>non-invasive</v>
      </c>
      <c r="M700">
        <f>VLOOKUP($C700, Egli_UPEC_metadata_provided!$A$2:$M$826, 12, FALSE)</f>
        <v>1</v>
      </c>
      <c r="N700">
        <f>VLOOKUP($C700, Egli_UPEC_metadata_provided!$A$2:$M$826, 13, FALSE)</f>
        <v>0</v>
      </c>
      <c r="O700">
        <f>VLOOKUP($C700, Egli_UPEC_metadata_provided!$A$2:$N$826, 14, FALSE)</f>
        <v>0</v>
      </c>
    </row>
    <row r="701" spans="1:15" x14ac:dyDescent="0.2">
      <c r="A701" t="s">
        <v>720</v>
      </c>
      <c r="B701" t="s">
        <v>3956</v>
      </c>
      <c r="C701" t="s">
        <v>3956</v>
      </c>
      <c r="D701">
        <f>VLOOKUP($C701, Egli_UPEC_metadata_provided!$A$2:$M$826, 3, FALSE)</f>
        <v>2019</v>
      </c>
      <c r="E701" t="str">
        <f>VLOOKUP($C701, Egli_UPEC_metadata_provided!$A$2:$M$826, 4, FALSE)</f>
        <v>B2-1</v>
      </c>
      <c r="F701" t="str">
        <f>VLOOKUP($C701, Egli_UPEC_metadata_provided!$A$2:$M$826, 5, FALSE)</f>
        <v>w</v>
      </c>
      <c r="G701">
        <f>VLOOKUP($C701, Egli_UPEC_metadata_provided!$A$2:$M$826, 6, FALSE)</f>
        <v>0</v>
      </c>
      <c r="H701">
        <f>VLOOKUP($C701, Egli_UPEC_metadata_provided!$A$2:$M$826, 7, FALSE)</f>
        <v>0</v>
      </c>
      <c r="I701">
        <f>VLOOKUP($C701, Egli_UPEC_metadata_provided!$A$2:$M$826, 8, FALSE)</f>
        <v>80.806561859193394</v>
      </c>
      <c r="J701" t="b">
        <f>VLOOKUP($C701, Egli_UPEC_metadata_provided!$A$2:$M$826, 9, FALSE)</f>
        <v>0</v>
      </c>
      <c r="K701">
        <f>VLOOKUP($C701, Egli_UPEC_metadata_provided!$A$2:$M$826, 10, FALSE)</f>
        <v>0</v>
      </c>
      <c r="L701" t="str">
        <f>VLOOKUP($C701, Egli_UPEC_metadata_provided!$A$2:$M$826, 11, FALSE)</f>
        <v>non-invasive</v>
      </c>
      <c r="M701">
        <f>VLOOKUP($C701, Egli_UPEC_metadata_provided!$A$2:$M$826, 12, FALSE)</f>
        <v>0</v>
      </c>
      <c r="N701">
        <f>VLOOKUP($C701, Egli_UPEC_metadata_provided!$A$2:$M$826, 13, FALSE)</f>
        <v>0</v>
      </c>
      <c r="O701">
        <f>VLOOKUP($C701, Egli_UPEC_metadata_provided!$A$2:$N$826, 14, FALSE)</f>
        <v>1</v>
      </c>
    </row>
    <row r="702" spans="1:15" x14ac:dyDescent="0.2">
      <c r="A702" t="s">
        <v>721</v>
      </c>
      <c r="B702" t="s">
        <v>3957</v>
      </c>
      <c r="C702" t="s">
        <v>3957</v>
      </c>
      <c r="D702">
        <f>VLOOKUP($C702, Egli_UPEC_metadata_provided!$A$2:$M$826, 3, FALSE)</f>
        <v>2019</v>
      </c>
      <c r="E702" t="str">
        <f>VLOOKUP($C702, Egli_UPEC_metadata_provided!$A$2:$M$826, 4, FALSE)</f>
        <v>B2-2</v>
      </c>
      <c r="F702" t="str">
        <f>VLOOKUP($C702, Egli_UPEC_metadata_provided!$A$2:$M$826, 5, FALSE)</f>
        <v>w</v>
      </c>
      <c r="G702">
        <f>VLOOKUP($C702, Egli_UPEC_metadata_provided!$A$2:$M$826, 6, FALSE)</f>
        <v>0</v>
      </c>
      <c r="H702">
        <f>VLOOKUP($C702, Egli_UPEC_metadata_provided!$A$2:$M$826, 7, FALSE)</f>
        <v>1</v>
      </c>
      <c r="I702">
        <f>VLOOKUP($C702, Egli_UPEC_metadata_provided!$A$2:$M$826, 8, FALSE)</f>
        <v>95.196172248803805</v>
      </c>
      <c r="J702" t="b">
        <f>VLOOKUP($C702, Egli_UPEC_metadata_provided!$A$2:$M$826, 9, FALSE)</f>
        <v>0</v>
      </c>
      <c r="K702">
        <f>VLOOKUP($C702, Egli_UPEC_metadata_provided!$A$2:$M$826, 10, FALSE)</f>
        <v>0</v>
      </c>
      <c r="L702" t="str">
        <f>VLOOKUP($C702, Egli_UPEC_metadata_provided!$A$2:$M$826, 11, FALSE)</f>
        <v>non-invasive</v>
      </c>
      <c r="M702">
        <f>VLOOKUP($C702, Egli_UPEC_metadata_provided!$A$2:$M$826, 12, FALSE)</f>
        <v>0</v>
      </c>
      <c r="N702">
        <f>VLOOKUP($C702, Egli_UPEC_metadata_provided!$A$2:$M$826, 13, FALSE)</f>
        <v>0</v>
      </c>
      <c r="O702">
        <f>VLOOKUP($C702, Egli_UPEC_metadata_provided!$A$2:$N$826, 14, FALSE)</f>
        <v>0</v>
      </c>
    </row>
    <row r="703" spans="1:15" x14ac:dyDescent="0.2">
      <c r="A703" t="s">
        <v>723</v>
      </c>
      <c r="B703" t="s">
        <v>3959</v>
      </c>
      <c r="C703" t="s">
        <v>3959</v>
      </c>
      <c r="D703">
        <f>VLOOKUP($C703, Egli_UPEC_metadata_provided!$A$2:$M$826, 3, FALSE)</f>
        <v>2019</v>
      </c>
      <c r="E703" t="str">
        <f>VLOOKUP($C703, Egli_UPEC_metadata_provided!$A$2:$M$826, 4, FALSE)</f>
        <v>B2-1</v>
      </c>
      <c r="F703" t="str">
        <f>VLOOKUP($C703, Egli_UPEC_metadata_provided!$A$2:$M$826, 5, FALSE)</f>
        <v>m</v>
      </c>
      <c r="G703">
        <f>VLOOKUP($C703, Egli_UPEC_metadata_provided!$A$2:$M$826, 6, FALSE)</f>
        <v>0</v>
      </c>
      <c r="H703">
        <f>VLOOKUP($C703, Egli_UPEC_metadata_provided!$A$2:$M$826, 7, FALSE)</f>
        <v>6</v>
      </c>
      <c r="I703">
        <f>VLOOKUP($C703, Egli_UPEC_metadata_provided!$A$2:$M$826, 8, FALSE)</f>
        <v>85.345181134654794</v>
      </c>
      <c r="J703" t="b">
        <f>VLOOKUP($C703, Egli_UPEC_metadata_provided!$A$2:$M$826, 9, FALSE)</f>
        <v>0</v>
      </c>
      <c r="K703">
        <f>VLOOKUP($C703, Egli_UPEC_metadata_provided!$A$2:$M$826, 10, FALSE)</f>
        <v>1</v>
      </c>
      <c r="L703" t="str">
        <f>VLOOKUP($C703, Egli_UPEC_metadata_provided!$A$2:$M$826, 11, FALSE)</f>
        <v>non-invasive</v>
      </c>
      <c r="M703">
        <f>VLOOKUP($C703, Egli_UPEC_metadata_provided!$A$2:$M$826, 12, FALSE)</f>
        <v>0</v>
      </c>
      <c r="N703">
        <f>VLOOKUP($C703, Egli_UPEC_metadata_provided!$A$2:$M$826, 13, FALSE)</f>
        <v>0</v>
      </c>
      <c r="O703">
        <f>VLOOKUP($C703, Egli_UPEC_metadata_provided!$A$2:$N$826, 14, FALSE)</f>
        <v>0</v>
      </c>
    </row>
    <row r="704" spans="1:15" x14ac:dyDescent="0.2">
      <c r="A704" t="s">
        <v>726</v>
      </c>
      <c r="B704" t="s">
        <v>3962</v>
      </c>
      <c r="C704" t="s">
        <v>3962</v>
      </c>
      <c r="D704">
        <f>VLOOKUP($C704, Egli_UPEC_metadata_provided!$A$2:$M$826, 3, FALSE)</f>
        <v>2019</v>
      </c>
      <c r="E704" t="str">
        <f>VLOOKUP($C704, Egli_UPEC_metadata_provided!$A$2:$M$826, 4, FALSE)</f>
        <v>D1</v>
      </c>
      <c r="F704" t="str">
        <f>VLOOKUP($C704, Egli_UPEC_metadata_provided!$A$2:$M$826, 5, FALSE)</f>
        <v>w</v>
      </c>
      <c r="G704">
        <f>VLOOKUP($C704, Egli_UPEC_metadata_provided!$A$2:$M$826, 6, FALSE)</f>
        <v>0</v>
      </c>
      <c r="H704">
        <f>VLOOKUP($C704, Egli_UPEC_metadata_provided!$A$2:$M$826, 7, FALSE)</f>
        <v>0</v>
      </c>
      <c r="I704">
        <f>VLOOKUP($C704, Egli_UPEC_metadata_provided!$A$2:$M$826, 8, FALSE)</f>
        <v>87.395762132604204</v>
      </c>
      <c r="J704" t="b">
        <f>VLOOKUP($C704, Egli_UPEC_metadata_provided!$A$2:$M$826, 9, FALSE)</f>
        <v>0</v>
      </c>
      <c r="K704">
        <f>VLOOKUP($C704, Egli_UPEC_metadata_provided!$A$2:$M$826, 10, FALSE)</f>
        <v>0</v>
      </c>
      <c r="L704" t="str">
        <f>VLOOKUP($C704, Egli_UPEC_metadata_provided!$A$2:$M$826, 11, FALSE)</f>
        <v>non-invasive</v>
      </c>
      <c r="M704">
        <f>VLOOKUP($C704, Egli_UPEC_metadata_provided!$A$2:$M$826, 12, FALSE)</f>
        <v>0</v>
      </c>
      <c r="N704">
        <f>VLOOKUP($C704, Egli_UPEC_metadata_provided!$A$2:$M$826, 13, FALSE)</f>
        <v>0</v>
      </c>
      <c r="O704">
        <f>VLOOKUP($C704, Egli_UPEC_metadata_provided!$A$2:$N$826, 14, FALSE)</f>
        <v>0</v>
      </c>
    </row>
    <row r="705" spans="1:15" x14ac:dyDescent="0.2">
      <c r="A705" t="s">
        <v>728</v>
      </c>
      <c r="B705" t="s">
        <v>3964</v>
      </c>
      <c r="C705" t="s">
        <v>3964</v>
      </c>
      <c r="D705">
        <f>VLOOKUP($C705, Egli_UPEC_metadata_provided!$A$2:$M$826, 3, FALSE)</f>
        <v>2019</v>
      </c>
      <c r="E705" t="str">
        <f>VLOOKUP($C705, Egli_UPEC_metadata_provided!$A$2:$M$826, 4, FALSE)</f>
        <v>D1</v>
      </c>
      <c r="F705" t="str">
        <f>VLOOKUP($C705, Egli_UPEC_metadata_provided!$A$2:$M$826, 5, FALSE)</f>
        <v>w</v>
      </c>
      <c r="G705">
        <f>VLOOKUP($C705, Egli_UPEC_metadata_provided!$A$2:$M$826, 6, FALSE)</f>
        <v>0</v>
      </c>
      <c r="H705">
        <f>VLOOKUP($C705, Egli_UPEC_metadata_provided!$A$2:$M$826, 7, FALSE)</f>
        <v>0</v>
      </c>
      <c r="I705">
        <f>VLOOKUP($C705, Egli_UPEC_metadata_provided!$A$2:$M$826, 8, FALSE)</f>
        <v>71.349282296650699</v>
      </c>
      <c r="J705" t="b">
        <f>VLOOKUP($C705, Egli_UPEC_metadata_provided!$A$2:$M$826, 9, FALSE)</f>
        <v>0</v>
      </c>
      <c r="K705">
        <f>VLOOKUP($C705, Egli_UPEC_metadata_provided!$A$2:$M$826, 10, FALSE)</f>
        <v>0</v>
      </c>
      <c r="L705" t="str">
        <f>VLOOKUP($C705, Egli_UPEC_metadata_provided!$A$2:$M$826, 11, FALSE)</f>
        <v>non-invasive</v>
      </c>
      <c r="M705">
        <f>VLOOKUP($C705, Egli_UPEC_metadata_provided!$A$2:$M$826, 12, FALSE)</f>
        <v>1</v>
      </c>
      <c r="N705">
        <f>VLOOKUP($C705, Egli_UPEC_metadata_provided!$A$2:$M$826, 13, FALSE)</f>
        <v>0</v>
      </c>
      <c r="O705">
        <f>VLOOKUP($C705, Egli_UPEC_metadata_provided!$A$2:$N$826, 14, FALSE)</f>
        <v>1</v>
      </c>
    </row>
    <row r="706" spans="1:15" x14ac:dyDescent="0.2">
      <c r="A706" t="s">
        <v>732</v>
      </c>
      <c r="B706" t="s">
        <v>3968</v>
      </c>
      <c r="C706" t="s">
        <v>3968</v>
      </c>
      <c r="D706">
        <f>VLOOKUP($C706, Egli_UPEC_metadata_provided!$A$2:$M$826, 3, FALSE)</f>
        <v>2019</v>
      </c>
      <c r="E706" t="str">
        <f>VLOOKUP($C706, Egli_UPEC_metadata_provided!$A$2:$M$826, 4, FALSE)</f>
        <v>B2-2</v>
      </c>
      <c r="F706" t="str">
        <f>VLOOKUP($C706, Egli_UPEC_metadata_provided!$A$2:$M$826, 5, FALSE)</f>
        <v>w</v>
      </c>
      <c r="G706">
        <f>VLOOKUP($C706, Egli_UPEC_metadata_provided!$A$2:$M$826, 6, FALSE)</f>
        <v>0</v>
      </c>
      <c r="H706">
        <f>VLOOKUP($C706, Egli_UPEC_metadata_provided!$A$2:$M$826, 7, FALSE)</f>
        <v>0</v>
      </c>
      <c r="I706">
        <f>VLOOKUP($C706, Egli_UPEC_metadata_provided!$A$2:$M$826, 8, FALSE)</f>
        <v>87.436773752563198</v>
      </c>
      <c r="J706" t="b">
        <f>VLOOKUP($C706, Egli_UPEC_metadata_provided!$A$2:$M$826, 9, FALSE)</f>
        <v>0</v>
      </c>
      <c r="K706">
        <f>VLOOKUP($C706, Egli_UPEC_metadata_provided!$A$2:$M$826, 10, FALSE)</f>
        <v>0</v>
      </c>
      <c r="L706" t="str">
        <f>VLOOKUP($C706, Egli_UPEC_metadata_provided!$A$2:$M$826, 11, FALSE)</f>
        <v>non-invasive</v>
      </c>
      <c r="M706">
        <f>VLOOKUP($C706, Egli_UPEC_metadata_provided!$A$2:$M$826, 12, FALSE)</f>
        <v>0</v>
      </c>
      <c r="N706">
        <f>VLOOKUP($C706, Egli_UPEC_metadata_provided!$A$2:$M$826, 13, FALSE)</f>
        <v>0</v>
      </c>
      <c r="O706">
        <f>VLOOKUP($C706, Egli_UPEC_metadata_provided!$A$2:$N$826, 14, FALSE)</f>
        <v>0</v>
      </c>
    </row>
    <row r="707" spans="1:15" x14ac:dyDescent="0.2">
      <c r="A707" t="s">
        <v>733</v>
      </c>
      <c r="B707" t="s">
        <v>3969</v>
      </c>
      <c r="C707" t="s">
        <v>3969</v>
      </c>
      <c r="D707">
        <f>VLOOKUP($C707, Egli_UPEC_metadata_provided!$A$2:$M$826, 3, FALSE)</f>
        <v>2019</v>
      </c>
      <c r="E707" t="str">
        <f>VLOOKUP($C707, Egli_UPEC_metadata_provided!$A$2:$M$826, 4, FALSE)</f>
        <v>D1</v>
      </c>
      <c r="F707" t="str">
        <f>VLOOKUP($C707, Egli_UPEC_metadata_provided!$A$2:$M$826, 5, FALSE)</f>
        <v>w</v>
      </c>
      <c r="G707">
        <f>VLOOKUP($C707, Egli_UPEC_metadata_provided!$A$2:$M$826, 6, FALSE)</f>
        <v>0</v>
      </c>
      <c r="H707">
        <f>VLOOKUP($C707, Egli_UPEC_metadata_provided!$A$2:$M$826, 7, FALSE)</f>
        <v>0</v>
      </c>
      <c r="I707">
        <f>VLOOKUP($C707, Egli_UPEC_metadata_provided!$A$2:$M$826, 8, FALSE)</f>
        <v>93.030758714969295</v>
      </c>
      <c r="J707" t="b">
        <f>VLOOKUP($C707, Egli_UPEC_metadata_provided!$A$2:$M$826, 9, FALSE)</f>
        <v>0</v>
      </c>
      <c r="K707">
        <f>VLOOKUP($C707, Egli_UPEC_metadata_provided!$A$2:$M$826, 10, FALSE)</f>
        <v>0</v>
      </c>
      <c r="L707" t="str">
        <f>VLOOKUP($C707, Egli_UPEC_metadata_provided!$A$2:$M$826, 11, FALSE)</f>
        <v>non-invasive</v>
      </c>
      <c r="M707">
        <f>VLOOKUP($C707, Egli_UPEC_metadata_provided!$A$2:$M$826, 12, FALSE)</f>
        <v>0</v>
      </c>
      <c r="N707">
        <f>VLOOKUP($C707, Egli_UPEC_metadata_provided!$A$2:$M$826, 13, FALSE)</f>
        <v>0</v>
      </c>
      <c r="O707">
        <f>VLOOKUP($C707, Egli_UPEC_metadata_provided!$A$2:$N$826, 14, FALSE)</f>
        <v>0</v>
      </c>
    </row>
    <row r="708" spans="1:15" x14ac:dyDescent="0.2">
      <c r="A708" t="s">
        <v>736</v>
      </c>
      <c r="B708" t="s">
        <v>3972</v>
      </c>
      <c r="C708" t="s">
        <v>3972</v>
      </c>
      <c r="D708">
        <f>VLOOKUP($C708, Egli_UPEC_metadata_provided!$A$2:$M$826, 3, FALSE)</f>
        <v>2019</v>
      </c>
      <c r="E708" t="str">
        <f>VLOOKUP($C708, Egli_UPEC_metadata_provided!$A$2:$M$826, 4, FALSE)</f>
        <v>B2-1</v>
      </c>
      <c r="F708" t="str">
        <f>VLOOKUP($C708, Egli_UPEC_metadata_provided!$A$2:$M$826, 5, FALSE)</f>
        <v>w</v>
      </c>
      <c r="G708">
        <f>VLOOKUP($C708, Egli_UPEC_metadata_provided!$A$2:$M$826, 6, FALSE)</f>
        <v>0</v>
      </c>
      <c r="H708">
        <f>VLOOKUP($C708, Egli_UPEC_metadata_provided!$A$2:$M$826, 7, FALSE)</f>
        <v>1</v>
      </c>
      <c r="I708">
        <f>VLOOKUP($C708, Egli_UPEC_metadata_provided!$A$2:$M$826, 8, FALSE)</f>
        <v>77.755297334244702</v>
      </c>
      <c r="J708" t="b">
        <f>VLOOKUP($C708, Egli_UPEC_metadata_provided!$A$2:$M$826, 9, FALSE)</f>
        <v>0</v>
      </c>
      <c r="K708">
        <f>VLOOKUP($C708, Egli_UPEC_metadata_provided!$A$2:$M$826, 10, FALSE)</f>
        <v>0</v>
      </c>
      <c r="L708" t="str">
        <f>VLOOKUP($C708, Egli_UPEC_metadata_provided!$A$2:$M$826, 11, FALSE)</f>
        <v>non-invasive</v>
      </c>
      <c r="M708">
        <f>VLOOKUP($C708, Egli_UPEC_metadata_provided!$A$2:$M$826, 12, FALSE)</f>
        <v>1</v>
      </c>
      <c r="N708">
        <f>VLOOKUP($C708, Egli_UPEC_metadata_provided!$A$2:$M$826, 13, FALSE)</f>
        <v>0</v>
      </c>
      <c r="O708">
        <f>VLOOKUP($C708, Egli_UPEC_metadata_provided!$A$2:$N$826, 14, FALSE)</f>
        <v>0</v>
      </c>
    </row>
    <row r="709" spans="1:15" x14ac:dyDescent="0.2">
      <c r="A709" t="s">
        <v>737</v>
      </c>
      <c r="B709" t="s">
        <v>3973</v>
      </c>
      <c r="C709" t="s">
        <v>3973</v>
      </c>
      <c r="D709">
        <f>VLOOKUP($C709, Egli_UPEC_metadata_provided!$A$2:$M$826, 3, FALSE)</f>
        <v>2019</v>
      </c>
      <c r="E709" t="str">
        <f>VLOOKUP($C709, Egli_UPEC_metadata_provided!$A$2:$M$826, 4, FALSE)</f>
        <v>B2-2</v>
      </c>
      <c r="F709" t="str">
        <f>VLOOKUP($C709, Egli_UPEC_metadata_provided!$A$2:$M$826, 5, FALSE)</f>
        <v>w</v>
      </c>
      <c r="G709">
        <f>VLOOKUP($C709, Egli_UPEC_metadata_provided!$A$2:$M$826, 6, FALSE)</f>
        <v>0</v>
      </c>
      <c r="H709">
        <f>VLOOKUP($C709, Egli_UPEC_metadata_provided!$A$2:$M$826, 7, FALSE)</f>
        <v>3</v>
      </c>
      <c r="I709">
        <f>VLOOKUP($C709, Egli_UPEC_metadata_provided!$A$2:$M$826, 8, FALSE)</f>
        <v>88.374572795625397</v>
      </c>
      <c r="J709" t="b">
        <f>VLOOKUP($C709, Egli_UPEC_metadata_provided!$A$2:$M$826, 9, FALSE)</f>
        <v>0</v>
      </c>
      <c r="K709">
        <f>VLOOKUP($C709, Egli_UPEC_metadata_provided!$A$2:$M$826, 10, FALSE)</f>
        <v>0</v>
      </c>
      <c r="L709" t="str">
        <f>VLOOKUP($C709, Egli_UPEC_metadata_provided!$A$2:$M$826, 11, FALSE)</f>
        <v>non-invasive</v>
      </c>
      <c r="M709">
        <f>VLOOKUP($C709, Egli_UPEC_metadata_provided!$A$2:$M$826, 12, FALSE)</f>
        <v>0</v>
      </c>
      <c r="N709">
        <f>VLOOKUP($C709, Egli_UPEC_metadata_provided!$A$2:$M$826, 13, FALSE)</f>
        <v>0</v>
      </c>
      <c r="O709">
        <f>VLOOKUP($C709, Egli_UPEC_metadata_provided!$A$2:$N$826, 14, FALSE)</f>
        <v>1</v>
      </c>
    </row>
    <row r="710" spans="1:15" x14ac:dyDescent="0.2">
      <c r="A710" t="s">
        <v>758</v>
      </c>
      <c r="B710" t="s">
        <v>3994</v>
      </c>
      <c r="C710" t="s">
        <v>3994</v>
      </c>
      <c r="D710">
        <f>VLOOKUP($C710, Egli_UPEC_metadata_provided!$A$2:$M$826, 3, FALSE)</f>
        <v>2019</v>
      </c>
      <c r="E710" t="str">
        <f>VLOOKUP($C710, Egli_UPEC_metadata_provided!$A$2:$M$826, 4, FALSE)</f>
        <v>B2-2</v>
      </c>
      <c r="F710" t="str">
        <f>VLOOKUP($C710, Egli_UPEC_metadata_provided!$A$2:$M$826, 5, FALSE)</f>
        <v>w</v>
      </c>
      <c r="G710">
        <f>VLOOKUP($C710, Egli_UPEC_metadata_provided!$A$2:$M$826, 6, FALSE)</f>
        <v>0</v>
      </c>
      <c r="H710">
        <f>VLOOKUP($C710, Egli_UPEC_metadata_provided!$A$2:$M$826, 7, FALSE)</f>
        <v>0</v>
      </c>
      <c r="I710">
        <f>VLOOKUP($C710, Egli_UPEC_metadata_provided!$A$2:$M$826, 8, FALSE)</f>
        <v>33.747095010252899</v>
      </c>
      <c r="J710" t="b">
        <f>VLOOKUP($C710, Egli_UPEC_metadata_provided!$A$2:$M$826, 9, FALSE)</f>
        <v>1</v>
      </c>
      <c r="K710">
        <f>VLOOKUP($C710, Egli_UPEC_metadata_provided!$A$2:$M$826, 10, FALSE)</f>
        <v>0</v>
      </c>
      <c r="L710" t="str">
        <f>VLOOKUP($C710, Egli_UPEC_metadata_provided!$A$2:$M$826, 11, FALSE)</f>
        <v>non-invasive</v>
      </c>
      <c r="M710">
        <f>VLOOKUP($C710, Egli_UPEC_metadata_provided!$A$2:$M$826, 12, FALSE)</f>
        <v>0</v>
      </c>
      <c r="N710">
        <f>VLOOKUP($C710, Egli_UPEC_metadata_provided!$A$2:$M$826, 13, FALSE)</f>
        <v>0</v>
      </c>
      <c r="O710">
        <f>VLOOKUP($C710, Egli_UPEC_metadata_provided!$A$2:$N$826, 14, FALSE)</f>
        <v>1</v>
      </c>
    </row>
    <row r="711" spans="1:15" x14ac:dyDescent="0.2">
      <c r="A711" t="s">
        <v>761</v>
      </c>
      <c r="B711" t="s">
        <v>3997</v>
      </c>
      <c r="C711" t="s">
        <v>3997</v>
      </c>
      <c r="D711">
        <f>VLOOKUP($C711, Egli_UPEC_metadata_provided!$A$2:$M$826, 3, FALSE)</f>
        <v>2019</v>
      </c>
      <c r="E711" t="str">
        <f>VLOOKUP($C711, Egli_UPEC_metadata_provided!$A$2:$M$826, 4, FALSE)</f>
        <v>B2-2</v>
      </c>
      <c r="F711" t="str">
        <f>VLOOKUP($C711, Egli_UPEC_metadata_provided!$A$2:$M$826, 5, FALSE)</f>
        <v>w</v>
      </c>
      <c r="G711">
        <f>VLOOKUP($C711, Egli_UPEC_metadata_provided!$A$2:$M$826, 6, FALSE)</f>
        <v>0</v>
      </c>
      <c r="H711">
        <f>VLOOKUP($C711, Egli_UPEC_metadata_provided!$A$2:$M$826, 7, FALSE)</f>
        <v>1</v>
      </c>
      <c r="I711">
        <f>VLOOKUP($C711, Egli_UPEC_metadata_provided!$A$2:$M$826, 8, FALSE)</f>
        <v>80.650717703349301</v>
      </c>
      <c r="J711" t="b">
        <f>VLOOKUP($C711, Egli_UPEC_metadata_provided!$A$2:$M$826, 9, FALSE)</f>
        <v>1</v>
      </c>
      <c r="K711">
        <f>VLOOKUP($C711, Egli_UPEC_metadata_provided!$A$2:$M$826, 10, FALSE)</f>
        <v>0</v>
      </c>
      <c r="L711" t="str">
        <f>VLOOKUP($C711, Egli_UPEC_metadata_provided!$A$2:$M$826, 11, FALSE)</f>
        <v>non-invasive</v>
      </c>
      <c r="M711">
        <f>VLOOKUP($C711, Egli_UPEC_metadata_provided!$A$2:$M$826, 12, FALSE)</f>
        <v>1</v>
      </c>
      <c r="N711">
        <f>VLOOKUP($C711, Egli_UPEC_metadata_provided!$A$2:$M$826, 13, FALSE)</f>
        <v>0</v>
      </c>
      <c r="O711">
        <f>VLOOKUP($C711, Egli_UPEC_metadata_provided!$A$2:$N$826, 14, FALSE)</f>
        <v>1</v>
      </c>
    </row>
    <row r="712" spans="1:15" x14ac:dyDescent="0.2">
      <c r="A712" t="s">
        <v>763</v>
      </c>
      <c r="B712" t="s">
        <v>3999</v>
      </c>
      <c r="C712" t="s">
        <v>3999</v>
      </c>
      <c r="D712">
        <f>VLOOKUP($C712, Egli_UPEC_metadata_provided!$A$2:$M$826, 3, FALSE)</f>
        <v>2019</v>
      </c>
      <c r="E712" t="str">
        <f>VLOOKUP($C712, Egli_UPEC_metadata_provided!$A$2:$M$826, 4, FALSE)</f>
        <v>B1</v>
      </c>
      <c r="F712" t="str">
        <f>VLOOKUP($C712, Egli_UPEC_metadata_provided!$A$2:$M$826, 5, FALSE)</f>
        <v>w</v>
      </c>
      <c r="G712">
        <f>VLOOKUP($C712, Egli_UPEC_metadata_provided!$A$2:$M$826, 6, FALSE)</f>
        <v>0</v>
      </c>
      <c r="H712">
        <f>VLOOKUP($C712, Egli_UPEC_metadata_provided!$A$2:$M$826, 7, FALSE)</f>
        <v>2</v>
      </c>
      <c r="I712">
        <f>VLOOKUP($C712, Egli_UPEC_metadata_provided!$A$2:$M$826, 8, FALSE)</f>
        <v>82.427887901572106</v>
      </c>
      <c r="J712" t="b">
        <f>VLOOKUP($C712, Egli_UPEC_metadata_provided!$A$2:$M$826, 9, FALSE)</f>
        <v>0</v>
      </c>
      <c r="K712">
        <f>VLOOKUP($C712, Egli_UPEC_metadata_provided!$A$2:$M$826, 10, FALSE)</f>
        <v>0</v>
      </c>
      <c r="L712" t="str">
        <f>VLOOKUP($C712, Egli_UPEC_metadata_provided!$A$2:$M$826, 11, FALSE)</f>
        <v>non-invasive</v>
      </c>
      <c r="M712">
        <f>VLOOKUP($C712, Egli_UPEC_metadata_provided!$A$2:$M$826, 12, FALSE)</f>
        <v>0</v>
      </c>
      <c r="N712">
        <f>VLOOKUP($C712, Egli_UPEC_metadata_provided!$A$2:$M$826, 13, FALSE)</f>
        <v>0</v>
      </c>
      <c r="O712">
        <f>VLOOKUP($C712, Egli_UPEC_metadata_provided!$A$2:$N$826, 14, FALSE)</f>
        <v>0</v>
      </c>
    </row>
    <row r="713" spans="1:15" x14ac:dyDescent="0.2">
      <c r="A713" t="s">
        <v>764</v>
      </c>
      <c r="B713" t="s">
        <v>4000</v>
      </c>
      <c r="C713" t="s">
        <v>4000</v>
      </c>
      <c r="D713">
        <f>VLOOKUP($C713, Egli_UPEC_metadata_provided!$A$2:$M$826, 3, FALSE)</f>
        <v>2019</v>
      </c>
      <c r="E713" t="str">
        <f>VLOOKUP($C713, Egli_UPEC_metadata_provided!$A$2:$M$826, 4, FALSE)</f>
        <v>C</v>
      </c>
      <c r="F713" t="str">
        <f>VLOOKUP($C713, Egli_UPEC_metadata_provided!$A$2:$M$826, 5, FALSE)</f>
        <v>w</v>
      </c>
      <c r="G713">
        <f>VLOOKUP($C713, Egli_UPEC_metadata_provided!$A$2:$M$826, 6, FALSE)</f>
        <v>1</v>
      </c>
      <c r="H713">
        <f>VLOOKUP($C713, Egli_UPEC_metadata_provided!$A$2:$M$826, 7, FALSE)</f>
        <v>2</v>
      </c>
      <c r="I713">
        <f>VLOOKUP($C713, Egli_UPEC_metadata_provided!$A$2:$M$826, 8, FALSE)</f>
        <v>58.840738209159298</v>
      </c>
      <c r="J713" t="b">
        <f>VLOOKUP($C713, Egli_UPEC_metadata_provided!$A$2:$M$826, 9, FALSE)</f>
        <v>0</v>
      </c>
      <c r="K713">
        <f>VLOOKUP($C713, Egli_UPEC_metadata_provided!$A$2:$M$826, 10, FALSE)</f>
        <v>0</v>
      </c>
      <c r="L713" t="str">
        <f>VLOOKUP($C713, Egli_UPEC_metadata_provided!$A$2:$M$826, 11, FALSE)</f>
        <v>non-invasive</v>
      </c>
      <c r="M713">
        <f>VLOOKUP($C713, Egli_UPEC_metadata_provided!$A$2:$M$826, 12, FALSE)</f>
        <v>0</v>
      </c>
      <c r="N713">
        <f>VLOOKUP($C713, Egli_UPEC_metadata_provided!$A$2:$M$826, 13, FALSE)</f>
        <v>0</v>
      </c>
      <c r="O713">
        <f>VLOOKUP($C713, Egli_UPEC_metadata_provided!$A$2:$N$826, 14, FALSE)</f>
        <v>1</v>
      </c>
    </row>
    <row r="714" spans="1:15" x14ac:dyDescent="0.2">
      <c r="A714" t="s">
        <v>775</v>
      </c>
      <c r="B714" t="s">
        <v>4011</v>
      </c>
      <c r="C714" t="s">
        <v>4011</v>
      </c>
      <c r="D714">
        <f>VLOOKUP($C714, Egli_UPEC_metadata_provided!$A$2:$M$826, 3, FALSE)</f>
        <v>2019</v>
      </c>
      <c r="E714" t="str">
        <f>VLOOKUP($C714, Egli_UPEC_metadata_provided!$A$2:$M$826, 4, FALSE)</f>
        <v>D1</v>
      </c>
      <c r="F714" t="str">
        <f>VLOOKUP($C714, Egli_UPEC_metadata_provided!$A$2:$M$826, 5, FALSE)</f>
        <v>w</v>
      </c>
      <c r="G714">
        <f>VLOOKUP($C714, Egli_UPEC_metadata_provided!$A$2:$M$826, 6, FALSE)</f>
        <v>0</v>
      </c>
      <c r="H714">
        <f>VLOOKUP($C714, Egli_UPEC_metadata_provided!$A$2:$M$826, 7, FALSE)</f>
        <v>2</v>
      </c>
      <c r="I714">
        <f>VLOOKUP($C714, Egli_UPEC_metadata_provided!$A$2:$M$826, 8, FALSE)</f>
        <v>82.149008885851003</v>
      </c>
      <c r="J714" t="b">
        <f>VLOOKUP($C714, Egli_UPEC_metadata_provided!$A$2:$M$826, 9, FALSE)</f>
        <v>0</v>
      </c>
      <c r="K714">
        <f>VLOOKUP($C714, Egli_UPEC_metadata_provided!$A$2:$M$826, 10, FALSE)</f>
        <v>0</v>
      </c>
      <c r="L714" t="str">
        <f>VLOOKUP($C714, Egli_UPEC_metadata_provided!$A$2:$M$826, 11, FALSE)</f>
        <v>non-invasive</v>
      </c>
      <c r="M714">
        <f>VLOOKUP($C714, Egli_UPEC_metadata_provided!$A$2:$M$826, 12, FALSE)</f>
        <v>1</v>
      </c>
      <c r="N714">
        <f>VLOOKUP($C714, Egli_UPEC_metadata_provided!$A$2:$M$826, 13, FALSE)</f>
        <v>1</v>
      </c>
      <c r="O714">
        <f>VLOOKUP($C714, Egli_UPEC_metadata_provided!$A$2:$N$826, 14, FALSE)</f>
        <v>0</v>
      </c>
    </row>
    <row r="715" spans="1:15" x14ac:dyDescent="0.2">
      <c r="A715" t="s">
        <v>776</v>
      </c>
      <c r="B715" t="s">
        <v>4012</v>
      </c>
      <c r="C715" t="s">
        <v>4012</v>
      </c>
      <c r="D715">
        <f>VLOOKUP($C715, Egli_UPEC_metadata_provided!$A$2:$M$826, 3, FALSE)</f>
        <v>2019</v>
      </c>
      <c r="E715" t="str">
        <f>VLOOKUP($C715, Egli_UPEC_metadata_provided!$A$2:$M$826, 4, FALSE)</f>
        <v>B2-2</v>
      </c>
      <c r="F715" t="str">
        <f>VLOOKUP($C715, Egli_UPEC_metadata_provided!$A$2:$M$826, 5, FALSE)</f>
        <v>w</v>
      </c>
      <c r="G715">
        <f>VLOOKUP($C715, Egli_UPEC_metadata_provided!$A$2:$M$826, 6, FALSE)</f>
        <v>0</v>
      </c>
      <c r="H715">
        <f>VLOOKUP($C715, Egli_UPEC_metadata_provided!$A$2:$M$826, 7, FALSE)</f>
        <v>1</v>
      </c>
      <c r="I715">
        <f>VLOOKUP($C715, Egli_UPEC_metadata_provided!$A$2:$M$826, 8, FALSE)</f>
        <v>83.032125768967902</v>
      </c>
      <c r="J715" t="b">
        <f>VLOOKUP($C715, Egli_UPEC_metadata_provided!$A$2:$M$826, 9, FALSE)</f>
        <v>0</v>
      </c>
      <c r="K715">
        <f>VLOOKUP($C715, Egli_UPEC_metadata_provided!$A$2:$M$826, 10, FALSE)</f>
        <v>0</v>
      </c>
      <c r="L715" t="str">
        <f>VLOOKUP($C715, Egli_UPEC_metadata_provided!$A$2:$M$826, 11, FALSE)</f>
        <v>non-invasive</v>
      </c>
      <c r="M715">
        <f>VLOOKUP($C715, Egli_UPEC_metadata_provided!$A$2:$M$826, 12, FALSE)</f>
        <v>1</v>
      </c>
      <c r="N715">
        <f>VLOOKUP($C715, Egli_UPEC_metadata_provided!$A$2:$M$826, 13, FALSE)</f>
        <v>0</v>
      </c>
      <c r="O715">
        <f>VLOOKUP($C715, Egli_UPEC_metadata_provided!$A$2:$N$826, 14, FALSE)</f>
        <v>0</v>
      </c>
    </row>
    <row r="716" spans="1:15" x14ac:dyDescent="0.2">
      <c r="A716" t="s">
        <v>778</v>
      </c>
      <c r="B716" t="s">
        <v>4014</v>
      </c>
      <c r="C716" t="s">
        <v>4014</v>
      </c>
      <c r="D716">
        <f>VLOOKUP($C716, Egli_UPEC_metadata_provided!$A$2:$M$826, 3, FALSE)</f>
        <v>2019</v>
      </c>
      <c r="E716" t="str">
        <f>VLOOKUP($C716, Egli_UPEC_metadata_provided!$A$2:$M$826, 4, FALSE)</f>
        <v>B2-2</v>
      </c>
      <c r="F716" t="str">
        <f>VLOOKUP($C716, Egli_UPEC_metadata_provided!$A$2:$M$826, 5, FALSE)</f>
        <v>m</v>
      </c>
      <c r="G716">
        <f>VLOOKUP($C716, Egli_UPEC_metadata_provided!$A$2:$M$826, 6, FALSE)</f>
        <v>0</v>
      </c>
      <c r="H716">
        <f>VLOOKUP($C716, Egli_UPEC_metadata_provided!$A$2:$M$826, 7, FALSE)</f>
        <v>1</v>
      </c>
      <c r="I716">
        <f>VLOOKUP($C716, Egli_UPEC_metadata_provided!$A$2:$M$826, 8, FALSE)</f>
        <v>69.249487354750499</v>
      </c>
      <c r="J716" t="b">
        <f>VLOOKUP($C716, Egli_UPEC_metadata_provided!$A$2:$M$826, 9, FALSE)</f>
        <v>0</v>
      </c>
      <c r="K716">
        <f>VLOOKUP($C716, Egli_UPEC_metadata_provided!$A$2:$M$826, 10, FALSE)</f>
        <v>0</v>
      </c>
      <c r="L716" t="str">
        <f>VLOOKUP($C716, Egli_UPEC_metadata_provided!$A$2:$M$826, 11, FALSE)</f>
        <v>non-invasive</v>
      </c>
      <c r="M716">
        <f>VLOOKUP($C716, Egli_UPEC_metadata_provided!$A$2:$M$826, 12, FALSE)</f>
        <v>0</v>
      </c>
      <c r="N716">
        <f>VLOOKUP($C716, Egli_UPEC_metadata_provided!$A$2:$M$826, 13, FALSE)</f>
        <v>0</v>
      </c>
      <c r="O716">
        <f>VLOOKUP($C716, Egli_UPEC_metadata_provided!$A$2:$N$826, 14, FALSE)</f>
        <v>1</v>
      </c>
    </row>
    <row r="717" spans="1:15" x14ac:dyDescent="0.2">
      <c r="A717" t="s">
        <v>780</v>
      </c>
      <c r="B717" t="s">
        <v>4016</v>
      </c>
      <c r="C717" t="s">
        <v>4016</v>
      </c>
      <c r="D717">
        <f>VLOOKUP($C717, Egli_UPEC_metadata_provided!$A$2:$M$826, 3, FALSE)</f>
        <v>2019</v>
      </c>
      <c r="E717" t="str">
        <f>VLOOKUP($C717, Egli_UPEC_metadata_provided!$A$2:$M$826, 4, FALSE)</f>
        <v>B2-2</v>
      </c>
      <c r="F717" t="str">
        <f>VLOOKUP($C717, Egli_UPEC_metadata_provided!$A$2:$M$826, 5, FALSE)</f>
        <v>w</v>
      </c>
      <c r="G717">
        <f>VLOOKUP($C717, Egli_UPEC_metadata_provided!$A$2:$M$826, 6, FALSE)</f>
        <v>0</v>
      </c>
      <c r="H717">
        <f>VLOOKUP($C717, Egli_UPEC_metadata_provided!$A$2:$M$826, 7, FALSE)</f>
        <v>4</v>
      </c>
      <c r="I717">
        <f>VLOOKUP($C717, Egli_UPEC_metadata_provided!$A$2:$M$826, 8, FALSE)</f>
        <v>93.254955570744997</v>
      </c>
      <c r="J717" t="b">
        <f>VLOOKUP($C717, Egli_UPEC_metadata_provided!$A$2:$M$826, 9, FALSE)</f>
        <v>1</v>
      </c>
      <c r="K717">
        <f>VLOOKUP($C717, Egli_UPEC_metadata_provided!$A$2:$M$826, 10, FALSE)</f>
        <v>0</v>
      </c>
      <c r="L717" t="str">
        <f>VLOOKUP($C717, Egli_UPEC_metadata_provided!$A$2:$M$826, 11, FALSE)</f>
        <v>non-invasive</v>
      </c>
      <c r="M717">
        <f>VLOOKUP($C717, Egli_UPEC_metadata_provided!$A$2:$M$826, 12, FALSE)</f>
        <v>0</v>
      </c>
      <c r="N717">
        <f>VLOOKUP($C717, Egli_UPEC_metadata_provided!$A$2:$M$826, 13, FALSE)</f>
        <v>0</v>
      </c>
      <c r="O717">
        <f>VLOOKUP($C717, Egli_UPEC_metadata_provided!$A$2:$N$826, 14, FALSE)</f>
        <v>0</v>
      </c>
    </row>
    <row r="718" spans="1:15" x14ac:dyDescent="0.2">
      <c r="A718" t="s">
        <v>781</v>
      </c>
      <c r="B718" t="s">
        <v>4017</v>
      </c>
      <c r="C718" t="s">
        <v>4017</v>
      </c>
      <c r="D718">
        <f>VLOOKUP($C718, Egli_UPEC_metadata_provided!$A$2:$M$826, 3, FALSE)</f>
        <v>2019</v>
      </c>
      <c r="E718" t="str">
        <f>VLOOKUP($C718, Egli_UPEC_metadata_provided!$A$2:$M$826, 4, FALSE)</f>
        <v>B2-2</v>
      </c>
      <c r="F718" t="str">
        <f>VLOOKUP($C718, Egli_UPEC_metadata_provided!$A$2:$M$826, 5, FALSE)</f>
        <v>w</v>
      </c>
      <c r="G718">
        <f>VLOOKUP($C718, Egli_UPEC_metadata_provided!$A$2:$M$826, 6, FALSE)</f>
        <v>0</v>
      </c>
      <c r="H718">
        <f>VLOOKUP($C718, Egli_UPEC_metadata_provided!$A$2:$M$826, 7, FALSE)</f>
        <v>0</v>
      </c>
      <c r="I718">
        <f>VLOOKUP($C718, Egli_UPEC_metadata_provided!$A$2:$M$826, 8, FALSE)</f>
        <v>34.605604921394402</v>
      </c>
      <c r="J718" t="b">
        <f>VLOOKUP($C718, Egli_UPEC_metadata_provided!$A$2:$M$826, 9, FALSE)</f>
        <v>0</v>
      </c>
      <c r="K718">
        <f>VLOOKUP($C718, Egli_UPEC_metadata_provided!$A$2:$M$826, 10, FALSE)</f>
        <v>0</v>
      </c>
      <c r="L718" t="str">
        <f>VLOOKUP($C718, Egli_UPEC_metadata_provided!$A$2:$M$826, 11, FALSE)</f>
        <v>non-invasive</v>
      </c>
      <c r="M718">
        <f>VLOOKUP($C718, Egli_UPEC_metadata_provided!$A$2:$M$826, 12, FALSE)</f>
        <v>1</v>
      </c>
      <c r="N718">
        <f>VLOOKUP($C718, Egli_UPEC_metadata_provided!$A$2:$M$826, 13, FALSE)</f>
        <v>0</v>
      </c>
      <c r="O718">
        <f>VLOOKUP($C718, Egli_UPEC_metadata_provided!$A$2:$N$826, 14, FALSE)</f>
        <v>0</v>
      </c>
    </row>
    <row r="719" spans="1:15" x14ac:dyDescent="0.2">
      <c r="A719" t="s">
        <v>845</v>
      </c>
      <c r="B719" t="s">
        <v>4081</v>
      </c>
      <c r="C719" t="s">
        <v>4081</v>
      </c>
      <c r="D719">
        <f>VLOOKUP($C719, Egli_UPEC_metadata_provided!$A$2:$M$826, 3, FALSE)</f>
        <v>2019</v>
      </c>
      <c r="E719" t="str">
        <f>VLOOKUP($C719, Egli_UPEC_metadata_provided!$A$2:$M$826, 4, FALSE)</f>
        <v>B2-1</v>
      </c>
      <c r="F719" t="str">
        <f>VLOOKUP($C719, Egli_UPEC_metadata_provided!$A$2:$M$826, 5, FALSE)</f>
        <v>w</v>
      </c>
      <c r="G719">
        <f>VLOOKUP($C719, Egli_UPEC_metadata_provided!$A$2:$M$826, 6, FALSE)</f>
        <v>0</v>
      </c>
      <c r="H719">
        <f>VLOOKUP($C719, Egli_UPEC_metadata_provided!$A$2:$M$826, 7, FALSE)</f>
        <v>1</v>
      </c>
      <c r="I719">
        <f>VLOOKUP($C719, Egli_UPEC_metadata_provided!$A$2:$M$826, 8, FALSE)</f>
        <v>67.116883116883102</v>
      </c>
      <c r="J719" t="b">
        <f>VLOOKUP($C719, Egli_UPEC_metadata_provided!$A$2:$M$826, 9, FALSE)</f>
        <v>1</v>
      </c>
      <c r="K719">
        <f>VLOOKUP($C719, Egli_UPEC_metadata_provided!$A$2:$M$826, 10, FALSE)</f>
        <v>1</v>
      </c>
      <c r="L719" t="str">
        <f>VLOOKUP($C719, Egli_UPEC_metadata_provided!$A$2:$M$826, 11, FALSE)</f>
        <v>invasive</v>
      </c>
      <c r="M719">
        <f>VLOOKUP($C719, Egli_UPEC_metadata_provided!$A$2:$M$826, 12, FALSE)</f>
        <v>1</v>
      </c>
      <c r="N719">
        <f>VLOOKUP($C719, Egli_UPEC_metadata_provided!$A$2:$M$826, 13, FALSE)</f>
        <v>0</v>
      </c>
      <c r="O719">
        <f>VLOOKUP($C719, Egli_UPEC_metadata_provided!$A$2:$N$826, 14, FALSE)</f>
        <v>0</v>
      </c>
    </row>
    <row r="720" spans="1:15" x14ac:dyDescent="0.2">
      <c r="A720" t="s">
        <v>846</v>
      </c>
      <c r="B720" t="s">
        <v>4082</v>
      </c>
      <c r="C720" t="s">
        <v>4082</v>
      </c>
      <c r="D720">
        <f>VLOOKUP($C720, Egli_UPEC_metadata_provided!$A$2:$M$826, 3, FALSE)</f>
        <v>2019</v>
      </c>
      <c r="E720" t="str">
        <f>VLOOKUP($C720, Egli_UPEC_metadata_provided!$A$2:$M$826, 4, FALSE)</f>
        <v>B2-1</v>
      </c>
      <c r="F720" t="str">
        <f>VLOOKUP($C720, Egli_UPEC_metadata_provided!$A$2:$M$826, 5, FALSE)</f>
        <v>w</v>
      </c>
      <c r="G720">
        <f>VLOOKUP($C720, Egli_UPEC_metadata_provided!$A$2:$M$826, 6, FALSE)</f>
        <v>0</v>
      </c>
      <c r="H720">
        <f>VLOOKUP($C720, Egli_UPEC_metadata_provided!$A$2:$M$826, 7, FALSE)</f>
        <v>2</v>
      </c>
      <c r="I720">
        <f>VLOOKUP($C720, Egli_UPEC_metadata_provided!$A$2:$M$826, 8, FALSE)</f>
        <v>64.699931647300104</v>
      </c>
      <c r="J720" t="b">
        <f>VLOOKUP($C720, Egli_UPEC_metadata_provided!$A$2:$M$826, 9, FALSE)</f>
        <v>0</v>
      </c>
      <c r="K720">
        <f>VLOOKUP($C720, Egli_UPEC_metadata_provided!$A$2:$M$826, 10, FALSE)</f>
        <v>0</v>
      </c>
      <c r="L720" t="str">
        <f>VLOOKUP($C720, Egli_UPEC_metadata_provided!$A$2:$M$826, 11, FALSE)</f>
        <v>non-invasive</v>
      </c>
      <c r="M720">
        <f>VLOOKUP($C720, Egli_UPEC_metadata_provided!$A$2:$M$826, 12, FALSE)</f>
        <v>0</v>
      </c>
      <c r="N720">
        <f>VLOOKUP($C720, Egli_UPEC_metadata_provided!$A$2:$M$826, 13, FALSE)</f>
        <v>0</v>
      </c>
      <c r="O720">
        <f>VLOOKUP($C720, Egli_UPEC_metadata_provided!$A$2:$N$826, 14, FALSE)</f>
        <v>0</v>
      </c>
    </row>
    <row r="721" spans="1:15" x14ac:dyDescent="0.2">
      <c r="A721" t="s">
        <v>847</v>
      </c>
      <c r="B721" t="s">
        <v>4083</v>
      </c>
      <c r="C721" t="s">
        <v>4083</v>
      </c>
      <c r="D721">
        <f>VLOOKUP($C721, Egli_UPEC_metadata_provided!$A$2:$M$826, 3, FALSE)</f>
        <v>2019</v>
      </c>
      <c r="E721" t="str">
        <f>VLOOKUP($C721, Egli_UPEC_metadata_provided!$A$2:$M$826, 4, FALSE)</f>
        <v>B2-2</v>
      </c>
      <c r="F721" t="str">
        <f>VLOOKUP($C721, Egli_UPEC_metadata_provided!$A$2:$M$826, 5, FALSE)</f>
        <v>w</v>
      </c>
      <c r="G721">
        <f>VLOOKUP($C721, Egli_UPEC_metadata_provided!$A$2:$M$826, 6, FALSE)</f>
        <v>0</v>
      </c>
      <c r="H721">
        <f>VLOOKUP($C721, Egli_UPEC_metadata_provided!$A$2:$M$826, 7, FALSE)</f>
        <v>3</v>
      </c>
      <c r="I721">
        <f>VLOOKUP($C721, Egli_UPEC_metadata_provided!$A$2:$M$826, 8, FALSE)</f>
        <v>80.360902255639104</v>
      </c>
      <c r="J721" t="b">
        <f>VLOOKUP($C721, Egli_UPEC_metadata_provided!$A$2:$M$826, 9, FALSE)</f>
        <v>0</v>
      </c>
      <c r="K721">
        <f>VLOOKUP($C721, Egli_UPEC_metadata_provided!$A$2:$M$826, 10, FALSE)</f>
        <v>0</v>
      </c>
      <c r="L721" t="str">
        <f>VLOOKUP($C721, Egli_UPEC_metadata_provided!$A$2:$M$826, 11, FALSE)</f>
        <v>non-invasive</v>
      </c>
      <c r="M721">
        <f>VLOOKUP($C721, Egli_UPEC_metadata_provided!$A$2:$M$826, 12, FALSE)</f>
        <v>0</v>
      </c>
      <c r="N721">
        <f>VLOOKUP($C721, Egli_UPEC_metadata_provided!$A$2:$M$826, 13, FALSE)</f>
        <v>0</v>
      </c>
      <c r="O721">
        <f>VLOOKUP($C721, Egli_UPEC_metadata_provided!$A$2:$N$826, 14, FALSE)</f>
        <v>0</v>
      </c>
    </row>
    <row r="722" spans="1:15" x14ac:dyDescent="0.2">
      <c r="A722" t="s">
        <v>857</v>
      </c>
      <c r="B722" t="s">
        <v>4094</v>
      </c>
      <c r="C722" t="s">
        <v>4094</v>
      </c>
      <c r="D722">
        <f>VLOOKUP($C722, Egli_UPEC_metadata_provided!$A$2:$M$826, 3, FALSE)</f>
        <v>2019</v>
      </c>
      <c r="E722" t="str">
        <f>VLOOKUP($C722, Egli_UPEC_metadata_provided!$A$2:$M$826, 4, FALSE)</f>
        <v>B2-2</v>
      </c>
      <c r="F722" t="str">
        <f>VLOOKUP($C722, Egli_UPEC_metadata_provided!$A$2:$M$826, 5, FALSE)</f>
        <v>w</v>
      </c>
      <c r="G722">
        <f>VLOOKUP($C722, Egli_UPEC_metadata_provided!$A$2:$M$826, 6, FALSE)</f>
        <v>0</v>
      </c>
      <c r="H722">
        <f>VLOOKUP($C722, Egli_UPEC_metadata_provided!$A$2:$M$826, 7, FALSE)</f>
        <v>2</v>
      </c>
      <c r="I722">
        <f>VLOOKUP($C722, Egli_UPEC_metadata_provided!$A$2:$M$826, 8, FALSE)</f>
        <v>75.146958304853001</v>
      </c>
      <c r="J722" t="b">
        <f>VLOOKUP($C722, Egli_UPEC_metadata_provided!$A$2:$M$826, 9, FALSE)</f>
        <v>0</v>
      </c>
      <c r="K722">
        <f>VLOOKUP($C722, Egli_UPEC_metadata_provided!$A$2:$M$826, 10, FALSE)</f>
        <v>0</v>
      </c>
      <c r="L722" t="str">
        <f>VLOOKUP($C722, Egli_UPEC_metadata_provided!$A$2:$M$826, 11, FALSE)</f>
        <v>non-invasive</v>
      </c>
      <c r="M722">
        <f>VLOOKUP($C722, Egli_UPEC_metadata_provided!$A$2:$M$826, 12, FALSE)</f>
        <v>0</v>
      </c>
      <c r="N722">
        <f>VLOOKUP($C722, Egli_UPEC_metadata_provided!$A$2:$M$826, 13, FALSE)</f>
        <v>0</v>
      </c>
      <c r="O722">
        <f>VLOOKUP($C722, Egli_UPEC_metadata_provided!$A$2:$N$826, 14, FALSE)</f>
        <v>1</v>
      </c>
    </row>
    <row r="723" spans="1:15" x14ac:dyDescent="0.2">
      <c r="A723" t="s">
        <v>859</v>
      </c>
      <c r="B723" t="s">
        <v>4096</v>
      </c>
      <c r="C723" t="s">
        <v>4096</v>
      </c>
      <c r="D723">
        <f>VLOOKUP($C723, Egli_UPEC_metadata_provided!$A$2:$M$826, 3, FALSE)</f>
        <v>2019</v>
      </c>
      <c r="E723" t="str">
        <f>VLOOKUP($C723, Egli_UPEC_metadata_provided!$A$2:$M$826, 4, FALSE)</f>
        <v>B2-1</v>
      </c>
      <c r="F723" t="str">
        <f>VLOOKUP($C723, Egli_UPEC_metadata_provided!$A$2:$M$826, 5, FALSE)</f>
        <v>m</v>
      </c>
      <c r="G723">
        <f>VLOOKUP($C723, Egli_UPEC_metadata_provided!$A$2:$M$826, 6, FALSE)</f>
        <v>0</v>
      </c>
      <c r="H723">
        <f>VLOOKUP($C723, Egli_UPEC_metadata_provided!$A$2:$M$826, 7, FALSE)</f>
        <v>0</v>
      </c>
      <c r="I723">
        <f>VLOOKUP($C723, Egli_UPEC_metadata_provided!$A$2:$M$826, 8, FALSE)</f>
        <v>69.695146958304804</v>
      </c>
      <c r="J723" t="b">
        <f>VLOOKUP($C723, Egli_UPEC_metadata_provided!$A$2:$M$826, 9, FALSE)</f>
        <v>0</v>
      </c>
      <c r="K723">
        <f>VLOOKUP($C723, Egli_UPEC_metadata_provided!$A$2:$M$826, 10, FALSE)</f>
        <v>0</v>
      </c>
      <c r="L723" t="str">
        <f>VLOOKUP($C723, Egli_UPEC_metadata_provided!$A$2:$M$826, 11, FALSE)</f>
        <v>non-invasive</v>
      </c>
      <c r="M723">
        <f>VLOOKUP($C723, Egli_UPEC_metadata_provided!$A$2:$M$826, 12, FALSE)</f>
        <v>0</v>
      </c>
      <c r="N723">
        <f>VLOOKUP($C723, Egli_UPEC_metadata_provided!$A$2:$M$826, 13, FALSE)</f>
        <v>0</v>
      </c>
      <c r="O723">
        <f>VLOOKUP($C723, Egli_UPEC_metadata_provided!$A$2:$N$826, 14, FALSE)</f>
        <v>0</v>
      </c>
    </row>
    <row r="724" spans="1:15" x14ac:dyDescent="0.2">
      <c r="A724" t="s">
        <v>57</v>
      </c>
      <c r="B724" t="s">
        <v>3290</v>
      </c>
      <c r="C724" t="s">
        <v>3290</v>
      </c>
      <c r="D724">
        <f>VLOOKUP($C724, Egli_UPEC_metadata_provided!$A$2:$M$826, 3, FALSE)</f>
        <v>2020</v>
      </c>
      <c r="E724" t="str">
        <f>VLOOKUP($C724, Egli_UPEC_metadata_provided!$A$2:$M$826, 4, FALSE)</f>
        <v>B2-2</v>
      </c>
      <c r="F724" t="str">
        <f>VLOOKUP($C724, Egli_UPEC_metadata_provided!$A$2:$M$826, 5, FALSE)</f>
        <v>w</v>
      </c>
      <c r="G724">
        <f>VLOOKUP($C724, Egli_UPEC_metadata_provided!$A$2:$M$826, 6, FALSE)</f>
        <v>0</v>
      </c>
      <c r="H724">
        <f>VLOOKUP($C724, Egli_UPEC_metadata_provided!$A$2:$M$826, 7, FALSE)</f>
        <v>1</v>
      </c>
      <c r="I724">
        <f>VLOOKUP($C724, Egli_UPEC_metadata_provided!$A$2:$M$826, 8, FALSE)</f>
        <v>77.913875598086094</v>
      </c>
      <c r="J724" t="b">
        <f>VLOOKUP($C724, Egli_UPEC_metadata_provided!$A$2:$M$826, 9, FALSE)</f>
        <v>1</v>
      </c>
      <c r="K724">
        <f>VLOOKUP($C724, Egli_UPEC_metadata_provided!$A$2:$M$826, 10, FALSE)</f>
        <v>0</v>
      </c>
      <c r="L724" t="str">
        <f>VLOOKUP($C724, Egli_UPEC_metadata_provided!$A$2:$M$826, 11, FALSE)</f>
        <v>invasive</v>
      </c>
      <c r="M724">
        <f>VLOOKUP($C724, Egli_UPEC_metadata_provided!$A$2:$M$826, 12, FALSE)</f>
        <v>1</v>
      </c>
      <c r="N724">
        <f>VLOOKUP($C724, Egli_UPEC_metadata_provided!$A$2:$M$826, 13, FALSE)</f>
        <v>0</v>
      </c>
      <c r="O724">
        <f>VLOOKUP($C724, Egli_UPEC_metadata_provided!$A$2:$N$826, 14, FALSE)</f>
        <v>0</v>
      </c>
    </row>
    <row r="725" spans="1:15" x14ac:dyDescent="0.2">
      <c r="A725" t="s">
        <v>58</v>
      </c>
      <c r="B725" t="s">
        <v>3291</v>
      </c>
      <c r="C725" t="s">
        <v>3291</v>
      </c>
      <c r="D725">
        <f>VLOOKUP($C725, Egli_UPEC_metadata_provided!$A$2:$M$826, 3, FALSE)</f>
        <v>2020</v>
      </c>
      <c r="E725" t="str">
        <f>VLOOKUP($C725, Egli_UPEC_metadata_provided!$A$2:$M$826, 4, FALSE)</f>
        <v>B2-2</v>
      </c>
      <c r="F725" t="str">
        <f>VLOOKUP($C725, Egli_UPEC_metadata_provided!$A$2:$M$826, 5, FALSE)</f>
        <v>m</v>
      </c>
      <c r="G725">
        <f>VLOOKUP($C725, Egli_UPEC_metadata_provided!$A$2:$M$826, 6, FALSE)</f>
        <v>0</v>
      </c>
      <c r="H725">
        <f>VLOOKUP($C725, Egli_UPEC_metadata_provided!$A$2:$M$826, 7, FALSE)</f>
        <v>9</v>
      </c>
      <c r="I725">
        <f>VLOOKUP($C725, Egli_UPEC_metadata_provided!$A$2:$M$826, 8, FALSE)</f>
        <v>85.069036226931004</v>
      </c>
      <c r="J725" t="b">
        <f>VLOOKUP($C725, Egli_UPEC_metadata_provided!$A$2:$M$826, 9, FALSE)</f>
        <v>0</v>
      </c>
      <c r="K725" t="str">
        <f>VLOOKUP($C725, Egli_UPEC_metadata_provided!$A$2:$M$826, 10, FALSE)</f>
        <v>NA</v>
      </c>
      <c r="L725" t="str">
        <f>VLOOKUP($C725, Egli_UPEC_metadata_provided!$A$2:$M$826, 11, FALSE)</f>
        <v>invasive</v>
      </c>
      <c r="M725">
        <f>VLOOKUP($C725, Egli_UPEC_metadata_provided!$A$2:$M$826, 12, FALSE)</f>
        <v>0</v>
      </c>
      <c r="N725">
        <f>VLOOKUP($C725, Egli_UPEC_metadata_provided!$A$2:$M$826, 13, FALSE)</f>
        <v>0</v>
      </c>
      <c r="O725">
        <f>VLOOKUP($C725, Egli_UPEC_metadata_provided!$A$2:$N$826, 14, FALSE)</f>
        <v>1</v>
      </c>
    </row>
    <row r="726" spans="1:15" x14ac:dyDescent="0.2">
      <c r="A726" t="s">
        <v>64</v>
      </c>
      <c r="B726" t="s">
        <v>3297</v>
      </c>
      <c r="C726" t="s">
        <v>3297</v>
      </c>
      <c r="D726">
        <f>VLOOKUP($C726, Egli_UPEC_metadata_provided!$A$2:$M$826, 3, FALSE)</f>
        <v>2020</v>
      </c>
      <c r="E726" t="str">
        <f>VLOOKUP($C726, Egli_UPEC_metadata_provided!$A$2:$M$826, 4, FALSE)</f>
        <v>B2-2</v>
      </c>
      <c r="F726" t="str">
        <f>VLOOKUP($C726, Egli_UPEC_metadata_provided!$A$2:$M$826, 5, FALSE)</f>
        <v>w</v>
      </c>
      <c r="G726">
        <f>VLOOKUP($C726, Egli_UPEC_metadata_provided!$A$2:$M$826, 6, FALSE)</f>
        <v>0</v>
      </c>
      <c r="H726">
        <f>VLOOKUP($C726, Egli_UPEC_metadata_provided!$A$2:$M$826, 7, FALSE)</f>
        <v>0</v>
      </c>
      <c r="I726">
        <f>VLOOKUP($C726, Egli_UPEC_metadata_provided!$A$2:$M$826, 8, FALSE)</f>
        <v>91.311004784689004</v>
      </c>
      <c r="J726" t="b">
        <f>VLOOKUP($C726, Egli_UPEC_metadata_provided!$A$2:$M$826, 9, FALSE)</f>
        <v>1</v>
      </c>
      <c r="K726">
        <f>VLOOKUP($C726, Egli_UPEC_metadata_provided!$A$2:$M$826, 10, FALSE)</f>
        <v>0</v>
      </c>
      <c r="L726" t="str">
        <f>VLOOKUP($C726, Egli_UPEC_metadata_provided!$A$2:$M$826, 11, FALSE)</f>
        <v>invasive</v>
      </c>
      <c r="M726">
        <f>VLOOKUP($C726, Egli_UPEC_metadata_provided!$A$2:$M$826, 12, FALSE)</f>
        <v>0</v>
      </c>
      <c r="N726">
        <f>VLOOKUP($C726, Egli_UPEC_metadata_provided!$A$2:$M$826, 13, FALSE)</f>
        <v>0</v>
      </c>
      <c r="O726">
        <f>VLOOKUP($C726, Egli_UPEC_metadata_provided!$A$2:$N$826, 14, FALSE)</f>
        <v>0</v>
      </c>
    </row>
    <row r="727" spans="1:15" x14ac:dyDescent="0.2">
      <c r="A727" t="s">
        <v>65</v>
      </c>
      <c r="B727" t="s">
        <v>3298</v>
      </c>
      <c r="C727" t="s">
        <v>3298</v>
      </c>
      <c r="D727">
        <f>VLOOKUP($C727, Egli_UPEC_metadata_provided!$A$2:$M$826, 3, FALSE)</f>
        <v>2020</v>
      </c>
      <c r="E727" t="str">
        <f>VLOOKUP($C727, Egli_UPEC_metadata_provided!$A$2:$M$826, 4, FALSE)</f>
        <v>D1</v>
      </c>
      <c r="F727" t="str">
        <f>VLOOKUP($C727, Egli_UPEC_metadata_provided!$A$2:$M$826, 5, FALSE)</f>
        <v>m</v>
      </c>
      <c r="G727">
        <f>VLOOKUP($C727, Egli_UPEC_metadata_provided!$A$2:$M$826, 6, FALSE)</f>
        <v>0</v>
      </c>
      <c r="H727">
        <f>VLOOKUP($C727, Egli_UPEC_metadata_provided!$A$2:$M$826, 7, FALSE)</f>
        <v>0</v>
      </c>
      <c r="I727">
        <f>VLOOKUP($C727, Egli_UPEC_metadata_provided!$A$2:$M$826, 8, FALSE)</f>
        <v>83.450444292549605</v>
      </c>
      <c r="J727" t="b">
        <f>VLOOKUP($C727, Egli_UPEC_metadata_provided!$A$2:$M$826, 9, FALSE)</f>
        <v>1</v>
      </c>
      <c r="K727">
        <f>VLOOKUP($C727, Egli_UPEC_metadata_provided!$A$2:$M$826, 10, FALSE)</f>
        <v>1</v>
      </c>
      <c r="L727" t="str">
        <f>VLOOKUP($C727, Egli_UPEC_metadata_provided!$A$2:$M$826, 11, FALSE)</f>
        <v>invasive</v>
      </c>
      <c r="M727">
        <f>VLOOKUP($C727, Egli_UPEC_metadata_provided!$A$2:$M$826, 12, FALSE)</f>
        <v>0</v>
      </c>
      <c r="N727">
        <f>VLOOKUP($C727, Egli_UPEC_metadata_provided!$A$2:$M$826, 13, FALSE)</f>
        <v>1</v>
      </c>
      <c r="O727">
        <f>VLOOKUP($C727, Egli_UPEC_metadata_provided!$A$2:$N$826, 14, FALSE)</f>
        <v>0</v>
      </c>
    </row>
    <row r="728" spans="1:15" x14ac:dyDescent="0.2">
      <c r="A728" t="s">
        <v>70</v>
      </c>
      <c r="B728" t="s">
        <v>3303</v>
      </c>
      <c r="C728" t="s">
        <v>3303</v>
      </c>
      <c r="D728">
        <f>VLOOKUP($C728, Egli_UPEC_metadata_provided!$A$2:$M$826, 3, FALSE)</f>
        <v>2020</v>
      </c>
      <c r="E728" t="str">
        <f>VLOOKUP($C728, Egli_UPEC_metadata_provided!$A$2:$M$826, 4, FALSE)</f>
        <v>B2-2</v>
      </c>
      <c r="F728" t="str">
        <f>VLOOKUP($C728, Egli_UPEC_metadata_provided!$A$2:$M$826, 5, FALSE)</f>
        <v>w</v>
      </c>
      <c r="G728">
        <f>VLOOKUP($C728, Egli_UPEC_metadata_provided!$A$2:$M$826, 6, FALSE)</f>
        <v>1</v>
      </c>
      <c r="H728">
        <f>VLOOKUP($C728, Egli_UPEC_metadata_provided!$A$2:$M$826, 7, FALSE)</f>
        <v>2</v>
      </c>
      <c r="I728">
        <f>VLOOKUP($C728, Egli_UPEC_metadata_provided!$A$2:$M$826, 8, FALSE)</f>
        <v>72.3964456596036</v>
      </c>
      <c r="J728" t="b">
        <f>VLOOKUP($C728, Egli_UPEC_metadata_provided!$A$2:$M$826, 9, FALSE)</f>
        <v>1</v>
      </c>
      <c r="K728" t="str">
        <f>VLOOKUP($C728, Egli_UPEC_metadata_provided!$A$2:$M$826, 10, FALSE)</f>
        <v>NA</v>
      </c>
      <c r="L728" t="str">
        <f>VLOOKUP($C728, Egli_UPEC_metadata_provided!$A$2:$M$826, 11, FALSE)</f>
        <v>invasive</v>
      </c>
      <c r="M728">
        <f>VLOOKUP($C728, Egli_UPEC_metadata_provided!$A$2:$M$826, 12, FALSE)</f>
        <v>0</v>
      </c>
      <c r="N728">
        <f>VLOOKUP($C728, Egli_UPEC_metadata_provided!$A$2:$M$826, 13, FALSE)</f>
        <v>0</v>
      </c>
      <c r="O728">
        <f>VLOOKUP($C728, Egli_UPEC_metadata_provided!$A$2:$N$826, 14, FALSE)</f>
        <v>0</v>
      </c>
    </row>
    <row r="729" spans="1:15" x14ac:dyDescent="0.2">
      <c r="A729" t="s">
        <v>71</v>
      </c>
      <c r="B729" t="s">
        <v>3304</v>
      </c>
      <c r="C729" t="s">
        <v>3304</v>
      </c>
      <c r="D729">
        <f>VLOOKUP($C729, Egli_UPEC_metadata_provided!$A$2:$M$826, 3, FALSE)</f>
        <v>2020</v>
      </c>
      <c r="E729" t="str">
        <f>VLOOKUP($C729, Egli_UPEC_metadata_provided!$A$2:$M$826, 4, FALSE)</f>
        <v>B2-2</v>
      </c>
      <c r="F729" t="str">
        <f>VLOOKUP($C729, Egli_UPEC_metadata_provided!$A$2:$M$826, 5, FALSE)</f>
        <v>m</v>
      </c>
      <c r="G729">
        <f>VLOOKUP($C729, Egli_UPEC_metadata_provided!$A$2:$M$826, 6, FALSE)</f>
        <v>0</v>
      </c>
      <c r="H729">
        <f>VLOOKUP($C729, Egli_UPEC_metadata_provided!$A$2:$M$826, 7, FALSE)</f>
        <v>0</v>
      </c>
      <c r="I729">
        <f>VLOOKUP($C729, Egli_UPEC_metadata_provided!$A$2:$M$826, 8, FALSE)</f>
        <v>87.816814764183206</v>
      </c>
      <c r="J729" t="b">
        <f>VLOOKUP($C729, Egli_UPEC_metadata_provided!$A$2:$M$826, 9, FALSE)</f>
        <v>0</v>
      </c>
      <c r="K729">
        <f>VLOOKUP($C729, Egli_UPEC_metadata_provided!$A$2:$M$826, 10, FALSE)</f>
        <v>0</v>
      </c>
      <c r="L729" t="str">
        <f>VLOOKUP($C729, Egli_UPEC_metadata_provided!$A$2:$M$826, 11, FALSE)</f>
        <v>invasive</v>
      </c>
      <c r="M729">
        <f>VLOOKUP($C729, Egli_UPEC_metadata_provided!$A$2:$M$826, 12, FALSE)</f>
        <v>0</v>
      </c>
      <c r="N729">
        <f>VLOOKUP($C729, Egli_UPEC_metadata_provided!$A$2:$M$826, 13, FALSE)</f>
        <v>0</v>
      </c>
      <c r="O729">
        <f>VLOOKUP($C729, Egli_UPEC_metadata_provided!$A$2:$N$826, 14, FALSE)</f>
        <v>0</v>
      </c>
    </row>
    <row r="730" spans="1:15" x14ac:dyDescent="0.2">
      <c r="A730" t="s">
        <v>74</v>
      </c>
      <c r="B730" t="s">
        <v>3307</v>
      </c>
      <c r="C730" t="s">
        <v>3307</v>
      </c>
      <c r="D730">
        <f>VLOOKUP($C730, Egli_UPEC_metadata_provided!$A$2:$M$826, 3, FALSE)</f>
        <v>2020</v>
      </c>
      <c r="E730" t="str">
        <f>VLOOKUP($C730, Egli_UPEC_metadata_provided!$A$2:$M$826, 4, FALSE)</f>
        <v>B2-2</v>
      </c>
      <c r="F730" t="str">
        <f>VLOOKUP($C730, Egli_UPEC_metadata_provided!$A$2:$M$826, 5, FALSE)</f>
        <v>w</v>
      </c>
      <c r="G730">
        <f>VLOOKUP($C730, Egli_UPEC_metadata_provided!$A$2:$M$826, 6, FALSE)</f>
        <v>0</v>
      </c>
      <c r="H730">
        <f>VLOOKUP($C730, Egli_UPEC_metadata_provided!$A$2:$M$826, 7, FALSE)</f>
        <v>1</v>
      </c>
      <c r="I730">
        <f>VLOOKUP($C730, Egli_UPEC_metadata_provided!$A$2:$M$826, 8, FALSE)</f>
        <v>74.318523581681504</v>
      </c>
      <c r="J730" t="b">
        <f>VLOOKUP($C730, Egli_UPEC_metadata_provided!$A$2:$M$826, 9, FALSE)</f>
        <v>1</v>
      </c>
      <c r="K730">
        <f>VLOOKUP($C730, Egli_UPEC_metadata_provided!$A$2:$M$826, 10, FALSE)</f>
        <v>0</v>
      </c>
      <c r="L730" t="str">
        <f>VLOOKUP($C730, Egli_UPEC_metadata_provided!$A$2:$M$826, 11, FALSE)</f>
        <v>invasive</v>
      </c>
      <c r="M730">
        <f>VLOOKUP($C730, Egli_UPEC_metadata_provided!$A$2:$M$826, 12, FALSE)</f>
        <v>1</v>
      </c>
      <c r="N730">
        <f>VLOOKUP($C730, Egli_UPEC_metadata_provided!$A$2:$M$826, 13, FALSE)</f>
        <v>0</v>
      </c>
      <c r="O730">
        <f>VLOOKUP($C730, Egli_UPEC_metadata_provided!$A$2:$N$826, 14, FALSE)</f>
        <v>0</v>
      </c>
    </row>
    <row r="731" spans="1:15" x14ac:dyDescent="0.2">
      <c r="A731" t="s">
        <v>78</v>
      </c>
      <c r="B731" t="s">
        <v>3311</v>
      </c>
      <c r="C731" t="s">
        <v>3311</v>
      </c>
      <c r="D731">
        <f>VLOOKUP($C731, Egli_UPEC_metadata_provided!$A$2:$M$826, 3, FALSE)</f>
        <v>2020</v>
      </c>
      <c r="E731" t="str">
        <f>VLOOKUP($C731, Egli_UPEC_metadata_provided!$A$2:$M$826, 4, FALSE)</f>
        <v>B2-1</v>
      </c>
      <c r="F731" t="str">
        <f>VLOOKUP($C731, Egli_UPEC_metadata_provided!$A$2:$M$826, 5, FALSE)</f>
        <v>w</v>
      </c>
      <c r="G731">
        <f>VLOOKUP($C731, Egli_UPEC_metadata_provided!$A$2:$M$826, 6, FALSE)</f>
        <v>0</v>
      </c>
      <c r="H731">
        <f>VLOOKUP($C731, Egli_UPEC_metadata_provided!$A$2:$M$826, 7, FALSE)</f>
        <v>0</v>
      </c>
      <c r="I731">
        <f>VLOOKUP($C731, Egli_UPEC_metadata_provided!$A$2:$M$826, 8, FALSE)</f>
        <v>68.535885167464102</v>
      </c>
      <c r="J731" t="b">
        <f>VLOOKUP($C731, Egli_UPEC_metadata_provided!$A$2:$M$826, 9, FALSE)</f>
        <v>0</v>
      </c>
      <c r="K731" t="str">
        <f>VLOOKUP($C731, Egli_UPEC_metadata_provided!$A$2:$M$826, 10, FALSE)</f>
        <v>NA</v>
      </c>
      <c r="L731" t="str">
        <f>VLOOKUP($C731, Egli_UPEC_metadata_provided!$A$2:$M$826, 11, FALSE)</f>
        <v>invasive</v>
      </c>
      <c r="M731">
        <f>VLOOKUP($C731, Egli_UPEC_metadata_provided!$A$2:$M$826, 12, FALSE)</f>
        <v>0</v>
      </c>
      <c r="N731">
        <f>VLOOKUP($C731, Egli_UPEC_metadata_provided!$A$2:$M$826, 13, FALSE)</f>
        <v>0</v>
      </c>
      <c r="O731">
        <f>VLOOKUP($C731, Egli_UPEC_metadata_provided!$A$2:$N$826, 14, FALSE)</f>
        <v>0</v>
      </c>
    </row>
    <row r="732" spans="1:15" x14ac:dyDescent="0.2">
      <c r="A732" t="s">
        <v>81</v>
      </c>
      <c r="B732" t="s">
        <v>3314</v>
      </c>
      <c r="C732" t="s">
        <v>3314</v>
      </c>
      <c r="D732">
        <f>VLOOKUP($C732, Egli_UPEC_metadata_provided!$A$2:$M$826, 3, FALSE)</f>
        <v>2020</v>
      </c>
      <c r="E732" t="str">
        <f>VLOOKUP($C732, Egli_UPEC_metadata_provided!$A$2:$M$826, 4, FALSE)</f>
        <v>B2-1</v>
      </c>
      <c r="F732" t="str">
        <f>VLOOKUP($C732, Egli_UPEC_metadata_provided!$A$2:$M$826, 5, FALSE)</f>
        <v>w</v>
      </c>
      <c r="G732">
        <f>VLOOKUP($C732, Egli_UPEC_metadata_provided!$A$2:$M$826, 6, FALSE)</f>
        <v>0</v>
      </c>
      <c r="H732">
        <f>VLOOKUP($C732, Egli_UPEC_metadata_provided!$A$2:$M$826, 7, FALSE)</f>
        <v>2</v>
      </c>
      <c r="I732">
        <f>VLOOKUP($C732, Egli_UPEC_metadata_provided!$A$2:$M$826, 8, FALSE)</f>
        <v>71.198906356801103</v>
      </c>
      <c r="J732" t="b">
        <f>VLOOKUP($C732, Egli_UPEC_metadata_provided!$A$2:$M$826, 9, FALSE)</f>
        <v>1</v>
      </c>
      <c r="K732" t="str">
        <f>VLOOKUP($C732, Egli_UPEC_metadata_provided!$A$2:$M$826, 10, FALSE)</f>
        <v>NA</v>
      </c>
      <c r="L732" t="str">
        <f>VLOOKUP($C732, Egli_UPEC_metadata_provided!$A$2:$M$826, 11, FALSE)</f>
        <v>invasive</v>
      </c>
      <c r="M732">
        <f>VLOOKUP($C732, Egli_UPEC_metadata_provided!$A$2:$M$826, 12, FALSE)</f>
        <v>0</v>
      </c>
      <c r="N732">
        <f>VLOOKUP($C732, Egli_UPEC_metadata_provided!$A$2:$M$826, 13, FALSE)</f>
        <v>0</v>
      </c>
      <c r="O732">
        <f>VLOOKUP($C732, Egli_UPEC_metadata_provided!$A$2:$N$826, 14, FALSE)</f>
        <v>1</v>
      </c>
    </row>
    <row r="733" spans="1:15" x14ac:dyDescent="0.2">
      <c r="A733" t="s">
        <v>84</v>
      </c>
      <c r="B733" t="s">
        <v>3317</v>
      </c>
      <c r="C733" t="s">
        <v>3317</v>
      </c>
      <c r="D733">
        <f>VLOOKUP($C733, Egli_UPEC_metadata_provided!$A$2:$M$826, 3, FALSE)</f>
        <v>2020</v>
      </c>
      <c r="E733" t="str">
        <f>VLOOKUP($C733, Egli_UPEC_metadata_provided!$A$2:$M$826, 4, FALSE)</f>
        <v>B2-1</v>
      </c>
      <c r="F733" t="str">
        <f>VLOOKUP($C733, Egli_UPEC_metadata_provided!$A$2:$M$826, 5, FALSE)</f>
        <v>m</v>
      </c>
      <c r="G733">
        <f>VLOOKUP($C733, Egli_UPEC_metadata_provided!$A$2:$M$826, 6, FALSE)</f>
        <v>0</v>
      </c>
      <c r="H733">
        <f>VLOOKUP($C733, Egli_UPEC_metadata_provided!$A$2:$M$826, 7, FALSE)</f>
        <v>0</v>
      </c>
      <c r="I733">
        <f>VLOOKUP($C733, Egli_UPEC_metadata_provided!$A$2:$M$826, 8, FALSE)</f>
        <v>94.006835269993203</v>
      </c>
      <c r="J733" t="b">
        <f>VLOOKUP($C733, Egli_UPEC_metadata_provided!$A$2:$M$826, 9, FALSE)</f>
        <v>1</v>
      </c>
      <c r="K733">
        <f>VLOOKUP($C733, Egli_UPEC_metadata_provided!$A$2:$M$826, 10, FALSE)</f>
        <v>1</v>
      </c>
      <c r="L733" t="str">
        <f>VLOOKUP($C733, Egli_UPEC_metadata_provided!$A$2:$M$826, 11, FALSE)</f>
        <v>invasive</v>
      </c>
      <c r="M733">
        <f>VLOOKUP($C733, Egli_UPEC_metadata_provided!$A$2:$M$826, 12, FALSE)</f>
        <v>1</v>
      </c>
      <c r="N733">
        <f>VLOOKUP($C733, Egli_UPEC_metadata_provided!$A$2:$M$826, 13, FALSE)</f>
        <v>0</v>
      </c>
      <c r="O733">
        <f>VLOOKUP($C733, Egli_UPEC_metadata_provided!$A$2:$N$826, 14, FALSE)</f>
        <v>0</v>
      </c>
    </row>
    <row r="734" spans="1:15" x14ac:dyDescent="0.2">
      <c r="A734" t="s">
        <v>85</v>
      </c>
      <c r="B734" t="s">
        <v>3318</v>
      </c>
      <c r="C734" t="s">
        <v>3318</v>
      </c>
      <c r="D734">
        <f>VLOOKUP($C734, Egli_UPEC_metadata_provided!$A$2:$M$826, 3, FALSE)</f>
        <v>2020</v>
      </c>
      <c r="E734" t="str">
        <f>VLOOKUP($C734, Egli_UPEC_metadata_provided!$A$2:$M$826, 4, FALSE)</f>
        <v>B2-2</v>
      </c>
      <c r="F734" t="str">
        <f>VLOOKUP($C734, Egli_UPEC_metadata_provided!$A$2:$M$826, 5, FALSE)</f>
        <v>m</v>
      </c>
      <c r="G734">
        <f>VLOOKUP($C734, Egli_UPEC_metadata_provided!$A$2:$M$826, 6, FALSE)</f>
        <v>0</v>
      </c>
      <c r="H734">
        <f>VLOOKUP($C734, Egli_UPEC_metadata_provided!$A$2:$M$826, 7, FALSE)</f>
        <v>6</v>
      </c>
      <c r="I734">
        <f>VLOOKUP($C734, Egli_UPEC_metadata_provided!$A$2:$M$826, 8, FALSE)</f>
        <v>82.220095693779896</v>
      </c>
      <c r="J734" t="b">
        <f>VLOOKUP($C734, Egli_UPEC_metadata_provided!$A$2:$M$826, 9, FALSE)</f>
        <v>0</v>
      </c>
      <c r="K734">
        <f>VLOOKUP($C734, Egli_UPEC_metadata_provided!$A$2:$M$826, 10, FALSE)</f>
        <v>0</v>
      </c>
      <c r="L734" t="str">
        <f>VLOOKUP($C734, Egli_UPEC_metadata_provided!$A$2:$M$826, 11, FALSE)</f>
        <v>invasive</v>
      </c>
      <c r="M734">
        <f>VLOOKUP($C734, Egli_UPEC_metadata_provided!$A$2:$M$826, 12, FALSE)</f>
        <v>0</v>
      </c>
      <c r="N734">
        <f>VLOOKUP($C734, Egli_UPEC_metadata_provided!$A$2:$M$826, 13, FALSE)</f>
        <v>0</v>
      </c>
      <c r="O734">
        <f>VLOOKUP($C734, Egli_UPEC_metadata_provided!$A$2:$N$826, 14, FALSE)</f>
        <v>1</v>
      </c>
    </row>
    <row r="735" spans="1:15" x14ac:dyDescent="0.2">
      <c r="A735" t="s">
        <v>92</v>
      </c>
      <c r="B735" t="s">
        <v>3325</v>
      </c>
      <c r="C735" t="s">
        <v>3325</v>
      </c>
      <c r="D735">
        <f>VLOOKUP($C735, Egli_UPEC_metadata_provided!$A$2:$M$826, 3, FALSE)</f>
        <v>2020</v>
      </c>
      <c r="E735" t="str">
        <f>VLOOKUP($C735, Egli_UPEC_metadata_provided!$A$2:$M$826, 4, FALSE)</f>
        <v>B2-2</v>
      </c>
      <c r="F735" t="str">
        <f>VLOOKUP($C735, Egli_UPEC_metadata_provided!$A$2:$M$826, 5, FALSE)</f>
        <v>w</v>
      </c>
      <c r="G735">
        <f>VLOOKUP($C735, Egli_UPEC_metadata_provided!$A$2:$M$826, 6, FALSE)</f>
        <v>0</v>
      </c>
      <c r="H735">
        <f>VLOOKUP($C735, Egli_UPEC_metadata_provided!$A$2:$M$826, 7, FALSE)</f>
        <v>0</v>
      </c>
      <c r="I735">
        <f>VLOOKUP($C735, Egli_UPEC_metadata_provided!$A$2:$M$826, 8, FALSE)</f>
        <v>76.716336295283696</v>
      </c>
      <c r="J735" t="b">
        <f>VLOOKUP($C735, Egli_UPEC_metadata_provided!$A$2:$M$826, 9, FALSE)</f>
        <v>1</v>
      </c>
      <c r="K735" t="str">
        <f>VLOOKUP($C735, Egli_UPEC_metadata_provided!$A$2:$M$826, 10, FALSE)</f>
        <v>NA</v>
      </c>
      <c r="L735" t="str">
        <f>VLOOKUP($C735, Egli_UPEC_metadata_provided!$A$2:$M$826, 11, FALSE)</f>
        <v>invasive</v>
      </c>
      <c r="M735">
        <f>VLOOKUP($C735, Egli_UPEC_metadata_provided!$A$2:$M$826, 12, FALSE)</f>
        <v>1</v>
      </c>
      <c r="N735">
        <f>VLOOKUP($C735, Egli_UPEC_metadata_provided!$A$2:$M$826, 13, FALSE)</f>
        <v>0</v>
      </c>
      <c r="O735">
        <f>VLOOKUP($C735, Egli_UPEC_metadata_provided!$A$2:$N$826, 14, FALSE)</f>
        <v>1</v>
      </c>
    </row>
    <row r="736" spans="1:15" x14ac:dyDescent="0.2">
      <c r="A736" t="s">
        <v>93</v>
      </c>
      <c r="B736" t="s">
        <v>3326</v>
      </c>
      <c r="C736" t="s">
        <v>3326</v>
      </c>
      <c r="D736">
        <f>VLOOKUP($C736, Egli_UPEC_metadata_provided!$A$2:$M$826, 3, FALSE)</f>
        <v>2020</v>
      </c>
      <c r="E736" t="str">
        <f>VLOOKUP($C736, Egli_UPEC_metadata_provided!$A$2:$M$826, 4, FALSE)</f>
        <v>F</v>
      </c>
      <c r="F736" t="str">
        <f>VLOOKUP($C736, Egli_UPEC_metadata_provided!$A$2:$M$826, 5, FALSE)</f>
        <v>w</v>
      </c>
      <c r="G736">
        <f>VLOOKUP($C736, Egli_UPEC_metadata_provided!$A$2:$M$826, 6, FALSE)</f>
        <v>0</v>
      </c>
      <c r="H736">
        <f>VLOOKUP($C736, Egli_UPEC_metadata_provided!$A$2:$M$826, 7, FALSE)</f>
        <v>2</v>
      </c>
      <c r="I736">
        <f>VLOOKUP($C736, Egli_UPEC_metadata_provided!$A$2:$M$826, 8, FALSE)</f>
        <v>72.527682843472306</v>
      </c>
      <c r="J736" t="b">
        <f>VLOOKUP($C736, Egli_UPEC_metadata_provided!$A$2:$M$826, 9, FALSE)</f>
        <v>0</v>
      </c>
      <c r="K736" t="str">
        <f>VLOOKUP($C736, Egli_UPEC_metadata_provided!$A$2:$M$826, 10, FALSE)</f>
        <v>NA</v>
      </c>
      <c r="L736" t="str">
        <f>VLOOKUP($C736, Egli_UPEC_metadata_provided!$A$2:$M$826, 11, FALSE)</f>
        <v>invasive</v>
      </c>
      <c r="M736">
        <f>VLOOKUP($C736, Egli_UPEC_metadata_provided!$A$2:$M$826, 12, FALSE)</f>
        <v>0</v>
      </c>
      <c r="N736">
        <f>VLOOKUP($C736, Egli_UPEC_metadata_provided!$A$2:$M$826, 13, FALSE)</f>
        <v>0</v>
      </c>
      <c r="O736">
        <f>VLOOKUP($C736, Egli_UPEC_metadata_provided!$A$2:$N$826, 14, FALSE)</f>
        <v>0</v>
      </c>
    </row>
    <row r="737" spans="1:15" x14ac:dyDescent="0.2">
      <c r="A737" t="s">
        <v>94</v>
      </c>
      <c r="B737" t="s">
        <v>3327</v>
      </c>
      <c r="C737" t="s">
        <v>3327</v>
      </c>
      <c r="D737">
        <f>VLOOKUP($C737, Egli_UPEC_metadata_provided!$A$2:$M$826, 3, FALSE)</f>
        <v>2020</v>
      </c>
      <c r="E737" t="str">
        <f>VLOOKUP($C737, Egli_UPEC_metadata_provided!$A$2:$M$826, 4, FALSE)</f>
        <v>B2-2</v>
      </c>
      <c r="F737" t="str">
        <f>VLOOKUP($C737, Egli_UPEC_metadata_provided!$A$2:$M$826, 5, FALSE)</f>
        <v>m</v>
      </c>
      <c r="G737">
        <f>VLOOKUP($C737, Egli_UPEC_metadata_provided!$A$2:$M$826, 6, FALSE)</f>
        <v>1</v>
      </c>
      <c r="H737">
        <f>VLOOKUP($C737, Egli_UPEC_metadata_provided!$A$2:$M$826, 7, FALSE)</f>
        <v>2</v>
      </c>
      <c r="I737">
        <f>VLOOKUP($C737, Egli_UPEC_metadata_provided!$A$2:$M$826, 8, FALSE)</f>
        <v>76.743677375256297</v>
      </c>
      <c r="J737" t="b">
        <f>VLOOKUP($C737, Egli_UPEC_metadata_provided!$A$2:$M$826, 9, FALSE)</f>
        <v>0</v>
      </c>
      <c r="K737">
        <f>VLOOKUP($C737, Egli_UPEC_metadata_provided!$A$2:$M$826, 10, FALSE)</f>
        <v>0</v>
      </c>
      <c r="L737" t="str">
        <f>VLOOKUP($C737, Egli_UPEC_metadata_provided!$A$2:$M$826, 11, FALSE)</f>
        <v>invasive</v>
      </c>
      <c r="M737">
        <f>VLOOKUP($C737, Egli_UPEC_metadata_provided!$A$2:$M$826, 12, FALSE)</f>
        <v>0</v>
      </c>
      <c r="N737">
        <f>VLOOKUP($C737, Egli_UPEC_metadata_provided!$A$2:$M$826, 13, FALSE)</f>
        <v>0</v>
      </c>
      <c r="O737">
        <f>VLOOKUP($C737, Egli_UPEC_metadata_provided!$A$2:$N$826, 14, FALSE)</f>
        <v>0</v>
      </c>
    </row>
    <row r="738" spans="1:15" x14ac:dyDescent="0.2">
      <c r="A738" t="s">
        <v>97</v>
      </c>
      <c r="B738" t="s">
        <v>3330</v>
      </c>
      <c r="C738" t="s">
        <v>3330</v>
      </c>
      <c r="D738">
        <f>VLOOKUP($C738, Egli_UPEC_metadata_provided!$A$2:$M$826, 3, FALSE)</f>
        <v>2020</v>
      </c>
      <c r="E738" t="str">
        <f>VLOOKUP($C738, Egli_UPEC_metadata_provided!$A$2:$M$826, 4, FALSE)</f>
        <v>D3</v>
      </c>
      <c r="F738" t="str">
        <f>VLOOKUP($C738, Egli_UPEC_metadata_provided!$A$2:$M$826, 5, FALSE)</f>
        <v>w</v>
      </c>
      <c r="G738">
        <f>VLOOKUP($C738, Egli_UPEC_metadata_provided!$A$2:$M$826, 6, FALSE)</f>
        <v>0</v>
      </c>
      <c r="H738">
        <f>VLOOKUP($C738, Egli_UPEC_metadata_provided!$A$2:$M$826, 7, FALSE)</f>
        <v>2</v>
      </c>
      <c r="I738">
        <f>VLOOKUP($C738, Egli_UPEC_metadata_provided!$A$2:$M$826, 8, FALSE)</f>
        <v>41.46001367054</v>
      </c>
      <c r="J738" t="b">
        <f>VLOOKUP($C738, Egli_UPEC_metadata_provided!$A$2:$M$826, 9, FALSE)</f>
        <v>0</v>
      </c>
      <c r="K738">
        <f>VLOOKUP($C738, Egli_UPEC_metadata_provided!$A$2:$M$826, 10, FALSE)</f>
        <v>0</v>
      </c>
      <c r="L738" t="str">
        <f>VLOOKUP($C738, Egli_UPEC_metadata_provided!$A$2:$M$826, 11, FALSE)</f>
        <v>invasive</v>
      </c>
      <c r="M738">
        <f>VLOOKUP($C738, Egli_UPEC_metadata_provided!$A$2:$M$826, 12, FALSE)</f>
        <v>1</v>
      </c>
      <c r="N738">
        <f>VLOOKUP($C738, Egli_UPEC_metadata_provided!$A$2:$M$826, 13, FALSE)</f>
        <v>0</v>
      </c>
      <c r="O738">
        <f>VLOOKUP($C738, Egli_UPEC_metadata_provided!$A$2:$N$826, 14, FALSE)</f>
        <v>0</v>
      </c>
    </row>
    <row r="739" spans="1:15" x14ac:dyDescent="0.2">
      <c r="A739" t="s">
        <v>98</v>
      </c>
      <c r="B739" t="s">
        <v>3331</v>
      </c>
      <c r="C739" t="s">
        <v>3331</v>
      </c>
      <c r="D739">
        <f>VLOOKUP($C739, Egli_UPEC_metadata_provided!$A$2:$M$826, 3, FALSE)</f>
        <v>2020</v>
      </c>
      <c r="E739" t="str">
        <f>VLOOKUP($C739, Egli_UPEC_metadata_provided!$A$2:$M$826, 4, FALSE)</f>
        <v>B2-1</v>
      </c>
      <c r="F739" t="str">
        <f>VLOOKUP($C739, Egli_UPEC_metadata_provided!$A$2:$M$826, 5, FALSE)</f>
        <v>m</v>
      </c>
      <c r="G739">
        <f>VLOOKUP($C739, Egli_UPEC_metadata_provided!$A$2:$M$826, 6, FALSE)</f>
        <v>1</v>
      </c>
      <c r="H739">
        <f>VLOOKUP($C739, Egli_UPEC_metadata_provided!$A$2:$M$826, 7, FALSE)</f>
        <v>6</v>
      </c>
      <c r="I739">
        <f>VLOOKUP($C739, Egli_UPEC_metadata_provided!$A$2:$M$826, 8, FALSE)</f>
        <v>72.932330827067702</v>
      </c>
      <c r="J739" t="b">
        <f>VLOOKUP($C739, Egli_UPEC_metadata_provided!$A$2:$M$826, 9, FALSE)</f>
        <v>1</v>
      </c>
      <c r="K739" t="str">
        <f>VLOOKUP($C739, Egli_UPEC_metadata_provided!$A$2:$M$826, 10, FALSE)</f>
        <v>NA</v>
      </c>
      <c r="L739" t="str">
        <f>VLOOKUP($C739, Egli_UPEC_metadata_provided!$A$2:$M$826, 11, FALSE)</f>
        <v>invasive</v>
      </c>
      <c r="M739">
        <f>VLOOKUP($C739, Egli_UPEC_metadata_provided!$A$2:$M$826, 12, FALSE)</f>
        <v>0</v>
      </c>
      <c r="N739">
        <f>VLOOKUP($C739, Egli_UPEC_metadata_provided!$A$2:$M$826, 13, FALSE)</f>
        <v>0</v>
      </c>
      <c r="O739">
        <f>VLOOKUP($C739, Egli_UPEC_metadata_provided!$A$2:$N$826, 14, FALSE)</f>
        <v>0</v>
      </c>
    </row>
    <row r="740" spans="1:15" x14ac:dyDescent="0.2">
      <c r="A740" t="s">
        <v>293</v>
      </c>
      <c r="B740" t="s">
        <v>3527</v>
      </c>
      <c r="C740" t="s">
        <v>3527</v>
      </c>
      <c r="D740">
        <f>VLOOKUP($C740, Egli_UPEC_metadata_provided!$A$2:$M$826, 3, FALSE)</f>
        <v>2020</v>
      </c>
      <c r="E740" t="str">
        <f>VLOOKUP($C740, Egli_UPEC_metadata_provided!$A$2:$M$826, 4, FALSE)</f>
        <v>B2-2</v>
      </c>
      <c r="F740" t="str">
        <f>VLOOKUP($C740, Egli_UPEC_metadata_provided!$A$2:$M$826, 5, FALSE)</f>
        <v>w</v>
      </c>
      <c r="G740">
        <f>VLOOKUP($C740, Egli_UPEC_metadata_provided!$A$2:$M$826, 6, FALSE)</f>
        <v>0</v>
      </c>
      <c r="H740">
        <f>VLOOKUP($C740, Egli_UPEC_metadata_provided!$A$2:$M$826, 7, FALSE)</f>
        <v>2</v>
      </c>
      <c r="I740">
        <f>VLOOKUP($C740, Egli_UPEC_metadata_provided!$A$2:$M$826, 8, FALSE)</f>
        <v>73.279562542720399</v>
      </c>
      <c r="J740" t="b">
        <f>VLOOKUP($C740, Egli_UPEC_metadata_provided!$A$2:$M$826, 9, FALSE)</f>
        <v>1</v>
      </c>
      <c r="K740">
        <f>VLOOKUP($C740, Egli_UPEC_metadata_provided!$A$2:$M$826, 10, FALSE)</f>
        <v>0</v>
      </c>
      <c r="L740" t="str">
        <f>VLOOKUP($C740, Egli_UPEC_metadata_provided!$A$2:$M$826, 11, FALSE)</f>
        <v>non-invasive</v>
      </c>
      <c r="M740">
        <f>VLOOKUP($C740, Egli_UPEC_metadata_provided!$A$2:$M$826, 12, FALSE)</f>
        <v>1</v>
      </c>
      <c r="N740">
        <f>VLOOKUP($C740, Egli_UPEC_metadata_provided!$A$2:$M$826, 13, FALSE)</f>
        <v>0</v>
      </c>
      <c r="O740">
        <f>VLOOKUP($C740, Egli_UPEC_metadata_provided!$A$2:$N$826, 14, FALSE)</f>
        <v>1</v>
      </c>
    </row>
    <row r="741" spans="1:15" x14ac:dyDescent="0.2">
      <c r="A741" t="s">
        <v>294</v>
      </c>
      <c r="B741" t="s">
        <v>3528</v>
      </c>
      <c r="C741" t="s">
        <v>3528</v>
      </c>
      <c r="D741">
        <f>VLOOKUP($C741, Egli_UPEC_metadata_provided!$A$2:$M$826, 3, FALSE)</f>
        <v>2020</v>
      </c>
      <c r="E741" t="str">
        <f>VLOOKUP($C741, Egli_UPEC_metadata_provided!$A$2:$M$826, 4, FALSE)</f>
        <v>B1</v>
      </c>
      <c r="F741" t="str">
        <f>VLOOKUP($C741, Egli_UPEC_metadata_provided!$A$2:$M$826, 5, FALSE)</f>
        <v>m</v>
      </c>
      <c r="G741">
        <f>VLOOKUP($C741, Egli_UPEC_metadata_provided!$A$2:$M$826, 6, FALSE)</f>
        <v>1</v>
      </c>
      <c r="H741">
        <f>VLOOKUP($C741, Egli_UPEC_metadata_provided!$A$2:$M$826, 7, FALSE)</f>
        <v>3</v>
      </c>
      <c r="I741">
        <f>VLOOKUP($C741, Egli_UPEC_metadata_provided!$A$2:$M$826, 8, FALSE)</f>
        <v>66.151742993848302</v>
      </c>
      <c r="J741" t="b">
        <f>VLOOKUP($C741, Egli_UPEC_metadata_provided!$A$2:$M$826, 9, FALSE)</f>
        <v>0</v>
      </c>
      <c r="K741">
        <f>VLOOKUP($C741, Egli_UPEC_metadata_provided!$A$2:$M$826, 10, FALSE)</f>
        <v>0</v>
      </c>
      <c r="L741" t="str">
        <f>VLOOKUP($C741, Egli_UPEC_metadata_provided!$A$2:$M$826, 11, FALSE)</f>
        <v>non-invasive</v>
      </c>
      <c r="M741">
        <f>VLOOKUP($C741, Egli_UPEC_metadata_provided!$A$2:$M$826, 12, FALSE)</f>
        <v>1</v>
      </c>
      <c r="N741">
        <f>VLOOKUP($C741, Egli_UPEC_metadata_provided!$A$2:$M$826, 13, FALSE)</f>
        <v>1</v>
      </c>
      <c r="O741">
        <f>VLOOKUP($C741, Egli_UPEC_metadata_provided!$A$2:$N$826, 14, FALSE)</f>
        <v>0</v>
      </c>
    </row>
    <row r="742" spans="1:15" x14ac:dyDescent="0.2">
      <c r="A742" t="s">
        <v>295</v>
      </c>
      <c r="B742" t="s">
        <v>3529</v>
      </c>
      <c r="C742" t="s">
        <v>3529</v>
      </c>
      <c r="D742">
        <f>VLOOKUP($C742, Egli_UPEC_metadata_provided!$A$2:$M$826, 3, FALSE)</f>
        <v>2020</v>
      </c>
      <c r="E742" t="str">
        <f>VLOOKUP($C742, Egli_UPEC_metadata_provided!$A$2:$M$826, 4, FALSE)</f>
        <v>A</v>
      </c>
      <c r="F742" t="str">
        <f>VLOOKUP($C742, Egli_UPEC_metadata_provided!$A$2:$M$826, 5, FALSE)</f>
        <v>w</v>
      </c>
      <c r="G742">
        <f>VLOOKUP($C742, Egli_UPEC_metadata_provided!$A$2:$M$826, 6, FALSE)</f>
        <v>1</v>
      </c>
      <c r="H742">
        <f>VLOOKUP($C742, Egli_UPEC_metadata_provided!$A$2:$M$826, 7, FALSE)</f>
        <v>2</v>
      </c>
      <c r="I742">
        <f>VLOOKUP($C742, Egli_UPEC_metadata_provided!$A$2:$M$826, 8, FALSE)</f>
        <v>71.0075187969925</v>
      </c>
      <c r="J742" t="b">
        <f>VLOOKUP($C742, Egli_UPEC_metadata_provided!$A$2:$M$826, 9, FALSE)</f>
        <v>0</v>
      </c>
      <c r="K742">
        <f>VLOOKUP($C742, Egli_UPEC_metadata_provided!$A$2:$M$826, 10, FALSE)</f>
        <v>0</v>
      </c>
      <c r="L742" t="str">
        <f>VLOOKUP($C742, Egli_UPEC_metadata_provided!$A$2:$M$826, 11, FALSE)</f>
        <v>non-invasive</v>
      </c>
      <c r="M742">
        <f>VLOOKUP($C742, Egli_UPEC_metadata_provided!$A$2:$M$826, 12, FALSE)</f>
        <v>0</v>
      </c>
      <c r="N742">
        <f>VLOOKUP($C742, Egli_UPEC_metadata_provided!$A$2:$M$826, 13, FALSE)</f>
        <v>0</v>
      </c>
      <c r="O742">
        <f>VLOOKUP($C742, Egli_UPEC_metadata_provided!$A$2:$N$826, 14, FALSE)</f>
        <v>0</v>
      </c>
    </row>
    <row r="743" spans="1:15" x14ac:dyDescent="0.2">
      <c r="A743" t="s">
        <v>296</v>
      </c>
      <c r="B743" t="s">
        <v>3530</v>
      </c>
      <c r="C743" t="s">
        <v>3530</v>
      </c>
      <c r="D743">
        <f>VLOOKUP($C743, Egli_UPEC_metadata_provided!$A$2:$M$826, 3, FALSE)</f>
        <v>2020</v>
      </c>
      <c r="E743" t="str">
        <f>VLOOKUP($C743, Egli_UPEC_metadata_provided!$A$2:$M$826, 4, FALSE)</f>
        <v>B2-2</v>
      </c>
      <c r="F743" t="str">
        <f>VLOOKUP($C743, Egli_UPEC_metadata_provided!$A$2:$M$826, 5, FALSE)</f>
        <v>w</v>
      </c>
      <c r="G743">
        <f>VLOOKUP($C743, Egli_UPEC_metadata_provided!$A$2:$M$826, 6, FALSE)</f>
        <v>0</v>
      </c>
      <c r="H743">
        <f>VLOOKUP($C743, Egli_UPEC_metadata_provided!$A$2:$M$826, 7, FALSE)</f>
        <v>1</v>
      </c>
      <c r="I743">
        <f>VLOOKUP($C743, Egli_UPEC_metadata_provided!$A$2:$M$826, 8, FALSE)</f>
        <v>53.137388926862599</v>
      </c>
      <c r="J743" t="b">
        <f>VLOOKUP($C743, Egli_UPEC_metadata_provided!$A$2:$M$826, 9, FALSE)</f>
        <v>0</v>
      </c>
      <c r="K743">
        <f>VLOOKUP($C743, Egli_UPEC_metadata_provided!$A$2:$M$826, 10, FALSE)</f>
        <v>0</v>
      </c>
      <c r="L743" t="str">
        <f>VLOOKUP($C743, Egli_UPEC_metadata_provided!$A$2:$M$826, 11, FALSE)</f>
        <v>non-invasive</v>
      </c>
      <c r="M743">
        <f>VLOOKUP($C743, Egli_UPEC_metadata_provided!$A$2:$M$826, 12, FALSE)</f>
        <v>0</v>
      </c>
      <c r="N743">
        <f>VLOOKUP($C743, Egli_UPEC_metadata_provided!$A$2:$M$826, 13, FALSE)</f>
        <v>0</v>
      </c>
      <c r="O743">
        <f>VLOOKUP($C743, Egli_UPEC_metadata_provided!$A$2:$N$826, 14, FALSE)</f>
        <v>0</v>
      </c>
    </row>
    <row r="744" spans="1:15" x14ac:dyDescent="0.2">
      <c r="A744" t="s">
        <v>297</v>
      </c>
      <c r="B744" t="s">
        <v>3531</v>
      </c>
      <c r="C744" t="s">
        <v>3531</v>
      </c>
      <c r="D744">
        <f>VLOOKUP($C744, Egli_UPEC_metadata_provided!$A$2:$M$826, 3, FALSE)</f>
        <v>2020</v>
      </c>
      <c r="E744" t="str">
        <f>VLOOKUP($C744, Egli_UPEC_metadata_provided!$A$2:$M$826, 4, FALSE)</f>
        <v>B2-1</v>
      </c>
      <c r="F744" t="str">
        <f>VLOOKUP($C744, Egli_UPEC_metadata_provided!$A$2:$M$826, 5, FALSE)</f>
        <v>w</v>
      </c>
      <c r="G744">
        <f>VLOOKUP($C744, Egli_UPEC_metadata_provided!$A$2:$M$826, 6, FALSE)</f>
        <v>0</v>
      </c>
      <c r="H744">
        <f>VLOOKUP($C744, Egli_UPEC_metadata_provided!$A$2:$M$826, 7, FALSE)</f>
        <v>0</v>
      </c>
      <c r="I744">
        <f>VLOOKUP($C744, Egli_UPEC_metadata_provided!$A$2:$M$826, 8, FALSE)</f>
        <v>61.911141490088902</v>
      </c>
      <c r="J744" t="b">
        <f>VLOOKUP($C744, Egli_UPEC_metadata_provided!$A$2:$M$826, 9, FALSE)</f>
        <v>1</v>
      </c>
      <c r="K744">
        <f>VLOOKUP($C744, Egli_UPEC_metadata_provided!$A$2:$M$826, 10, FALSE)</f>
        <v>1</v>
      </c>
      <c r="L744" t="str">
        <f>VLOOKUP($C744, Egli_UPEC_metadata_provided!$A$2:$M$826, 11, FALSE)</f>
        <v>non-invasive</v>
      </c>
      <c r="M744">
        <f>VLOOKUP($C744, Egli_UPEC_metadata_provided!$A$2:$M$826, 12, FALSE)</f>
        <v>0</v>
      </c>
      <c r="N744">
        <f>VLOOKUP($C744, Egli_UPEC_metadata_provided!$A$2:$M$826, 13, FALSE)</f>
        <v>0</v>
      </c>
      <c r="O744">
        <f>VLOOKUP($C744, Egli_UPEC_metadata_provided!$A$2:$N$826, 14, FALSE)</f>
        <v>1</v>
      </c>
    </row>
    <row r="745" spans="1:15" x14ac:dyDescent="0.2">
      <c r="A745" t="s">
        <v>298</v>
      </c>
      <c r="B745" t="s">
        <v>3532</v>
      </c>
      <c r="C745" t="s">
        <v>3532</v>
      </c>
      <c r="D745">
        <f>VLOOKUP($C745, Egli_UPEC_metadata_provided!$A$2:$M$826, 3, FALSE)</f>
        <v>2020</v>
      </c>
      <c r="E745" t="str">
        <f>VLOOKUP($C745, Egli_UPEC_metadata_provided!$A$2:$M$826, 4, FALSE)</f>
        <v>B2-2</v>
      </c>
      <c r="F745" t="str">
        <f>VLOOKUP($C745, Egli_UPEC_metadata_provided!$A$2:$M$826, 5, FALSE)</f>
        <v>w</v>
      </c>
      <c r="G745">
        <f>VLOOKUP($C745, Egli_UPEC_metadata_provided!$A$2:$M$826, 6, FALSE)</f>
        <v>0</v>
      </c>
      <c r="H745">
        <f>VLOOKUP($C745, Egli_UPEC_metadata_provided!$A$2:$M$826, 7, FALSE)</f>
        <v>3</v>
      </c>
      <c r="I745">
        <f>VLOOKUP($C745, Egli_UPEC_metadata_provided!$A$2:$M$826, 8, FALSE)</f>
        <v>58.930963773069003</v>
      </c>
      <c r="J745" t="b">
        <f>VLOOKUP($C745, Egli_UPEC_metadata_provided!$A$2:$M$826, 9, FALSE)</f>
        <v>1</v>
      </c>
      <c r="K745">
        <f>VLOOKUP($C745, Egli_UPEC_metadata_provided!$A$2:$M$826, 10, FALSE)</f>
        <v>0</v>
      </c>
      <c r="L745" t="str">
        <f>VLOOKUP($C745, Egli_UPEC_metadata_provided!$A$2:$M$826, 11, FALSE)</f>
        <v>non-invasive</v>
      </c>
      <c r="M745">
        <f>VLOOKUP($C745, Egli_UPEC_metadata_provided!$A$2:$M$826, 12, FALSE)</f>
        <v>0</v>
      </c>
      <c r="N745">
        <f>VLOOKUP($C745, Egli_UPEC_metadata_provided!$A$2:$M$826, 13, FALSE)</f>
        <v>0</v>
      </c>
      <c r="O745">
        <f>VLOOKUP($C745, Egli_UPEC_metadata_provided!$A$2:$N$826, 14, FALSE)</f>
        <v>1</v>
      </c>
    </row>
    <row r="746" spans="1:15" x14ac:dyDescent="0.2">
      <c r="A746" t="s">
        <v>299</v>
      </c>
      <c r="B746" t="s">
        <v>3533</v>
      </c>
      <c r="C746" t="s">
        <v>3533</v>
      </c>
      <c r="D746">
        <f>VLOOKUP($C746, Egli_UPEC_metadata_provided!$A$2:$M$826, 3, FALSE)</f>
        <v>2020</v>
      </c>
      <c r="E746" t="str">
        <f>VLOOKUP($C746, Egli_UPEC_metadata_provided!$A$2:$M$826, 4, FALSE)</f>
        <v>B2-1</v>
      </c>
      <c r="F746" t="str">
        <f>VLOOKUP($C746, Egli_UPEC_metadata_provided!$A$2:$M$826, 5, FALSE)</f>
        <v>m</v>
      </c>
      <c r="G746">
        <f>VLOOKUP($C746, Egli_UPEC_metadata_provided!$A$2:$M$826, 6, FALSE)</f>
        <v>0</v>
      </c>
      <c r="H746">
        <f>VLOOKUP($C746, Egli_UPEC_metadata_provided!$A$2:$M$826, 7, FALSE)</f>
        <v>2</v>
      </c>
      <c r="I746">
        <f>VLOOKUP($C746, Egli_UPEC_metadata_provided!$A$2:$M$826, 8, FALSE)</f>
        <v>64.500341763499705</v>
      </c>
      <c r="J746" t="b">
        <f>VLOOKUP($C746, Egli_UPEC_metadata_provided!$A$2:$M$826, 9, FALSE)</f>
        <v>0</v>
      </c>
      <c r="K746">
        <f>VLOOKUP($C746, Egli_UPEC_metadata_provided!$A$2:$M$826, 10, FALSE)</f>
        <v>0</v>
      </c>
      <c r="L746" t="str">
        <f>VLOOKUP($C746, Egli_UPEC_metadata_provided!$A$2:$M$826, 11, FALSE)</f>
        <v>non-invasive</v>
      </c>
      <c r="M746">
        <f>VLOOKUP($C746, Egli_UPEC_metadata_provided!$A$2:$M$826, 12, FALSE)</f>
        <v>0</v>
      </c>
      <c r="N746">
        <f>VLOOKUP($C746, Egli_UPEC_metadata_provided!$A$2:$M$826, 13, FALSE)</f>
        <v>0</v>
      </c>
      <c r="O746">
        <f>VLOOKUP($C746, Egli_UPEC_metadata_provided!$A$2:$N$826, 14, FALSE)</f>
        <v>1</v>
      </c>
    </row>
    <row r="747" spans="1:15" x14ac:dyDescent="0.2">
      <c r="A747" t="s">
        <v>301</v>
      </c>
      <c r="B747" t="s">
        <v>3535</v>
      </c>
      <c r="C747" t="s">
        <v>3535</v>
      </c>
      <c r="D747">
        <f>VLOOKUP($C747, Egli_UPEC_metadata_provided!$A$2:$M$826, 3, FALSE)</f>
        <v>2020</v>
      </c>
      <c r="E747" t="str">
        <f>VLOOKUP($C747, Egli_UPEC_metadata_provided!$A$2:$M$826, 4, FALSE)</f>
        <v>B2-1</v>
      </c>
      <c r="F747" t="str">
        <f>VLOOKUP($C747, Egli_UPEC_metadata_provided!$A$2:$M$826, 5, FALSE)</f>
        <v>w</v>
      </c>
      <c r="G747">
        <f>VLOOKUP($C747, Egli_UPEC_metadata_provided!$A$2:$M$826, 6, FALSE)</f>
        <v>0</v>
      </c>
      <c r="H747">
        <f>VLOOKUP($C747, Egli_UPEC_metadata_provided!$A$2:$M$826, 7, FALSE)</f>
        <v>0</v>
      </c>
      <c r="I747">
        <f>VLOOKUP($C747, Egli_UPEC_metadata_provided!$A$2:$M$826, 8, FALSE)</f>
        <v>64.981544771018406</v>
      </c>
      <c r="J747" t="b">
        <f>VLOOKUP($C747, Egli_UPEC_metadata_provided!$A$2:$M$826, 9, FALSE)</f>
        <v>0</v>
      </c>
      <c r="K747">
        <f>VLOOKUP($C747, Egli_UPEC_metadata_provided!$A$2:$M$826, 10, FALSE)</f>
        <v>0</v>
      </c>
      <c r="L747" t="str">
        <f>VLOOKUP($C747, Egli_UPEC_metadata_provided!$A$2:$M$826, 11, FALSE)</f>
        <v>non-invasive</v>
      </c>
      <c r="M747">
        <f>VLOOKUP($C747, Egli_UPEC_metadata_provided!$A$2:$M$826, 12, FALSE)</f>
        <v>1</v>
      </c>
      <c r="N747">
        <f>VLOOKUP($C747, Egli_UPEC_metadata_provided!$A$2:$M$826, 13, FALSE)</f>
        <v>1</v>
      </c>
      <c r="O747">
        <f>VLOOKUP($C747, Egli_UPEC_metadata_provided!$A$2:$N$826, 14, FALSE)</f>
        <v>0</v>
      </c>
    </row>
    <row r="748" spans="1:15" x14ac:dyDescent="0.2">
      <c r="A748" t="s">
        <v>302</v>
      </c>
      <c r="B748" t="s">
        <v>3536</v>
      </c>
      <c r="C748" t="s">
        <v>3536</v>
      </c>
      <c r="D748">
        <f>VLOOKUP($C748, Egli_UPEC_metadata_provided!$A$2:$M$826, 3, FALSE)</f>
        <v>2020</v>
      </c>
      <c r="E748" t="str">
        <f>VLOOKUP($C748, Egli_UPEC_metadata_provided!$A$2:$M$826, 4, FALSE)</f>
        <v>B2-2</v>
      </c>
      <c r="F748" t="str">
        <f>VLOOKUP($C748, Egli_UPEC_metadata_provided!$A$2:$M$826, 5, FALSE)</f>
        <v>w</v>
      </c>
      <c r="G748">
        <f>VLOOKUP($C748, Egli_UPEC_metadata_provided!$A$2:$M$826, 6, FALSE)</f>
        <v>0</v>
      </c>
      <c r="H748">
        <f>VLOOKUP($C748, Egli_UPEC_metadata_provided!$A$2:$M$826, 7, FALSE)</f>
        <v>3</v>
      </c>
      <c r="I748">
        <f>VLOOKUP($C748, Egli_UPEC_metadata_provided!$A$2:$M$826, 8, FALSE)</f>
        <v>77.916609706083406</v>
      </c>
      <c r="J748" t="b">
        <f>VLOOKUP($C748, Egli_UPEC_metadata_provided!$A$2:$M$826, 9, FALSE)</f>
        <v>0</v>
      </c>
      <c r="K748">
        <f>VLOOKUP($C748, Egli_UPEC_metadata_provided!$A$2:$M$826, 10, FALSE)</f>
        <v>0</v>
      </c>
      <c r="L748" t="str">
        <f>VLOOKUP($C748, Egli_UPEC_metadata_provided!$A$2:$M$826, 11, FALSE)</f>
        <v>non-invasive</v>
      </c>
      <c r="M748">
        <f>VLOOKUP($C748, Egli_UPEC_metadata_provided!$A$2:$M$826, 12, FALSE)</f>
        <v>0</v>
      </c>
      <c r="N748">
        <f>VLOOKUP($C748, Egli_UPEC_metadata_provided!$A$2:$M$826, 13, FALSE)</f>
        <v>0</v>
      </c>
      <c r="O748">
        <f>VLOOKUP($C748, Egli_UPEC_metadata_provided!$A$2:$N$826, 14, FALSE)</f>
        <v>0</v>
      </c>
    </row>
    <row r="749" spans="1:15" x14ac:dyDescent="0.2">
      <c r="A749" t="s">
        <v>303</v>
      </c>
      <c r="B749" t="s">
        <v>3537</v>
      </c>
      <c r="C749" t="s">
        <v>3537</v>
      </c>
      <c r="D749">
        <f>VLOOKUP($C749, Egli_UPEC_metadata_provided!$A$2:$M$826, 3, FALSE)</f>
        <v>2020</v>
      </c>
      <c r="E749" t="str">
        <f>VLOOKUP($C749, Egli_UPEC_metadata_provided!$A$2:$M$826, 4, FALSE)</f>
        <v>B2-2</v>
      </c>
      <c r="F749" t="str">
        <f>VLOOKUP($C749, Egli_UPEC_metadata_provided!$A$2:$M$826, 5, FALSE)</f>
        <v>m</v>
      </c>
      <c r="G749">
        <f>VLOOKUP($C749, Egli_UPEC_metadata_provided!$A$2:$M$826, 6, FALSE)</f>
        <v>1</v>
      </c>
      <c r="H749">
        <f>VLOOKUP($C749, Egli_UPEC_metadata_provided!$A$2:$M$826, 7, FALSE)</f>
        <v>2</v>
      </c>
      <c r="I749">
        <f>VLOOKUP($C749, Egli_UPEC_metadata_provided!$A$2:$M$826, 8, FALSE)</f>
        <v>68.678058783321902</v>
      </c>
      <c r="J749" t="b">
        <f>VLOOKUP($C749, Egli_UPEC_metadata_provided!$A$2:$M$826, 9, FALSE)</f>
        <v>0</v>
      </c>
      <c r="K749">
        <f>VLOOKUP($C749, Egli_UPEC_metadata_provided!$A$2:$M$826, 10, FALSE)</f>
        <v>0</v>
      </c>
      <c r="L749" t="str">
        <f>VLOOKUP($C749, Egli_UPEC_metadata_provided!$A$2:$M$826, 11, FALSE)</f>
        <v>non-invasive</v>
      </c>
      <c r="M749">
        <f>VLOOKUP($C749, Egli_UPEC_metadata_provided!$A$2:$M$826, 12, FALSE)</f>
        <v>0</v>
      </c>
      <c r="N749">
        <f>VLOOKUP($C749, Egli_UPEC_metadata_provided!$A$2:$M$826, 13, FALSE)</f>
        <v>0</v>
      </c>
      <c r="O749">
        <f>VLOOKUP($C749, Egli_UPEC_metadata_provided!$A$2:$N$826, 14, FALSE)</f>
        <v>1</v>
      </c>
    </row>
    <row r="750" spans="1:15" x14ac:dyDescent="0.2">
      <c r="A750" t="s">
        <v>304</v>
      </c>
      <c r="B750" t="s">
        <v>3538</v>
      </c>
      <c r="C750" t="s">
        <v>3538</v>
      </c>
      <c r="D750">
        <f>VLOOKUP($C750, Egli_UPEC_metadata_provided!$A$2:$M$826, 3, FALSE)</f>
        <v>2020</v>
      </c>
      <c r="E750" t="str">
        <f>VLOOKUP($C750, Egli_UPEC_metadata_provided!$A$2:$M$826, 4, FALSE)</f>
        <v>B1</v>
      </c>
      <c r="F750" t="str">
        <f>VLOOKUP($C750, Egli_UPEC_metadata_provided!$A$2:$M$826, 5, FALSE)</f>
        <v>w</v>
      </c>
      <c r="G750">
        <f>VLOOKUP($C750, Egli_UPEC_metadata_provided!$A$2:$M$826, 6, FALSE)</f>
        <v>0</v>
      </c>
      <c r="H750">
        <f>VLOOKUP($C750, Egli_UPEC_metadata_provided!$A$2:$M$826, 7, FALSE)</f>
        <v>2</v>
      </c>
      <c r="I750">
        <f>VLOOKUP($C750, Egli_UPEC_metadata_provided!$A$2:$M$826, 8, FALSE)</f>
        <v>93.323308270676705</v>
      </c>
      <c r="J750" t="b">
        <f>VLOOKUP($C750, Egli_UPEC_metadata_provided!$A$2:$M$826, 9, FALSE)</f>
        <v>0</v>
      </c>
      <c r="K750">
        <f>VLOOKUP($C750, Egli_UPEC_metadata_provided!$A$2:$M$826, 10, FALSE)</f>
        <v>0</v>
      </c>
      <c r="L750" t="str">
        <f>VLOOKUP($C750, Egli_UPEC_metadata_provided!$A$2:$M$826, 11, FALSE)</f>
        <v>non-invasive</v>
      </c>
      <c r="M750">
        <f>VLOOKUP($C750, Egli_UPEC_metadata_provided!$A$2:$M$826, 12, FALSE)</f>
        <v>1</v>
      </c>
      <c r="N750">
        <f>VLOOKUP($C750, Egli_UPEC_metadata_provided!$A$2:$M$826, 13, FALSE)</f>
        <v>1</v>
      </c>
      <c r="O750">
        <f>VLOOKUP($C750, Egli_UPEC_metadata_provided!$A$2:$N$826, 14, FALSE)</f>
        <v>0</v>
      </c>
    </row>
    <row r="751" spans="1:15" x14ac:dyDescent="0.2">
      <c r="A751" t="s">
        <v>305</v>
      </c>
      <c r="B751" t="s">
        <v>3539</v>
      </c>
      <c r="C751" t="s">
        <v>3539</v>
      </c>
      <c r="D751">
        <f>VLOOKUP($C751, Egli_UPEC_metadata_provided!$A$2:$M$826, 3, FALSE)</f>
        <v>2020</v>
      </c>
      <c r="E751" t="str">
        <f>VLOOKUP($C751, Egli_UPEC_metadata_provided!$A$2:$M$826, 4, FALSE)</f>
        <v>B2-1</v>
      </c>
      <c r="F751" t="str">
        <f>VLOOKUP($C751, Egli_UPEC_metadata_provided!$A$2:$M$826, 5, FALSE)</f>
        <v>m</v>
      </c>
      <c r="G751">
        <f>VLOOKUP($C751, Egli_UPEC_metadata_provided!$A$2:$M$826, 6, FALSE)</f>
        <v>0</v>
      </c>
      <c r="H751">
        <f>VLOOKUP($C751, Egli_UPEC_metadata_provided!$A$2:$M$826, 7, FALSE)</f>
        <v>4</v>
      </c>
      <c r="I751">
        <f>VLOOKUP($C751, Egli_UPEC_metadata_provided!$A$2:$M$826, 8, FALSE)</f>
        <v>76.935064935064901</v>
      </c>
      <c r="J751" t="b">
        <f>VLOOKUP($C751, Egli_UPEC_metadata_provided!$A$2:$M$826, 9, FALSE)</f>
        <v>0</v>
      </c>
      <c r="K751">
        <f>VLOOKUP($C751, Egli_UPEC_metadata_provided!$A$2:$M$826, 10, FALSE)</f>
        <v>0</v>
      </c>
      <c r="L751" t="str">
        <f>VLOOKUP($C751, Egli_UPEC_metadata_provided!$A$2:$M$826, 11, FALSE)</f>
        <v>non-invasive</v>
      </c>
      <c r="M751">
        <f>VLOOKUP($C751, Egli_UPEC_metadata_provided!$A$2:$M$826, 12, FALSE)</f>
        <v>1</v>
      </c>
      <c r="N751">
        <f>VLOOKUP($C751, Egli_UPEC_metadata_provided!$A$2:$M$826, 13, FALSE)</f>
        <v>0</v>
      </c>
      <c r="O751">
        <f>VLOOKUP($C751, Egli_UPEC_metadata_provided!$A$2:$N$826, 14, FALSE)</f>
        <v>0</v>
      </c>
    </row>
    <row r="752" spans="1:15" x14ac:dyDescent="0.2">
      <c r="A752" t="s">
        <v>306</v>
      </c>
      <c r="B752" t="s">
        <v>3540</v>
      </c>
      <c r="C752" t="s">
        <v>3540</v>
      </c>
      <c r="D752">
        <f>VLOOKUP($C752, Egli_UPEC_metadata_provided!$A$2:$M$826, 3, FALSE)</f>
        <v>2020</v>
      </c>
      <c r="E752" t="str">
        <f>VLOOKUP($C752, Egli_UPEC_metadata_provided!$A$2:$M$826, 4, FALSE)</f>
        <v>C</v>
      </c>
      <c r="F752" t="str">
        <f>VLOOKUP($C752, Egli_UPEC_metadata_provided!$A$2:$M$826, 5, FALSE)</f>
        <v>w</v>
      </c>
      <c r="G752">
        <f>VLOOKUP($C752, Egli_UPEC_metadata_provided!$A$2:$M$826, 6, FALSE)</f>
        <v>0</v>
      </c>
      <c r="H752">
        <f>VLOOKUP($C752, Egli_UPEC_metadata_provided!$A$2:$M$826, 7, FALSE)</f>
        <v>3</v>
      </c>
      <c r="I752">
        <f>VLOOKUP($C752, Egli_UPEC_metadata_provided!$A$2:$M$826, 8, FALSE)</f>
        <v>85.391660970608299</v>
      </c>
      <c r="J752" t="b">
        <f>VLOOKUP($C752, Egli_UPEC_metadata_provided!$A$2:$M$826, 9, FALSE)</f>
        <v>0</v>
      </c>
      <c r="K752">
        <f>VLOOKUP($C752, Egli_UPEC_metadata_provided!$A$2:$M$826, 10, FALSE)</f>
        <v>0</v>
      </c>
      <c r="L752" t="str">
        <f>VLOOKUP($C752, Egli_UPEC_metadata_provided!$A$2:$M$826, 11, FALSE)</f>
        <v>non-invasive</v>
      </c>
      <c r="M752">
        <f>VLOOKUP($C752, Egli_UPEC_metadata_provided!$A$2:$M$826, 12, FALSE)</f>
        <v>1</v>
      </c>
      <c r="N752">
        <f>VLOOKUP($C752, Egli_UPEC_metadata_provided!$A$2:$M$826, 13, FALSE)</f>
        <v>0</v>
      </c>
      <c r="O752">
        <f>VLOOKUP($C752, Egli_UPEC_metadata_provided!$A$2:$N$826, 14, FALSE)</f>
        <v>0</v>
      </c>
    </row>
    <row r="753" spans="1:15" x14ac:dyDescent="0.2">
      <c r="A753" t="s">
        <v>307</v>
      </c>
      <c r="B753" t="s">
        <v>3541</v>
      </c>
      <c r="C753" t="s">
        <v>3541</v>
      </c>
      <c r="D753">
        <f>VLOOKUP($C753, Egli_UPEC_metadata_provided!$A$2:$M$826, 3, FALSE)</f>
        <v>2020</v>
      </c>
      <c r="E753" t="str">
        <f>VLOOKUP($C753, Egli_UPEC_metadata_provided!$A$2:$M$826, 4, FALSE)</f>
        <v>B2-2</v>
      </c>
      <c r="F753" t="str">
        <f>VLOOKUP($C753, Egli_UPEC_metadata_provided!$A$2:$M$826, 5, FALSE)</f>
        <v>w</v>
      </c>
      <c r="G753">
        <f>VLOOKUP($C753, Egli_UPEC_metadata_provided!$A$2:$M$826, 6, FALSE)</f>
        <v>0</v>
      </c>
      <c r="H753">
        <f>VLOOKUP($C753, Egli_UPEC_metadata_provided!$A$2:$M$826, 7, FALSE)</f>
        <v>1</v>
      </c>
      <c r="I753">
        <f>VLOOKUP($C753, Egli_UPEC_metadata_provided!$A$2:$M$826, 8, FALSE)</f>
        <v>87.644565960355393</v>
      </c>
      <c r="J753" t="b">
        <f>VLOOKUP($C753, Egli_UPEC_metadata_provided!$A$2:$M$826, 9, FALSE)</f>
        <v>0</v>
      </c>
      <c r="K753">
        <f>VLOOKUP($C753, Egli_UPEC_metadata_provided!$A$2:$M$826, 10, FALSE)</f>
        <v>0</v>
      </c>
      <c r="L753" t="str">
        <f>VLOOKUP($C753, Egli_UPEC_metadata_provided!$A$2:$M$826, 11, FALSE)</f>
        <v>non-invasive</v>
      </c>
      <c r="M753">
        <f>VLOOKUP($C753, Egli_UPEC_metadata_provided!$A$2:$M$826, 12, FALSE)</f>
        <v>0</v>
      </c>
      <c r="N753">
        <f>VLOOKUP($C753, Egli_UPEC_metadata_provided!$A$2:$M$826, 13, FALSE)</f>
        <v>0</v>
      </c>
      <c r="O753">
        <f>VLOOKUP($C753, Egli_UPEC_metadata_provided!$A$2:$N$826, 14, FALSE)</f>
        <v>0</v>
      </c>
    </row>
    <row r="754" spans="1:15" x14ac:dyDescent="0.2">
      <c r="A754" t="s">
        <v>308</v>
      </c>
      <c r="B754" t="s">
        <v>3542</v>
      </c>
      <c r="C754" t="s">
        <v>3542</v>
      </c>
      <c r="D754">
        <f>VLOOKUP($C754, Egli_UPEC_metadata_provided!$A$2:$M$826, 3, FALSE)</f>
        <v>2020</v>
      </c>
      <c r="E754" t="str">
        <f>VLOOKUP($C754, Egli_UPEC_metadata_provided!$A$2:$M$826, 4, FALSE)</f>
        <v>B2-2</v>
      </c>
      <c r="F754" t="str">
        <f>VLOOKUP($C754, Egli_UPEC_metadata_provided!$A$2:$M$826, 5, FALSE)</f>
        <v>w</v>
      </c>
      <c r="G754">
        <f>VLOOKUP($C754, Egli_UPEC_metadata_provided!$A$2:$M$826, 6, FALSE)</f>
        <v>0</v>
      </c>
      <c r="H754">
        <f>VLOOKUP($C754, Egli_UPEC_metadata_provided!$A$2:$M$826, 7, FALSE)</f>
        <v>0</v>
      </c>
      <c r="I754">
        <f>VLOOKUP($C754, Egli_UPEC_metadata_provided!$A$2:$M$826, 8, FALSE)</f>
        <v>28.7163362952837</v>
      </c>
      <c r="J754" t="b">
        <f>VLOOKUP($C754, Egli_UPEC_metadata_provided!$A$2:$M$826, 9, FALSE)</f>
        <v>0</v>
      </c>
      <c r="K754">
        <f>VLOOKUP($C754, Egli_UPEC_metadata_provided!$A$2:$M$826, 10, FALSE)</f>
        <v>0</v>
      </c>
      <c r="L754" t="str">
        <f>VLOOKUP($C754, Egli_UPEC_metadata_provided!$A$2:$M$826, 11, FALSE)</f>
        <v>non-invasive</v>
      </c>
      <c r="M754">
        <f>VLOOKUP($C754, Egli_UPEC_metadata_provided!$A$2:$M$826, 12, FALSE)</f>
        <v>0</v>
      </c>
      <c r="N754">
        <f>VLOOKUP($C754, Egli_UPEC_metadata_provided!$A$2:$M$826, 13, FALSE)</f>
        <v>0</v>
      </c>
      <c r="O754">
        <f>VLOOKUP($C754, Egli_UPEC_metadata_provided!$A$2:$N$826, 14, FALSE)</f>
        <v>0</v>
      </c>
    </row>
    <row r="755" spans="1:15" x14ac:dyDescent="0.2">
      <c r="A755" t="s">
        <v>309</v>
      </c>
      <c r="B755" t="s">
        <v>3543</v>
      </c>
      <c r="C755" t="s">
        <v>3543</v>
      </c>
      <c r="D755">
        <f>VLOOKUP($C755, Egli_UPEC_metadata_provided!$A$2:$M$826, 3, FALSE)</f>
        <v>2020</v>
      </c>
      <c r="E755" t="str">
        <f>VLOOKUP($C755, Egli_UPEC_metadata_provided!$A$2:$M$826, 4, FALSE)</f>
        <v>B2-1</v>
      </c>
      <c r="F755" t="str">
        <f>VLOOKUP($C755, Egli_UPEC_metadata_provided!$A$2:$M$826, 5, FALSE)</f>
        <v>m</v>
      </c>
      <c r="G755">
        <f>VLOOKUP($C755, Egli_UPEC_metadata_provided!$A$2:$M$826, 6, FALSE)</f>
        <v>0</v>
      </c>
      <c r="H755">
        <f>VLOOKUP($C755, Egli_UPEC_metadata_provided!$A$2:$M$826, 7, FALSE)</f>
        <v>1</v>
      </c>
      <c r="I755">
        <f>VLOOKUP($C755, Egli_UPEC_metadata_provided!$A$2:$M$826, 8, FALSE)</f>
        <v>71.420369104579606</v>
      </c>
      <c r="J755" t="b">
        <f>VLOOKUP($C755, Egli_UPEC_metadata_provided!$A$2:$M$826, 9, FALSE)</f>
        <v>0</v>
      </c>
      <c r="K755">
        <f>VLOOKUP($C755, Egli_UPEC_metadata_provided!$A$2:$M$826, 10, FALSE)</f>
        <v>0</v>
      </c>
      <c r="L755" t="str">
        <f>VLOOKUP($C755, Egli_UPEC_metadata_provided!$A$2:$M$826, 11, FALSE)</f>
        <v>non-invasive</v>
      </c>
      <c r="M755">
        <f>VLOOKUP($C755, Egli_UPEC_metadata_provided!$A$2:$M$826, 12, FALSE)</f>
        <v>0</v>
      </c>
      <c r="N755">
        <f>VLOOKUP($C755, Egli_UPEC_metadata_provided!$A$2:$M$826, 13, FALSE)</f>
        <v>0</v>
      </c>
      <c r="O755">
        <f>VLOOKUP($C755, Egli_UPEC_metadata_provided!$A$2:$N$826, 14, FALSE)</f>
        <v>1</v>
      </c>
    </row>
    <row r="756" spans="1:15" x14ac:dyDescent="0.2">
      <c r="A756" t="s">
        <v>310</v>
      </c>
      <c r="B756" t="s">
        <v>3544</v>
      </c>
      <c r="C756" t="s">
        <v>3544</v>
      </c>
      <c r="D756">
        <f>VLOOKUP($C756, Egli_UPEC_metadata_provided!$A$2:$M$826, 3, FALSE)</f>
        <v>2020</v>
      </c>
      <c r="E756" t="str">
        <f>VLOOKUP($C756, Egli_UPEC_metadata_provided!$A$2:$M$826, 4, FALSE)</f>
        <v>B2-2</v>
      </c>
      <c r="F756" t="str">
        <f>VLOOKUP($C756, Egli_UPEC_metadata_provided!$A$2:$M$826, 5, FALSE)</f>
        <v>m</v>
      </c>
      <c r="G756">
        <f>VLOOKUP($C756, Egli_UPEC_metadata_provided!$A$2:$M$826, 6, FALSE)</f>
        <v>0</v>
      </c>
      <c r="H756">
        <f>VLOOKUP($C756, Egli_UPEC_metadata_provided!$A$2:$M$826, 7, FALSE)</f>
        <v>3</v>
      </c>
      <c r="I756">
        <f>VLOOKUP($C756, Egli_UPEC_metadata_provided!$A$2:$M$826, 8, FALSE)</f>
        <v>63.9289131920711</v>
      </c>
      <c r="J756" t="b">
        <f>VLOOKUP($C756, Egli_UPEC_metadata_provided!$A$2:$M$826, 9, FALSE)</f>
        <v>1</v>
      </c>
      <c r="K756">
        <f>VLOOKUP($C756, Egli_UPEC_metadata_provided!$A$2:$M$826, 10, FALSE)</f>
        <v>0</v>
      </c>
      <c r="L756" t="str">
        <f>VLOOKUP($C756, Egli_UPEC_metadata_provided!$A$2:$M$826, 11, FALSE)</f>
        <v>non-invasive</v>
      </c>
      <c r="M756">
        <f>VLOOKUP($C756, Egli_UPEC_metadata_provided!$A$2:$M$826, 12, FALSE)</f>
        <v>0</v>
      </c>
      <c r="N756">
        <f>VLOOKUP($C756, Egli_UPEC_metadata_provided!$A$2:$M$826, 13, FALSE)</f>
        <v>0</v>
      </c>
      <c r="O756">
        <f>VLOOKUP($C756, Egli_UPEC_metadata_provided!$A$2:$N$826, 14, FALSE)</f>
        <v>0</v>
      </c>
    </row>
    <row r="757" spans="1:15" x14ac:dyDescent="0.2">
      <c r="A757" t="s">
        <v>311</v>
      </c>
      <c r="B757" t="s">
        <v>3545</v>
      </c>
      <c r="C757" t="s">
        <v>3545</v>
      </c>
      <c r="D757">
        <f>VLOOKUP($C757, Egli_UPEC_metadata_provided!$A$2:$M$826, 3, FALSE)</f>
        <v>2020</v>
      </c>
      <c r="E757" t="str">
        <f>VLOOKUP($C757, Egli_UPEC_metadata_provided!$A$2:$M$826, 4, FALSE)</f>
        <v>B2-2</v>
      </c>
      <c r="F757" t="str">
        <f>VLOOKUP($C757, Egli_UPEC_metadata_provided!$A$2:$M$826, 5, FALSE)</f>
        <v>w</v>
      </c>
      <c r="G757">
        <f>VLOOKUP($C757, Egli_UPEC_metadata_provided!$A$2:$M$826, 6, FALSE)</f>
        <v>0</v>
      </c>
      <c r="H757">
        <f>VLOOKUP($C757, Egli_UPEC_metadata_provided!$A$2:$M$826, 7, FALSE)</f>
        <v>3</v>
      </c>
      <c r="I757">
        <f>VLOOKUP($C757, Egli_UPEC_metadata_provided!$A$2:$M$826, 8, FALSE)</f>
        <v>81.859193438140807</v>
      </c>
      <c r="J757" t="b">
        <f>VLOOKUP($C757, Egli_UPEC_metadata_provided!$A$2:$M$826, 9, FALSE)</f>
        <v>0</v>
      </c>
      <c r="K757">
        <f>VLOOKUP($C757, Egli_UPEC_metadata_provided!$A$2:$M$826, 10, FALSE)</f>
        <v>0</v>
      </c>
      <c r="L757" t="str">
        <f>VLOOKUP($C757, Egli_UPEC_metadata_provided!$A$2:$M$826, 11, FALSE)</f>
        <v>non-invasive</v>
      </c>
      <c r="M757">
        <f>VLOOKUP($C757, Egli_UPEC_metadata_provided!$A$2:$M$826, 12, FALSE)</f>
        <v>0</v>
      </c>
      <c r="N757">
        <f>VLOOKUP($C757, Egli_UPEC_metadata_provided!$A$2:$M$826, 13, FALSE)</f>
        <v>0</v>
      </c>
      <c r="O757">
        <f>VLOOKUP($C757, Egli_UPEC_metadata_provided!$A$2:$N$826, 14, FALSE)</f>
        <v>0</v>
      </c>
    </row>
    <row r="758" spans="1:15" x14ac:dyDescent="0.2">
      <c r="A758" t="s">
        <v>312</v>
      </c>
      <c r="B758" t="s">
        <v>3546</v>
      </c>
      <c r="C758" t="s">
        <v>3546</v>
      </c>
      <c r="D758">
        <f>VLOOKUP($C758, Egli_UPEC_metadata_provided!$A$2:$M$826, 3, FALSE)</f>
        <v>2020</v>
      </c>
      <c r="E758" t="str">
        <f>VLOOKUP($C758, Egli_UPEC_metadata_provided!$A$2:$M$826, 4, FALSE)</f>
        <v>D1</v>
      </c>
      <c r="F758" t="str">
        <f>VLOOKUP($C758, Egli_UPEC_metadata_provided!$A$2:$M$826, 5, FALSE)</f>
        <v>w</v>
      </c>
      <c r="G758">
        <f>VLOOKUP($C758, Egli_UPEC_metadata_provided!$A$2:$M$826, 6, FALSE)</f>
        <v>0</v>
      </c>
      <c r="H758">
        <f>VLOOKUP($C758, Egli_UPEC_metadata_provided!$A$2:$M$826, 7, FALSE)</f>
        <v>0</v>
      </c>
      <c r="I758">
        <f>VLOOKUP($C758, Egli_UPEC_metadata_provided!$A$2:$M$826, 8, FALSE)</f>
        <v>86.162679425837297</v>
      </c>
      <c r="J758" t="b">
        <f>VLOOKUP($C758, Egli_UPEC_metadata_provided!$A$2:$M$826, 9, FALSE)</f>
        <v>0</v>
      </c>
      <c r="K758">
        <f>VLOOKUP($C758, Egli_UPEC_metadata_provided!$A$2:$M$826, 10, FALSE)</f>
        <v>0</v>
      </c>
      <c r="L758" t="str">
        <f>VLOOKUP($C758, Egli_UPEC_metadata_provided!$A$2:$M$826, 11, FALSE)</f>
        <v>non-invasive</v>
      </c>
      <c r="M758">
        <f>VLOOKUP($C758, Egli_UPEC_metadata_provided!$A$2:$M$826, 12, FALSE)</f>
        <v>0</v>
      </c>
      <c r="N758">
        <f>VLOOKUP($C758, Egli_UPEC_metadata_provided!$A$2:$M$826, 13, FALSE)</f>
        <v>0</v>
      </c>
      <c r="O758">
        <f>VLOOKUP($C758, Egli_UPEC_metadata_provided!$A$2:$N$826, 14, FALSE)</f>
        <v>1</v>
      </c>
    </row>
    <row r="759" spans="1:15" x14ac:dyDescent="0.2">
      <c r="A759" t="s">
        <v>313</v>
      </c>
      <c r="B759" t="s">
        <v>3547</v>
      </c>
      <c r="C759" t="s">
        <v>3547</v>
      </c>
      <c r="D759">
        <f>VLOOKUP($C759, Egli_UPEC_metadata_provided!$A$2:$M$826, 3, FALSE)</f>
        <v>2020</v>
      </c>
      <c r="E759" t="str">
        <f>VLOOKUP($C759, Egli_UPEC_metadata_provided!$A$2:$M$826, 4, FALSE)</f>
        <v>B2-2</v>
      </c>
      <c r="F759" t="str">
        <f>VLOOKUP($C759, Egli_UPEC_metadata_provided!$A$2:$M$826, 5, FALSE)</f>
        <v>w</v>
      </c>
      <c r="G759">
        <f>VLOOKUP($C759, Egli_UPEC_metadata_provided!$A$2:$M$826, 6, FALSE)</f>
        <v>0</v>
      </c>
      <c r="H759">
        <f>VLOOKUP($C759, Egli_UPEC_metadata_provided!$A$2:$M$826, 7, FALSE)</f>
        <v>1</v>
      </c>
      <c r="I759">
        <f>VLOOKUP($C759, Egli_UPEC_metadata_provided!$A$2:$M$826, 8, FALSE)</f>
        <v>88.814764183185204</v>
      </c>
      <c r="J759" t="b">
        <f>VLOOKUP($C759, Egli_UPEC_metadata_provided!$A$2:$M$826, 9, FALSE)</f>
        <v>0</v>
      </c>
      <c r="K759">
        <f>VLOOKUP($C759, Egli_UPEC_metadata_provided!$A$2:$M$826, 10, FALSE)</f>
        <v>0</v>
      </c>
      <c r="L759" t="str">
        <f>VLOOKUP($C759, Egli_UPEC_metadata_provided!$A$2:$M$826, 11, FALSE)</f>
        <v>non-invasive</v>
      </c>
      <c r="M759">
        <f>VLOOKUP($C759, Egli_UPEC_metadata_provided!$A$2:$M$826, 12, FALSE)</f>
        <v>0</v>
      </c>
      <c r="N759">
        <f>VLOOKUP($C759, Egli_UPEC_metadata_provided!$A$2:$M$826, 13, FALSE)</f>
        <v>0</v>
      </c>
      <c r="O759">
        <f>VLOOKUP($C759, Egli_UPEC_metadata_provided!$A$2:$N$826, 14, FALSE)</f>
        <v>1</v>
      </c>
    </row>
    <row r="760" spans="1:15" x14ac:dyDescent="0.2">
      <c r="A760" t="s">
        <v>314</v>
      </c>
      <c r="B760" t="s">
        <v>3548</v>
      </c>
      <c r="C760" t="s">
        <v>3548</v>
      </c>
      <c r="D760">
        <f>VLOOKUP($C760, Egli_UPEC_metadata_provided!$A$2:$M$826, 3, FALSE)</f>
        <v>2020</v>
      </c>
      <c r="E760" t="str">
        <f>VLOOKUP($C760, Egli_UPEC_metadata_provided!$A$2:$M$826, 4, FALSE)</f>
        <v>B2-2</v>
      </c>
      <c r="F760" t="str">
        <f>VLOOKUP($C760, Egli_UPEC_metadata_provided!$A$2:$M$826, 5, FALSE)</f>
        <v>m</v>
      </c>
      <c r="G760">
        <f>VLOOKUP($C760, Egli_UPEC_metadata_provided!$A$2:$M$826, 6, FALSE)</f>
        <v>0</v>
      </c>
      <c r="H760">
        <f>VLOOKUP($C760, Egli_UPEC_metadata_provided!$A$2:$M$826, 7, FALSE)</f>
        <v>0</v>
      </c>
      <c r="I760">
        <f>VLOOKUP($C760, Egli_UPEC_metadata_provided!$A$2:$M$826, 8, FALSE)</f>
        <v>81.714285714285694</v>
      </c>
      <c r="J760" t="b">
        <f>VLOOKUP($C760, Egli_UPEC_metadata_provided!$A$2:$M$826, 9, FALSE)</f>
        <v>0</v>
      </c>
      <c r="K760">
        <f>VLOOKUP($C760, Egli_UPEC_metadata_provided!$A$2:$M$826, 10, FALSE)</f>
        <v>0</v>
      </c>
      <c r="L760" t="str">
        <f>VLOOKUP($C760, Egli_UPEC_metadata_provided!$A$2:$M$826, 11, FALSE)</f>
        <v>non-invasive</v>
      </c>
      <c r="M760">
        <f>VLOOKUP($C760, Egli_UPEC_metadata_provided!$A$2:$M$826, 12, FALSE)</f>
        <v>0</v>
      </c>
      <c r="N760">
        <f>VLOOKUP($C760, Egli_UPEC_metadata_provided!$A$2:$M$826, 13, FALSE)</f>
        <v>0</v>
      </c>
      <c r="O760">
        <f>VLOOKUP($C760, Egli_UPEC_metadata_provided!$A$2:$N$826, 14, FALSE)</f>
        <v>1</v>
      </c>
    </row>
    <row r="761" spans="1:15" x14ac:dyDescent="0.2">
      <c r="A761" t="s">
        <v>315</v>
      </c>
      <c r="B761" t="s">
        <v>3549</v>
      </c>
      <c r="C761" t="s">
        <v>3549</v>
      </c>
      <c r="D761">
        <f>VLOOKUP($C761, Egli_UPEC_metadata_provided!$A$2:$M$826, 3, FALSE)</f>
        <v>2020</v>
      </c>
      <c r="E761" t="str">
        <f>VLOOKUP($C761, Egli_UPEC_metadata_provided!$A$2:$M$826, 4, FALSE)</f>
        <v>B2-1</v>
      </c>
      <c r="F761" t="str">
        <f>VLOOKUP($C761, Egli_UPEC_metadata_provided!$A$2:$M$826, 5, FALSE)</f>
        <v>w</v>
      </c>
      <c r="G761">
        <f>VLOOKUP($C761, Egli_UPEC_metadata_provided!$A$2:$M$826, 6, FALSE)</f>
        <v>0</v>
      </c>
      <c r="H761">
        <f>VLOOKUP($C761, Egli_UPEC_metadata_provided!$A$2:$M$826, 7, FALSE)</f>
        <v>4</v>
      </c>
      <c r="I761">
        <f>VLOOKUP($C761, Egli_UPEC_metadata_provided!$A$2:$M$826, 8, FALSE)</f>
        <v>90.690362269309603</v>
      </c>
      <c r="J761" t="b">
        <f>VLOOKUP($C761, Egli_UPEC_metadata_provided!$A$2:$M$826, 9, FALSE)</f>
        <v>0</v>
      </c>
      <c r="K761">
        <f>VLOOKUP($C761, Egli_UPEC_metadata_provided!$A$2:$M$826, 10, FALSE)</f>
        <v>1</v>
      </c>
      <c r="L761" t="str">
        <f>VLOOKUP($C761, Egli_UPEC_metadata_provided!$A$2:$M$826, 11, FALSE)</f>
        <v>non-invasive</v>
      </c>
      <c r="M761">
        <f>VLOOKUP($C761, Egli_UPEC_metadata_provided!$A$2:$M$826, 12, FALSE)</f>
        <v>0</v>
      </c>
      <c r="N761">
        <f>VLOOKUP($C761, Egli_UPEC_metadata_provided!$A$2:$M$826, 13, FALSE)</f>
        <v>0</v>
      </c>
      <c r="O761">
        <f>VLOOKUP($C761, Egli_UPEC_metadata_provided!$A$2:$N$826, 14, FALSE)</f>
        <v>0</v>
      </c>
    </row>
    <row r="762" spans="1:15" x14ac:dyDescent="0.2">
      <c r="A762" t="s">
        <v>316</v>
      </c>
      <c r="B762" t="s">
        <v>3550</v>
      </c>
      <c r="C762" t="s">
        <v>3550</v>
      </c>
      <c r="D762">
        <f>VLOOKUP($C762, Egli_UPEC_metadata_provided!$A$2:$M$826, 3, FALSE)</f>
        <v>2020</v>
      </c>
      <c r="E762" t="str">
        <f>VLOOKUP($C762, Egli_UPEC_metadata_provided!$A$2:$M$826, 4, FALSE)</f>
        <v>B2-2</v>
      </c>
      <c r="F762" t="str">
        <f>VLOOKUP($C762, Egli_UPEC_metadata_provided!$A$2:$M$826, 5, FALSE)</f>
        <v>w</v>
      </c>
      <c r="G762">
        <f>VLOOKUP($C762, Egli_UPEC_metadata_provided!$A$2:$M$826, 6, FALSE)</f>
        <v>0</v>
      </c>
      <c r="H762">
        <f>VLOOKUP($C762, Egli_UPEC_metadata_provided!$A$2:$M$826, 7, FALSE)</f>
        <v>0</v>
      </c>
      <c r="I762">
        <f>VLOOKUP($C762, Egli_UPEC_metadata_provided!$A$2:$M$826, 8, FALSE)</f>
        <v>80.639781271360206</v>
      </c>
      <c r="J762" t="b">
        <f>VLOOKUP($C762, Egli_UPEC_metadata_provided!$A$2:$M$826, 9, FALSE)</f>
        <v>1</v>
      </c>
      <c r="K762">
        <f>VLOOKUP($C762, Egli_UPEC_metadata_provided!$A$2:$M$826, 10, FALSE)</f>
        <v>0</v>
      </c>
      <c r="L762" t="str">
        <f>VLOOKUP($C762, Egli_UPEC_metadata_provided!$A$2:$M$826, 11, FALSE)</f>
        <v>non-invasive</v>
      </c>
      <c r="M762">
        <f>VLOOKUP($C762, Egli_UPEC_metadata_provided!$A$2:$M$826, 12, FALSE)</f>
        <v>1</v>
      </c>
      <c r="N762">
        <f>VLOOKUP($C762, Egli_UPEC_metadata_provided!$A$2:$M$826, 13, FALSE)</f>
        <v>0</v>
      </c>
      <c r="O762">
        <f>VLOOKUP($C762, Egli_UPEC_metadata_provided!$A$2:$N$826, 14, FALSE)</f>
        <v>0</v>
      </c>
    </row>
    <row r="763" spans="1:15" x14ac:dyDescent="0.2">
      <c r="A763" t="s">
        <v>317</v>
      </c>
      <c r="B763" t="s">
        <v>3551</v>
      </c>
      <c r="C763" t="s">
        <v>3551</v>
      </c>
      <c r="D763">
        <f>VLOOKUP($C763, Egli_UPEC_metadata_provided!$A$2:$M$826, 3, FALSE)</f>
        <v>2020</v>
      </c>
      <c r="E763" t="str">
        <f>VLOOKUP($C763, Egli_UPEC_metadata_provided!$A$2:$M$826, 4, FALSE)</f>
        <v>B2-2</v>
      </c>
      <c r="F763" t="str">
        <f>VLOOKUP($C763, Egli_UPEC_metadata_provided!$A$2:$M$826, 5, FALSE)</f>
        <v>w</v>
      </c>
      <c r="G763">
        <f>VLOOKUP($C763, Egli_UPEC_metadata_provided!$A$2:$M$826, 6, FALSE)</f>
        <v>0</v>
      </c>
      <c r="H763">
        <f>VLOOKUP($C763, Egli_UPEC_metadata_provided!$A$2:$M$826, 7, FALSE)</f>
        <v>1</v>
      </c>
      <c r="I763">
        <f>VLOOKUP($C763, Egli_UPEC_metadata_provided!$A$2:$M$826, 8, FALSE)</f>
        <v>95.477785372522206</v>
      </c>
      <c r="J763" t="b">
        <f>VLOOKUP($C763, Egli_UPEC_metadata_provided!$A$2:$M$826, 9, FALSE)</f>
        <v>0</v>
      </c>
      <c r="K763">
        <f>VLOOKUP($C763, Egli_UPEC_metadata_provided!$A$2:$M$826, 10, FALSE)</f>
        <v>0</v>
      </c>
      <c r="L763" t="str">
        <f>VLOOKUP($C763, Egli_UPEC_metadata_provided!$A$2:$M$826, 11, FALSE)</f>
        <v>non-invasive</v>
      </c>
      <c r="M763">
        <f>VLOOKUP($C763, Egli_UPEC_metadata_provided!$A$2:$M$826, 12, FALSE)</f>
        <v>0</v>
      </c>
      <c r="N763">
        <f>VLOOKUP($C763, Egli_UPEC_metadata_provided!$A$2:$M$826, 13, FALSE)</f>
        <v>0</v>
      </c>
      <c r="O763">
        <f>VLOOKUP($C763, Egli_UPEC_metadata_provided!$A$2:$N$826, 14, FALSE)</f>
        <v>0</v>
      </c>
    </row>
    <row r="764" spans="1:15" x14ac:dyDescent="0.2">
      <c r="A764" t="s">
        <v>318</v>
      </c>
      <c r="B764" t="s">
        <v>3552</v>
      </c>
      <c r="C764" t="s">
        <v>3552</v>
      </c>
      <c r="D764">
        <f>VLOOKUP($C764, Egli_UPEC_metadata_provided!$A$2:$M$826, 3, FALSE)</f>
        <v>2020</v>
      </c>
      <c r="E764" t="str">
        <f>VLOOKUP($C764, Egli_UPEC_metadata_provided!$A$2:$M$826, 4, FALSE)</f>
        <v>B2-1</v>
      </c>
      <c r="F764" t="str">
        <f>VLOOKUP($C764, Egli_UPEC_metadata_provided!$A$2:$M$826, 5, FALSE)</f>
        <v>m</v>
      </c>
      <c r="G764">
        <f>VLOOKUP($C764, Egli_UPEC_metadata_provided!$A$2:$M$826, 6, FALSE)</f>
        <v>0</v>
      </c>
      <c r="H764">
        <f>VLOOKUP($C764, Egli_UPEC_metadata_provided!$A$2:$M$826, 7, FALSE)</f>
        <v>2</v>
      </c>
      <c r="I764">
        <f>VLOOKUP($C764, Egli_UPEC_metadata_provided!$A$2:$M$826, 8, FALSE)</f>
        <v>69.583048530416903</v>
      </c>
      <c r="J764" t="b">
        <f>VLOOKUP($C764, Egli_UPEC_metadata_provided!$A$2:$M$826, 9, FALSE)</f>
        <v>0</v>
      </c>
      <c r="K764">
        <f>VLOOKUP($C764, Egli_UPEC_metadata_provided!$A$2:$M$826, 10, FALSE)</f>
        <v>0</v>
      </c>
      <c r="L764" t="str">
        <f>VLOOKUP($C764, Egli_UPEC_metadata_provided!$A$2:$M$826, 11, FALSE)</f>
        <v>non-invasive</v>
      </c>
      <c r="M764">
        <f>VLOOKUP($C764, Egli_UPEC_metadata_provided!$A$2:$M$826, 12, FALSE)</f>
        <v>0</v>
      </c>
      <c r="N764">
        <f>VLOOKUP($C764, Egli_UPEC_metadata_provided!$A$2:$M$826, 13, FALSE)</f>
        <v>0</v>
      </c>
      <c r="O764">
        <f>VLOOKUP($C764, Egli_UPEC_metadata_provided!$A$2:$N$826, 14, FALSE)</f>
        <v>1</v>
      </c>
    </row>
    <row r="765" spans="1:15" x14ac:dyDescent="0.2">
      <c r="A765" t="s">
        <v>319</v>
      </c>
      <c r="B765" t="s">
        <v>3553</v>
      </c>
      <c r="C765" t="s">
        <v>3553</v>
      </c>
      <c r="D765">
        <f>VLOOKUP($C765, Egli_UPEC_metadata_provided!$A$2:$M$826, 3, FALSE)</f>
        <v>2020</v>
      </c>
      <c r="E765" t="str">
        <f>VLOOKUP($C765, Egli_UPEC_metadata_provided!$A$2:$M$826, 4, FALSE)</f>
        <v>B2-2</v>
      </c>
      <c r="F765" t="str">
        <f>VLOOKUP($C765, Egli_UPEC_metadata_provided!$A$2:$M$826, 5, FALSE)</f>
        <v>w</v>
      </c>
      <c r="G765">
        <f>VLOOKUP($C765, Egli_UPEC_metadata_provided!$A$2:$M$826, 6, FALSE)</f>
        <v>0</v>
      </c>
      <c r="H765">
        <f>VLOOKUP($C765, Egli_UPEC_metadata_provided!$A$2:$M$826, 7, FALSE)</f>
        <v>6</v>
      </c>
      <c r="I765">
        <f>VLOOKUP($C765, Egli_UPEC_metadata_provided!$A$2:$M$826, 8, FALSE)</f>
        <v>57.260423786739601</v>
      </c>
      <c r="J765" t="b">
        <f>VLOOKUP($C765, Egli_UPEC_metadata_provided!$A$2:$M$826, 9, FALSE)</f>
        <v>0</v>
      </c>
      <c r="K765">
        <f>VLOOKUP($C765, Egli_UPEC_metadata_provided!$A$2:$M$826, 10, FALSE)</f>
        <v>0</v>
      </c>
      <c r="L765" t="str">
        <f>VLOOKUP($C765, Egli_UPEC_metadata_provided!$A$2:$M$826, 11, FALSE)</f>
        <v>non-invasive</v>
      </c>
      <c r="M765">
        <f>VLOOKUP($C765, Egli_UPEC_metadata_provided!$A$2:$M$826, 12, FALSE)</f>
        <v>0</v>
      </c>
      <c r="N765">
        <f>VLOOKUP($C765, Egli_UPEC_metadata_provided!$A$2:$M$826, 13, FALSE)</f>
        <v>0</v>
      </c>
      <c r="O765">
        <f>VLOOKUP($C765, Egli_UPEC_metadata_provided!$A$2:$N$826, 14, FALSE)</f>
        <v>1</v>
      </c>
    </row>
    <row r="766" spans="1:15" x14ac:dyDescent="0.2">
      <c r="A766" t="s">
        <v>320</v>
      </c>
      <c r="B766" t="s">
        <v>3554</v>
      </c>
      <c r="C766" t="s">
        <v>3554</v>
      </c>
      <c r="D766">
        <f>VLOOKUP($C766, Egli_UPEC_metadata_provided!$A$2:$M$826, 3, FALSE)</f>
        <v>2020</v>
      </c>
      <c r="E766" t="str">
        <f>VLOOKUP($C766, Egli_UPEC_metadata_provided!$A$2:$M$826, 4, FALSE)</f>
        <v>B2-2</v>
      </c>
      <c r="F766" t="str">
        <f>VLOOKUP($C766, Egli_UPEC_metadata_provided!$A$2:$M$826, 5, FALSE)</f>
        <v>w</v>
      </c>
      <c r="G766">
        <f>VLOOKUP($C766, Egli_UPEC_metadata_provided!$A$2:$M$826, 6, FALSE)</f>
        <v>0</v>
      </c>
      <c r="H766">
        <f>VLOOKUP($C766, Egli_UPEC_metadata_provided!$A$2:$M$826, 7, FALSE)</f>
        <v>0</v>
      </c>
      <c r="I766">
        <f>VLOOKUP($C766, Egli_UPEC_metadata_provided!$A$2:$M$826, 8, FALSE)</f>
        <v>41.591250854408798</v>
      </c>
      <c r="J766" t="b">
        <f>VLOOKUP($C766, Egli_UPEC_metadata_provided!$A$2:$M$826, 9, FALSE)</f>
        <v>0</v>
      </c>
      <c r="K766">
        <f>VLOOKUP($C766, Egli_UPEC_metadata_provided!$A$2:$M$826, 10, FALSE)</f>
        <v>0</v>
      </c>
      <c r="L766" t="str">
        <f>VLOOKUP($C766, Egli_UPEC_metadata_provided!$A$2:$M$826, 11, FALSE)</f>
        <v>non-invasive</v>
      </c>
      <c r="M766">
        <f>VLOOKUP($C766, Egli_UPEC_metadata_provided!$A$2:$M$826, 12, FALSE)</f>
        <v>0</v>
      </c>
      <c r="N766">
        <f>VLOOKUP($C766, Egli_UPEC_metadata_provided!$A$2:$M$826, 13, FALSE)</f>
        <v>0</v>
      </c>
      <c r="O766">
        <f>VLOOKUP($C766, Egli_UPEC_metadata_provided!$A$2:$N$826, 14, FALSE)</f>
        <v>0</v>
      </c>
    </row>
    <row r="767" spans="1:15" x14ac:dyDescent="0.2">
      <c r="A767" t="s">
        <v>321</v>
      </c>
      <c r="B767" t="s">
        <v>3555</v>
      </c>
      <c r="C767" t="s">
        <v>3555</v>
      </c>
      <c r="D767">
        <f>VLOOKUP($C767, Egli_UPEC_metadata_provided!$A$2:$M$826, 3, FALSE)</f>
        <v>2020</v>
      </c>
      <c r="E767" t="str">
        <f>VLOOKUP($C767, Egli_UPEC_metadata_provided!$A$2:$M$826, 4, FALSE)</f>
        <v>D2</v>
      </c>
      <c r="F767" t="str">
        <f>VLOOKUP($C767, Egli_UPEC_metadata_provided!$A$2:$M$826, 5, FALSE)</f>
        <v>w</v>
      </c>
      <c r="G767">
        <f>VLOOKUP($C767, Egli_UPEC_metadata_provided!$A$2:$M$826, 6, FALSE)</f>
        <v>0</v>
      </c>
      <c r="H767">
        <f>VLOOKUP($C767, Egli_UPEC_metadata_provided!$A$2:$M$826, 7, FALSE)</f>
        <v>2</v>
      </c>
      <c r="I767">
        <f>VLOOKUP($C767, Egli_UPEC_metadata_provided!$A$2:$M$826, 8, FALSE)</f>
        <v>84.552289815447693</v>
      </c>
      <c r="J767" t="b">
        <f>VLOOKUP($C767, Egli_UPEC_metadata_provided!$A$2:$M$826, 9, FALSE)</f>
        <v>0</v>
      </c>
      <c r="K767">
        <f>VLOOKUP($C767, Egli_UPEC_metadata_provided!$A$2:$M$826, 10, FALSE)</f>
        <v>0</v>
      </c>
      <c r="L767" t="str">
        <f>VLOOKUP($C767, Egli_UPEC_metadata_provided!$A$2:$M$826, 11, FALSE)</f>
        <v>non-invasive</v>
      </c>
      <c r="M767">
        <f>VLOOKUP($C767, Egli_UPEC_metadata_provided!$A$2:$M$826, 12, FALSE)</f>
        <v>0</v>
      </c>
      <c r="N767">
        <f>VLOOKUP($C767, Egli_UPEC_metadata_provided!$A$2:$M$826, 13, FALSE)</f>
        <v>0</v>
      </c>
      <c r="O767">
        <f>VLOOKUP($C767, Egli_UPEC_metadata_provided!$A$2:$N$826, 14, FALSE)</f>
        <v>1</v>
      </c>
    </row>
    <row r="768" spans="1:15" x14ac:dyDescent="0.2">
      <c r="A768" t="s">
        <v>322</v>
      </c>
      <c r="B768" t="s">
        <v>3556</v>
      </c>
      <c r="C768" t="s">
        <v>3556</v>
      </c>
      <c r="D768">
        <f>VLOOKUP($C768, Egli_UPEC_metadata_provided!$A$2:$M$826, 3, FALSE)</f>
        <v>2020</v>
      </c>
      <c r="E768" t="str">
        <f>VLOOKUP($C768, Egli_UPEC_metadata_provided!$A$2:$M$826, 4, FALSE)</f>
        <v>D3</v>
      </c>
      <c r="F768" t="str">
        <f>VLOOKUP($C768, Egli_UPEC_metadata_provided!$A$2:$M$826, 5, FALSE)</f>
        <v>w</v>
      </c>
      <c r="G768">
        <f>VLOOKUP($C768, Egli_UPEC_metadata_provided!$A$2:$M$826, 6, FALSE)</f>
        <v>0</v>
      </c>
      <c r="H768">
        <f>VLOOKUP($C768, Egli_UPEC_metadata_provided!$A$2:$M$826, 7, FALSE)</f>
        <v>0</v>
      </c>
      <c r="I768">
        <f>VLOOKUP($C768, Egli_UPEC_metadata_provided!$A$2:$M$826, 8, FALSE)</f>
        <v>70.955570745044398</v>
      </c>
      <c r="J768" t="b">
        <f>VLOOKUP($C768, Egli_UPEC_metadata_provided!$A$2:$M$826, 9, FALSE)</f>
        <v>0</v>
      </c>
      <c r="K768">
        <f>VLOOKUP($C768, Egli_UPEC_metadata_provided!$A$2:$M$826, 10, FALSE)</f>
        <v>0</v>
      </c>
      <c r="L768" t="str">
        <f>VLOOKUP($C768, Egli_UPEC_metadata_provided!$A$2:$M$826, 11, FALSE)</f>
        <v>non-invasive</v>
      </c>
      <c r="M768">
        <f>VLOOKUP($C768, Egli_UPEC_metadata_provided!$A$2:$M$826, 12, FALSE)</f>
        <v>0</v>
      </c>
      <c r="N768">
        <f>VLOOKUP($C768, Egli_UPEC_metadata_provided!$A$2:$M$826, 13, FALSE)</f>
        <v>0</v>
      </c>
      <c r="O768">
        <f>VLOOKUP($C768, Egli_UPEC_metadata_provided!$A$2:$N$826, 14, FALSE)</f>
        <v>0</v>
      </c>
    </row>
    <row r="769" spans="1:15" x14ac:dyDescent="0.2">
      <c r="A769" t="s">
        <v>323</v>
      </c>
      <c r="B769" t="s">
        <v>3557</v>
      </c>
      <c r="C769" t="s">
        <v>3557</v>
      </c>
      <c r="D769">
        <f>VLOOKUP($C769, Egli_UPEC_metadata_provided!$A$2:$M$826, 3, FALSE)</f>
        <v>2020</v>
      </c>
      <c r="E769" t="str">
        <f>VLOOKUP($C769, Egli_UPEC_metadata_provided!$A$2:$M$826, 4, FALSE)</f>
        <v>B2-1</v>
      </c>
      <c r="F769" t="str">
        <f>VLOOKUP($C769, Egli_UPEC_metadata_provided!$A$2:$M$826, 5, FALSE)</f>
        <v>w</v>
      </c>
      <c r="G769">
        <f>VLOOKUP($C769, Egli_UPEC_metadata_provided!$A$2:$M$826, 6, FALSE)</f>
        <v>1</v>
      </c>
      <c r="H769">
        <f>VLOOKUP($C769, Egli_UPEC_metadata_provided!$A$2:$M$826, 7, FALSE)</f>
        <v>7</v>
      </c>
      <c r="I769">
        <f>VLOOKUP($C769, Egli_UPEC_metadata_provided!$A$2:$M$826, 8, FALSE)</f>
        <v>73.427204374572796</v>
      </c>
      <c r="J769" t="b">
        <f>VLOOKUP($C769, Egli_UPEC_metadata_provided!$A$2:$M$826, 9, FALSE)</f>
        <v>0</v>
      </c>
      <c r="K769">
        <f>VLOOKUP($C769, Egli_UPEC_metadata_provided!$A$2:$M$826, 10, FALSE)</f>
        <v>0</v>
      </c>
      <c r="L769" t="str">
        <f>VLOOKUP($C769, Egli_UPEC_metadata_provided!$A$2:$M$826, 11, FALSE)</f>
        <v>non-invasive</v>
      </c>
      <c r="M769">
        <f>VLOOKUP($C769, Egli_UPEC_metadata_provided!$A$2:$M$826, 12, FALSE)</f>
        <v>0</v>
      </c>
      <c r="N769">
        <f>VLOOKUP($C769, Egli_UPEC_metadata_provided!$A$2:$M$826, 13, FALSE)</f>
        <v>0</v>
      </c>
      <c r="O769">
        <f>VLOOKUP($C769, Egli_UPEC_metadata_provided!$A$2:$N$826, 14, FALSE)</f>
        <v>0</v>
      </c>
    </row>
    <row r="770" spans="1:15" x14ac:dyDescent="0.2">
      <c r="A770" t="s">
        <v>324</v>
      </c>
      <c r="B770" t="s">
        <v>3558</v>
      </c>
      <c r="C770" t="s">
        <v>3558</v>
      </c>
      <c r="D770">
        <f>VLOOKUP($C770, Egli_UPEC_metadata_provided!$A$2:$M$826, 3, FALSE)</f>
        <v>2020</v>
      </c>
      <c r="E770" t="str">
        <f>VLOOKUP($C770, Egli_UPEC_metadata_provided!$A$2:$M$826, 4, FALSE)</f>
        <v>B1</v>
      </c>
      <c r="F770" t="str">
        <f>VLOOKUP($C770, Egli_UPEC_metadata_provided!$A$2:$M$826, 5, FALSE)</f>
        <v>w</v>
      </c>
      <c r="G770">
        <f>VLOOKUP($C770, Egli_UPEC_metadata_provided!$A$2:$M$826, 6, FALSE)</f>
        <v>0</v>
      </c>
      <c r="H770">
        <f>VLOOKUP($C770, Egli_UPEC_metadata_provided!$A$2:$M$826, 7, FALSE)</f>
        <v>2</v>
      </c>
      <c r="I770">
        <f>VLOOKUP($C770, Egli_UPEC_metadata_provided!$A$2:$M$826, 8, FALSE)</f>
        <v>73.4463431305537</v>
      </c>
      <c r="J770" t="b">
        <f>VLOOKUP($C770, Egli_UPEC_metadata_provided!$A$2:$M$826, 9, FALSE)</f>
        <v>0</v>
      </c>
      <c r="K770">
        <f>VLOOKUP($C770, Egli_UPEC_metadata_provided!$A$2:$M$826, 10, FALSE)</f>
        <v>0</v>
      </c>
      <c r="L770" t="str">
        <f>VLOOKUP($C770, Egli_UPEC_metadata_provided!$A$2:$M$826, 11, FALSE)</f>
        <v>non-invasive</v>
      </c>
      <c r="M770">
        <f>VLOOKUP($C770, Egli_UPEC_metadata_provided!$A$2:$M$826, 12, FALSE)</f>
        <v>0</v>
      </c>
      <c r="N770">
        <f>VLOOKUP($C770, Egli_UPEC_metadata_provided!$A$2:$M$826, 13, FALSE)</f>
        <v>0</v>
      </c>
      <c r="O770">
        <f>VLOOKUP($C770, Egli_UPEC_metadata_provided!$A$2:$N$826, 14, FALSE)</f>
        <v>0</v>
      </c>
    </row>
    <row r="771" spans="1:15" x14ac:dyDescent="0.2">
      <c r="A771" t="s">
        <v>325</v>
      </c>
      <c r="B771" t="s">
        <v>3559</v>
      </c>
      <c r="C771" t="s">
        <v>3559</v>
      </c>
      <c r="D771">
        <f>VLOOKUP($C771, Egli_UPEC_metadata_provided!$A$2:$M$826, 3, FALSE)</f>
        <v>2020</v>
      </c>
      <c r="E771" t="str">
        <f>VLOOKUP($C771, Egli_UPEC_metadata_provided!$A$2:$M$826, 4, FALSE)</f>
        <v>A</v>
      </c>
      <c r="F771" t="str">
        <f>VLOOKUP($C771, Egli_UPEC_metadata_provided!$A$2:$M$826, 5, FALSE)</f>
        <v>w</v>
      </c>
      <c r="G771">
        <f>VLOOKUP($C771, Egli_UPEC_metadata_provided!$A$2:$M$826, 6, FALSE)</f>
        <v>0</v>
      </c>
      <c r="H771">
        <f>VLOOKUP($C771, Egli_UPEC_metadata_provided!$A$2:$M$826, 7, FALSE)</f>
        <v>0</v>
      </c>
      <c r="I771">
        <f>VLOOKUP($C771, Egli_UPEC_metadata_provided!$A$2:$M$826, 8, FALSE)</f>
        <v>41.4463431305537</v>
      </c>
      <c r="J771" t="b">
        <f>VLOOKUP($C771, Egli_UPEC_metadata_provided!$A$2:$M$826, 9, FALSE)</f>
        <v>0</v>
      </c>
      <c r="K771" t="str">
        <f>VLOOKUP($C771, Egli_UPEC_metadata_provided!$A$2:$M$826, 10, FALSE)</f>
        <v>NA</v>
      </c>
      <c r="L771" t="str">
        <f>VLOOKUP($C771, Egli_UPEC_metadata_provided!$A$2:$M$826, 11, FALSE)</f>
        <v>non-invasive</v>
      </c>
      <c r="M771">
        <f>VLOOKUP($C771, Egli_UPEC_metadata_provided!$A$2:$M$826, 12, FALSE)</f>
        <v>0</v>
      </c>
      <c r="N771">
        <f>VLOOKUP($C771, Egli_UPEC_metadata_provided!$A$2:$M$826, 13, FALSE)</f>
        <v>0</v>
      </c>
      <c r="O771">
        <f>VLOOKUP($C771, Egli_UPEC_metadata_provided!$A$2:$N$826, 14, FALSE)</f>
        <v>1</v>
      </c>
    </row>
    <row r="772" spans="1:15" x14ac:dyDescent="0.2">
      <c r="A772" t="s">
        <v>326</v>
      </c>
      <c r="B772" t="s">
        <v>3560</v>
      </c>
      <c r="C772" t="s">
        <v>3560</v>
      </c>
      <c r="D772">
        <f>VLOOKUP($C772, Egli_UPEC_metadata_provided!$A$2:$M$826, 3, FALSE)</f>
        <v>2020</v>
      </c>
      <c r="E772" t="str">
        <f>VLOOKUP($C772, Egli_UPEC_metadata_provided!$A$2:$M$826, 4, FALSE)</f>
        <v>B2-1</v>
      </c>
      <c r="F772" t="str">
        <f>VLOOKUP($C772, Egli_UPEC_metadata_provided!$A$2:$M$826, 5, FALSE)</f>
        <v>m</v>
      </c>
      <c r="G772">
        <f>VLOOKUP($C772, Egli_UPEC_metadata_provided!$A$2:$M$826, 6, FALSE)</f>
        <v>0</v>
      </c>
      <c r="H772">
        <f>VLOOKUP($C772, Egli_UPEC_metadata_provided!$A$2:$M$826, 7, FALSE)</f>
        <v>1</v>
      </c>
      <c r="I772">
        <f>VLOOKUP($C772, Egli_UPEC_metadata_provided!$A$2:$M$826, 8, FALSE)</f>
        <v>38.602870813397097</v>
      </c>
      <c r="J772" t="b">
        <f>VLOOKUP($C772, Egli_UPEC_metadata_provided!$A$2:$M$826, 9, FALSE)</f>
        <v>0</v>
      </c>
      <c r="K772">
        <f>VLOOKUP($C772, Egli_UPEC_metadata_provided!$A$2:$M$826, 10, FALSE)</f>
        <v>0</v>
      </c>
      <c r="L772" t="str">
        <f>VLOOKUP($C772, Egli_UPEC_metadata_provided!$A$2:$M$826, 11, FALSE)</f>
        <v>non-invasive</v>
      </c>
      <c r="M772">
        <f>VLOOKUP($C772, Egli_UPEC_metadata_provided!$A$2:$M$826, 12, FALSE)</f>
        <v>0</v>
      </c>
      <c r="N772">
        <f>VLOOKUP($C772, Egli_UPEC_metadata_provided!$A$2:$M$826, 13, FALSE)</f>
        <v>0</v>
      </c>
      <c r="O772">
        <f>VLOOKUP($C772, Egli_UPEC_metadata_provided!$A$2:$N$826, 14, FALSE)</f>
        <v>0</v>
      </c>
    </row>
    <row r="773" spans="1:15" x14ac:dyDescent="0.2">
      <c r="A773" t="s">
        <v>327</v>
      </c>
      <c r="B773" t="s">
        <v>3561</v>
      </c>
      <c r="C773" t="s">
        <v>3561</v>
      </c>
      <c r="D773">
        <f>VLOOKUP($C773, Egli_UPEC_metadata_provided!$A$2:$M$826, 3, FALSE)</f>
        <v>2020</v>
      </c>
      <c r="E773" t="str">
        <f>VLOOKUP($C773, Egli_UPEC_metadata_provided!$A$2:$M$826, 4, FALSE)</f>
        <v>B1</v>
      </c>
      <c r="F773" t="str">
        <f>VLOOKUP($C773, Egli_UPEC_metadata_provided!$A$2:$M$826, 5, FALSE)</f>
        <v>w</v>
      </c>
      <c r="G773">
        <f>VLOOKUP($C773, Egli_UPEC_metadata_provided!$A$2:$M$826, 6, FALSE)</f>
        <v>1</v>
      </c>
      <c r="H773">
        <f>VLOOKUP($C773, Egli_UPEC_metadata_provided!$A$2:$M$826, 7, FALSE)</f>
        <v>2</v>
      </c>
      <c r="I773">
        <f>VLOOKUP($C773, Egli_UPEC_metadata_provided!$A$2:$M$826, 8, FALSE)</f>
        <v>77.386192754613802</v>
      </c>
      <c r="J773" t="b">
        <f>VLOOKUP($C773, Egli_UPEC_metadata_provided!$A$2:$M$826, 9, FALSE)</f>
        <v>0</v>
      </c>
      <c r="K773">
        <f>VLOOKUP($C773, Egli_UPEC_metadata_provided!$A$2:$M$826, 10, FALSE)</f>
        <v>0</v>
      </c>
      <c r="L773" t="str">
        <f>VLOOKUP($C773, Egli_UPEC_metadata_provided!$A$2:$M$826, 11, FALSE)</f>
        <v>non-invasive</v>
      </c>
      <c r="M773">
        <f>VLOOKUP($C773, Egli_UPEC_metadata_provided!$A$2:$M$826, 12, FALSE)</f>
        <v>0</v>
      </c>
      <c r="N773">
        <f>VLOOKUP($C773, Egli_UPEC_metadata_provided!$A$2:$M$826, 13, FALSE)</f>
        <v>0</v>
      </c>
      <c r="O773">
        <f>VLOOKUP($C773, Egli_UPEC_metadata_provided!$A$2:$N$826, 14, FALSE)</f>
        <v>1</v>
      </c>
    </row>
    <row r="774" spans="1:15" x14ac:dyDescent="0.2">
      <c r="A774" t="s">
        <v>328</v>
      </c>
      <c r="B774" t="s">
        <v>3562</v>
      </c>
      <c r="C774" t="s">
        <v>3562</v>
      </c>
      <c r="D774">
        <f>VLOOKUP($C774, Egli_UPEC_metadata_provided!$A$2:$M$826, 3, FALSE)</f>
        <v>2020</v>
      </c>
      <c r="E774" t="str">
        <f>VLOOKUP($C774, Egli_UPEC_metadata_provided!$A$2:$M$826, 4, FALSE)</f>
        <v>B2-1</v>
      </c>
      <c r="F774" t="str">
        <f>VLOOKUP($C774, Egli_UPEC_metadata_provided!$A$2:$M$826, 5, FALSE)</f>
        <v>w</v>
      </c>
      <c r="G774">
        <f>VLOOKUP($C774, Egli_UPEC_metadata_provided!$A$2:$M$826, 6, FALSE)</f>
        <v>0</v>
      </c>
      <c r="H774">
        <f>VLOOKUP($C774, Egli_UPEC_metadata_provided!$A$2:$M$826, 7, FALSE)</f>
        <v>1</v>
      </c>
      <c r="I774">
        <f>VLOOKUP($C774, Egli_UPEC_metadata_provided!$A$2:$M$826, 8, FALSE)</f>
        <v>87.893369788106597</v>
      </c>
      <c r="J774" t="b">
        <f>VLOOKUP($C774, Egli_UPEC_metadata_provided!$A$2:$M$826, 9, FALSE)</f>
        <v>0</v>
      </c>
      <c r="K774">
        <f>VLOOKUP($C774, Egli_UPEC_metadata_provided!$A$2:$M$826, 10, FALSE)</f>
        <v>0</v>
      </c>
      <c r="L774" t="str">
        <f>VLOOKUP($C774, Egli_UPEC_metadata_provided!$A$2:$M$826, 11, FALSE)</f>
        <v>non-invasive</v>
      </c>
      <c r="M774">
        <f>VLOOKUP($C774, Egli_UPEC_metadata_provided!$A$2:$M$826, 12, FALSE)</f>
        <v>0</v>
      </c>
      <c r="N774">
        <f>VLOOKUP($C774, Egli_UPEC_metadata_provided!$A$2:$M$826, 13, FALSE)</f>
        <v>0</v>
      </c>
      <c r="O774">
        <f>VLOOKUP($C774, Egli_UPEC_metadata_provided!$A$2:$N$826, 14, FALSE)</f>
        <v>1</v>
      </c>
    </row>
    <row r="775" spans="1:15" x14ac:dyDescent="0.2">
      <c r="A775" t="s">
        <v>329</v>
      </c>
      <c r="B775" t="s">
        <v>3563</v>
      </c>
      <c r="C775" t="s">
        <v>3563</v>
      </c>
      <c r="D775">
        <f>VLOOKUP($C775, Egli_UPEC_metadata_provided!$A$2:$M$826, 3, FALSE)</f>
        <v>2020</v>
      </c>
      <c r="E775" t="str">
        <f>VLOOKUP($C775, Egli_UPEC_metadata_provided!$A$2:$M$826, 4, FALSE)</f>
        <v>B2-2</v>
      </c>
      <c r="F775" t="str">
        <f>VLOOKUP($C775, Egli_UPEC_metadata_provided!$A$2:$M$826, 5, FALSE)</f>
        <v>m</v>
      </c>
      <c r="G775">
        <f>VLOOKUP($C775, Egli_UPEC_metadata_provided!$A$2:$M$826, 6, FALSE)</f>
        <v>0</v>
      </c>
      <c r="H775">
        <f>VLOOKUP($C775, Egli_UPEC_metadata_provided!$A$2:$M$826, 7, FALSE)</f>
        <v>1</v>
      </c>
      <c r="I775">
        <f>VLOOKUP($C775, Egli_UPEC_metadata_provided!$A$2:$M$826, 8, FALSE)</f>
        <v>79.893369788106597</v>
      </c>
      <c r="J775" t="b">
        <f>VLOOKUP($C775, Egli_UPEC_metadata_provided!$A$2:$M$826, 9, FALSE)</f>
        <v>0</v>
      </c>
      <c r="K775">
        <f>VLOOKUP($C775, Egli_UPEC_metadata_provided!$A$2:$M$826, 10, FALSE)</f>
        <v>0</v>
      </c>
      <c r="L775" t="str">
        <f>VLOOKUP($C775, Egli_UPEC_metadata_provided!$A$2:$M$826, 11, FALSE)</f>
        <v>non-invasive</v>
      </c>
      <c r="M775">
        <f>VLOOKUP($C775, Egli_UPEC_metadata_provided!$A$2:$M$826, 12, FALSE)</f>
        <v>0</v>
      </c>
      <c r="N775">
        <f>VLOOKUP($C775, Egli_UPEC_metadata_provided!$A$2:$M$826, 13, FALSE)</f>
        <v>0</v>
      </c>
      <c r="O775">
        <f>VLOOKUP($C775, Egli_UPEC_metadata_provided!$A$2:$N$826, 14, FALSE)</f>
        <v>0</v>
      </c>
    </row>
    <row r="776" spans="1:15" x14ac:dyDescent="0.2">
      <c r="A776" t="s">
        <v>330</v>
      </c>
      <c r="B776" t="s">
        <v>3564</v>
      </c>
      <c r="C776" t="s">
        <v>3564</v>
      </c>
      <c r="D776">
        <f>VLOOKUP($C776, Egli_UPEC_metadata_provided!$A$2:$M$826, 3, FALSE)</f>
        <v>2020</v>
      </c>
      <c r="E776" t="str">
        <f>VLOOKUP($C776, Egli_UPEC_metadata_provided!$A$2:$M$826, 4, FALSE)</f>
        <v>C</v>
      </c>
      <c r="F776" t="str">
        <f>VLOOKUP($C776, Egli_UPEC_metadata_provided!$A$2:$M$826, 5, FALSE)</f>
        <v>w</v>
      </c>
      <c r="G776">
        <f>VLOOKUP($C776, Egli_UPEC_metadata_provided!$A$2:$M$826, 6, FALSE)</f>
        <v>0</v>
      </c>
      <c r="H776">
        <f>VLOOKUP($C776, Egli_UPEC_metadata_provided!$A$2:$M$826, 7, FALSE)</f>
        <v>2</v>
      </c>
      <c r="I776">
        <f>VLOOKUP($C776, Egli_UPEC_metadata_provided!$A$2:$M$826, 8, FALSE)</f>
        <v>81.298701298701303</v>
      </c>
      <c r="J776" t="b">
        <f>VLOOKUP($C776, Egli_UPEC_metadata_provided!$A$2:$M$826, 9, FALSE)</f>
        <v>0</v>
      </c>
      <c r="K776">
        <f>VLOOKUP($C776, Egli_UPEC_metadata_provided!$A$2:$M$826, 10, FALSE)</f>
        <v>0</v>
      </c>
      <c r="L776" t="str">
        <f>VLOOKUP($C776, Egli_UPEC_metadata_provided!$A$2:$M$826, 11, FALSE)</f>
        <v>non-invasive</v>
      </c>
      <c r="M776">
        <f>VLOOKUP($C776, Egli_UPEC_metadata_provided!$A$2:$M$826, 12, FALSE)</f>
        <v>0</v>
      </c>
      <c r="N776">
        <f>VLOOKUP($C776, Egli_UPEC_metadata_provided!$A$2:$M$826, 13, FALSE)</f>
        <v>0</v>
      </c>
      <c r="O776">
        <f>VLOOKUP($C776, Egli_UPEC_metadata_provided!$A$2:$N$826, 14, FALSE)</f>
        <v>0</v>
      </c>
    </row>
    <row r="777" spans="1:15" x14ac:dyDescent="0.2">
      <c r="A777" t="s">
        <v>331</v>
      </c>
      <c r="B777" t="s">
        <v>3565</v>
      </c>
      <c r="C777" t="s">
        <v>3565</v>
      </c>
      <c r="D777">
        <f>VLOOKUP($C777, Egli_UPEC_metadata_provided!$A$2:$M$826, 3, FALSE)</f>
        <v>2020</v>
      </c>
      <c r="E777" t="str">
        <f>VLOOKUP($C777, Egli_UPEC_metadata_provided!$A$2:$M$826, 4, FALSE)</f>
        <v>B2-2</v>
      </c>
      <c r="F777" t="str">
        <f>VLOOKUP($C777, Egli_UPEC_metadata_provided!$A$2:$M$826, 5, FALSE)</f>
        <v>w</v>
      </c>
      <c r="G777">
        <f>VLOOKUP($C777, Egli_UPEC_metadata_provided!$A$2:$M$826, 6, FALSE)</f>
        <v>0</v>
      </c>
      <c r="H777">
        <f>VLOOKUP($C777, Egli_UPEC_metadata_provided!$A$2:$M$826, 7, FALSE)</f>
        <v>0</v>
      </c>
      <c r="I777">
        <f>VLOOKUP($C777, Egli_UPEC_metadata_provided!$A$2:$M$826, 8, FALSE)</f>
        <v>56.267942583732101</v>
      </c>
      <c r="J777" t="b">
        <f>VLOOKUP($C777, Egli_UPEC_metadata_provided!$A$2:$M$826, 9, FALSE)</f>
        <v>0</v>
      </c>
      <c r="K777">
        <f>VLOOKUP($C777, Egli_UPEC_metadata_provided!$A$2:$M$826, 10, FALSE)</f>
        <v>0</v>
      </c>
      <c r="L777" t="str">
        <f>VLOOKUP($C777, Egli_UPEC_metadata_provided!$A$2:$M$826, 11, FALSE)</f>
        <v>non-invasive</v>
      </c>
      <c r="M777">
        <f>VLOOKUP($C777, Egli_UPEC_metadata_provided!$A$2:$M$826, 12, FALSE)</f>
        <v>1</v>
      </c>
      <c r="N777">
        <f>VLOOKUP($C777, Egli_UPEC_metadata_provided!$A$2:$M$826, 13, FALSE)</f>
        <v>0</v>
      </c>
      <c r="O777">
        <f>VLOOKUP($C777, Egli_UPEC_metadata_provided!$A$2:$N$826, 14, FALSE)</f>
        <v>0</v>
      </c>
    </row>
    <row r="778" spans="1:15" x14ac:dyDescent="0.2">
      <c r="A778" t="s">
        <v>332</v>
      </c>
      <c r="B778" t="s">
        <v>3566</v>
      </c>
      <c r="C778" t="s">
        <v>3566</v>
      </c>
      <c r="D778">
        <f>VLOOKUP($C778, Egli_UPEC_metadata_provided!$A$2:$M$826, 3, FALSE)</f>
        <v>2020</v>
      </c>
      <c r="E778" t="str">
        <f>VLOOKUP($C778, Egli_UPEC_metadata_provided!$A$2:$M$826, 4, FALSE)</f>
        <v>B2-2</v>
      </c>
      <c r="F778" t="str">
        <f>VLOOKUP($C778, Egli_UPEC_metadata_provided!$A$2:$M$826, 5, FALSE)</f>
        <v>m</v>
      </c>
      <c r="G778">
        <f>VLOOKUP($C778, Egli_UPEC_metadata_provided!$A$2:$M$826, 6, FALSE)</f>
        <v>0</v>
      </c>
      <c r="H778">
        <f>VLOOKUP($C778, Egli_UPEC_metadata_provided!$A$2:$M$826, 7, FALSE)</f>
        <v>6</v>
      </c>
      <c r="I778">
        <f>VLOOKUP($C778, Egli_UPEC_metadata_provided!$A$2:$M$826, 8, FALSE)</f>
        <v>66.974709501025302</v>
      </c>
      <c r="J778" t="b">
        <f>VLOOKUP($C778, Egli_UPEC_metadata_provided!$A$2:$M$826, 9, FALSE)</f>
        <v>0</v>
      </c>
      <c r="K778">
        <f>VLOOKUP($C778, Egli_UPEC_metadata_provided!$A$2:$M$826, 10, FALSE)</f>
        <v>0</v>
      </c>
      <c r="L778" t="str">
        <f>VLOOKUP($C778, Egli_UPEC_metadata_provided!$A$2:$M$826, 11, FALSE)</f>
        <v>non-invasive</v>
      </c>
      <c r="M778">
        <f>VLOOKUP($C778, Egli_UPEC_metadata_provided!$A$2:$M$826, 12, FALSE)</f>
        <v>0</v>
      </c>
      <c r="N778">
        <f>VLOOKUP($C778, Egli_UPEC_metadata_provided!$A$2:$M$826, 13, FALSE)</f>
        <v>0</v>
      </c>
      <c r="O778">
        <f>VLOOKUP($C778, Egli_UPEC_metadata_provided!$A$2:$N$826, 14, FALSE)</f>
        <v>0</v>
      </c>
    </row>
    <row r="779" spans="1:15" x14ac:dyDescent="0.2">
      <c r="A779" t="s">
        <v>333</v>
      </c>
      <c r="B779" t="s">
        <v>3567</v>
      </c>
      <c r="C779" t="s">
        <v>3567</v>
      </c>
      <c r="D779">
        <f>VLOOKUP($C779, Egli_UPEC_metadata_provided!$A$2:$M$826, 3, FALSE)</f>
        <v>2020</v>
      </c>
      <c r="E779" t="str">
        <f>VLOOKUP($C779, Egli_UPEC_metadata_provided!$A$2:$M$826, 4, FALSE)</f>
        <v>A</v>
      </c>
      <c r="F779" t="str">
        <f>VLOOKUP($C779, Egli_UPEC_metadata_provided!$A$2:$M$826, 5, FALSE)</f>
        <v>w</v>
      </c>
      <c r="G779">
        <f>VLOOKUP($C779, Egli_UPEC_metadata_provided!$A$2:$M$826, 6, FALSE)</f>
        <v>0</v>
      </c>
      <c r="H779">
        <f>VLOOKUP($C779, Egli_UPEC_metadata_provided!$A$2:$M$826, 7, FALSE)</f>
        <v>1</v>
      </c>
      <c r="I779">
        <f>VLOOKUP($C779, Egli_UPEC_metadata_provided!$A$2:$M$826, 8, FALSE)</f>
        <v>76.180451127819595</v>
      </c>
      <c r="J779" t="b">
        <f>VLOOKUP($C779, Egli_UPEC_metadata_provided!$A$2:$M$826, 9, FALSE)</f>
        <v>0</v>
      </c>
      <c r="K779">
        <f>VLOOKUP($C779, Egli_UPEC_metadata_provided!$A$2:$M$826, 10, FALSE)</f>
        <v>0</v>
      </c>
      <c r="L779" t="str">
        <f>VLOOKUP($C779, Egli_UPEC_metadata_provided!$A$2:$M$826, 11, FALSE)</f>
        <v>non-invasive</v>
      </c>
      <c r="M779">
        <f>VLOOKUP($C779, Egli_UPEC_metadata_provided!$A$2:$M$826, 12, FALSE)</f>
        <v>1</v>
      </c>
      <c r="N779">
        <f>VLOOKUP($C779, Egli_UPEC_metadata_provided!$A$2:$M$826, 13, FALSE)</f>
        <v>0</v>
      </c>
      <c r="O779">
        <f>VLOOKUP($C779, Egli_UPEC_metadata_provided!$A$2:$N$826, 14, FALSE)</f>
        <v>1</v>
      </c>
    </row>
    <row r="780" spans="1:15" x14ac:dyDescent="0.2">
      <c r="A780" t="s">
        <v>334</v>
      </c>
      <c r="B780" t="s">
        <v>3568</v>
      </c>
      <c r="C780" t="s">
        <v>3568</v>
      </c>
      <c r="D780">
        <f>VLOOKUP($C780, Egli_UPEC_metadata_provided!$A$2:$M$826, 3, FALSE)</f>
        <v>2020</v>
      </c>
      <c r="E780" t="str">
        <f>VLOOKUP($C780, Egli_UPEC_metadata_provided!$A$2:$M$826, 4, FALSE)</f>
        <v>A</v>
      </c>
      <c r="F780" t="str">
        <f>VLOOKUP($C780, Egli_UPEC_metadata_provided!$A$2:$M$826, 5, FALSE)</f>
        <v>m</v>
      </c>
      <c r="G780">
        <f>VLOOKUP($C780, Egli_UPEC_metadata_provided!$A$2:$M$826, 6, FALSE)</f>
        <v>0</v>
      </c>
      <c r="H780">
        <f>VLOOKUP($C780, Egli_UPEC_metadata_provided!$A$2:$M$826, 7, FALSE)</f>
        <v>4</v>
      </c>
      <c r="I780">
        <f>VLOOKUP($C780, Egli_UPEC_metadata_provided!$A$2:$M$826, 8, FALSE)</f>
        <v>61.982228298017802</v>
      </c>
      <c r="J780" t="b">
        <f>VLOOKUP($C780, Egli_UPEC_metadata_provided!$A$2:$M$826, 9, FALSE)</f>
        <v>0</v>
      </c>
      <c r="K780">
        <f>VLOOKUP($C780, Egli_UPEC_metadata_provided!$A$2:$M$826, 10, FALSE)</f>
        <v>0</v>
      </c>
      <c r="L780" t="str">
        <f>VLOOKUP($C780, Egli_UPEC_metadata_provided!$A$2:$M$826, 11, FALSE)</f>
        <v>non-invasive</v>
      </c>
      <c r="M780">
        <f>VLOOKUP($C780, Egli_UPEC_metadata_provided!$A$2:$M$826, 12, FALSE)</f>
        <v>1</v>
      </c>
      <c r="N780">
        <f>VLOOKUP($C780, Egli_UPEC_metadata_provided!$A$2:$M$826, 13, FALSE)</f>
        <v>0</v>
      </c>
      <c r="O780">
        <f>VLOOKUP($C780, Egli_UPEC_metadata_provided!$A$2:$N$826, 14, FALSE)</f>
        <v>1</v>
      </c>
    </row>
    <row r="781" spans="1:15" x14ac:dyDescent="0.2">
      <c r="A781" t="s">
        <v>335</v>
      </c>
      <c r="B781" t="s">
        <v>3569</v>
      </c>
      <c r="C781" t="s">
        <v>3569</v>
      </c>
      <c r="D781">
        <f>VLOOKUP($C781, Egli_UPEC_metadata_provided!$A$2:$M$826, 3, FALSE)</f>
        <v>2020</v>
      </c>
      <c r="E781" t="str">
        <f>VLOOKUP($C781, Egli_UPEC_metadata_provided!$A$2:$M$826, 4, FALSE)</f>
        <v>B2-2</v>
      </c>
      <c r="F781" t="str">
        <f>VLOOKUP($C781, Egli_UPEC_metadata_provided!$A$2:$M$826, 5, FALSE)</f>
        <v>m</v>
      </c>
      <c r="G781">
        <f>VLOOKUP($C781, Egli_UPEC_metadata_provided!$A$2:$M$826, 6, FALSE)</f>
        <v>0</v>
      </c>
      <c r="H781">
        <f>VLOOKUP($C781, Egli_UPEC_metadata_provided!$A$2:$M$826, 7, FALSE)</f>
        <v>0</v>
      </c>
      <c r="I781">
        <f>VLOOKUP($C781, Egli_UPEC_metadata_provided!$A$2:$M$826, 8, FALSE)</f>
        <v>27.8714969241285</v>
      </c>
      <c r="J781" t="b">
        <f>VLOOKUP($C781, Egli_UPEC_metadata_provided!$A$2:$M$826, 9, FALSE)</f>
        <v>0</v>
      </c>
      <c r="K781">
        <f>VLOOKUP($C781, Egli_UPEC_metadata_provided!$A$2:$M$826, 10, FALSE)</f>
        <v>0</v>
      </c>
      <c r="L781" t="str">
        <f>VLOOKUP($C781, Egli_UPEC_metadata_provided!$A$2:$M$826, 11, FALSE)</f>
        <v>non-invasive</v>
      </c>
      <c r="M781">
        <f>VLOOKUP($C781, Egli_UPEC_metadata_provided!$A$2:$M$826, 12, FALSE)</f>
        <v>1</v>
      </c>
      <c r="N781">
        <f>VLOOKUP($C781, Egli_UPEC_metadata_provided!$A$2:$M$826, 13, FALSE)</f>
        <v>0</v>
      </c>
      <c r="O781">
        <f>VLOOKUP($C781, Egli_UPEC_metadata_provided!$A$2:$N$826, 14, FALSE)</f>
        <v>0</v>
      </c>
    </row>
    <row r="782" spans="1:15" x14ac:dyDescent="0.2">
      <c r="A782" t="s">
        <v>336</v>
      </c>
      <c r="B782" t="s">
        <v>3570</v>
      </c>
      <c r="C782" t="s">
        <v>3570</v>
      </c>
      <c r="D782">
        <f>VLOOKUP($C782, Egli_UPEC_metadata_provided!$A$2:$M$826, 3, FALSE)</f>
        <v>2020</v>
      </c>
      <c r="E782" t="str">
        <f>VLOOKUP($C782, Egli_UPEC_metadata_provided!$A$2:$M$826, 4, FALSE)</f>
        <v>B2-1</v>
      </c>
      <c r="F782" t="str">
        <f>VLOOKUP($C782, Egli_UPEC_metadata_provided!$A$2:$M$826, 5, FALSE)</f>
        <v>m</v>
      </c>
      <c r="G782">
        <f>VLOOKUP($C782, Egli_UPEC_metadata_provided!$A$2:$M$826, 6, FALSE)</f>
        <v>0</v>
      </c>
      <c r="H782">
        <f>VLOOKUP($C782, Egli_UPEC_metadata_provided!$A$2:$M$826, 7, FALSE)</f>
        <v>5</v>
      </c>
      <c r="I782">
        <f>VLOOKUP($C782, Egli_UPEC_metadata_provided!$A$2:$M$826, 8, FALSE)</f>
        <v>51.669172932330802</v>
      </c>
      <c r="J782" t="b">
        <f>VLOOKUP($C782, Egli_UPEC_metadata_provided!$A$2:$M$826, 9, FALSE)</f>
        <v>0</v>
      </c>
      <c r="K782">
        <f>VLOOKUP($C782, Egli_UPEC_metadata_provided!$A$2:$M$826, 10, FALSE)</f>
        <v>1</v>
      </c>
      <c r="L782" t="str">
        <f>VLOOKUP($C782, Egli_UPEC_metadata_provided!$A$2:$M$826, 11, FALSE)</f>
        <v>non-invasive</v>
      </c>
      <c r="M782">
        <f>VLOOKUP($C782, Egli_UPEC_metadata_provided!$A$2:$M$826, 12, FALSE)</f>
        <v>0</v>
      </c>
      <c r="N782">
        <f>VLOOKUP($C782, Egli_UPEC_metadata_provided!$A$2:$M$826, 13, FALSE)</f>
        <v>0</v>
      </c>
      <c r="O782">
        <f>VLOOKUP($C782, Egli_UPEC_metadata_provided!$A$2:$N$826, 14, FALSE)</f>
        <v>0</v>
      </c>
    </row>
    <row r="783" spans="1:15" x14ac:dyDescent="0.2">
      <c r="A783" t="s">
        <v>337</v>
      </c>
      <c r="B783" t="s">
        <v>3571</v>
      </c>
      <c r="C783" t="s">
        <v>3571</v>
      </c>
      <c r="D783">
        <f>VLOOKUP($C783, Egli_UPEC_metadata_provided!$A$2:$M$826, 3, FALSE)</f>
        <v>2020</v>
      </c>
      <c r="E783" t="str">
        <f>VLOOKUP($C783, Egli_UPEC_metadata_provided!$A$2:$M$826, 4, FALSE)</f>
        <v>B2-2</v>
      </c>
      <c r="F783" t="str">
        <f>VLOOKUP($C783, Egli_UPEC_metadata_provided!$A$2:$M$826, 5, FALSE)</f>
        <v>w</v>
      </c>
      <c r="G783">
        <f>VLOOKUP($C783, Egli_UPEC_metadata_provided!$A$2:$M$826, 6, FALSE)</f>
        <v>0</v>
      </c>
      <c r="H783">
        <f>VLOOKUP($C783, Egli_UPEC_metadata_provided!$A$2:$M$826, 7, FALSE)</f>
        <v>2</v>
      </c>
      <c r="I783">
        <f>VLOOKUP($C783, Egli_UPEC_metadata_provided!$A$2:$M$826, 8, FALSE)</f>
        <v>71.455912508544102</v>
      </c>
      <c r="J783" t="b">
        <f>VLOOKUP($C783, Egli_UPEC_metadata_provided!$A$2:$M$826, 9, FALSE)</f>
        <v>0</v>
      </c>
      <c r="K783">
        <f>VLOOKUP($C783, Egli_UPEC_metadata_provided!$A$2:$M$826, 10, FALSE)</f>
        <v>0</v>
      </c>
      <c r="L783" t="str">
        <f>VLOOKUP($C783, Egli_UPEC_metadata_provided!$A$2:$M$826, 11, FALSE)</f>
        <v>non-invasive</v>
      </c>
      <c r="M783">
        <f>VLOOKUP($C783, Egli_UPEC_metadata_provided!$A$2:$M$826, 12, FALSE)</f>
        <v>0</v>
      </c>
      <c r="N783">
        <f>VLOOKUP($C783, Egli_UPEC_metadata_provided!$A$2:$M$826, 13, FALSE)</f>
        <v>0</v>
      </c>
      <c r="O783">
        <f>VLOOKUP($C783, Egli_UPEC_metadata_provided!$A$2:$N$826, 14, FALSE)</f>
        <v>0</v>
      </c>
    </row>
    <row r="784" spans="1:15" x14ac:dyDescent="0.2">
      <c r="A784" t="s">
        <v>338</v>
      </c>
      <c r="B784" t="s">
        <v>3572</v>
      </c>
      <c r="C784" t="s">
        <v>3572</v>
      </c>
      <c r="D784">
        <f>VLOOKUP($C784, Egli_UPEC_metadata_provided!$A$2:$M$826, 3, FALSE)</f>
        <v>2020</v>
      </c>
      <c r="E784" t="str">
        <f>VLOOKUP($C784, Egli_UPEC_metadata_provided!$A$2:$M$826, 4, FALSE)</f>
        <v>B2-2</v>
      </c>
      <c r="F784" t="str">
        <f>VLOOKUP($C784, Egli_UPEC_metadata_provided!$A$2:$M$826, 5, FALSE)</f>
        <v>w</v>
      </c>
      <c r="G784">
        <f>VLOOKUP($C784, Egli_UPEC_metadata_provided!$A$2:$M$826, 6, FALSE)</f>
        <v>0</v>
      </c>
      <c r="H784">
        <f>VLOOKUP($C784, Egli_UPEC_metadata_provided!$A$2:$M$826, 7, FALSE)</f>
        <v>3</v>
      </c>
      <c r="I784">
        <f>VLOOKUP($C784, Egli_UPEC_metadata_provided!$A$2:$M$826, 8, FALSE)</f>
        <v>78.1271360218729</v>
      </c>
      <c r="J784" t="b">
        <f>VLOOKUP($C784, Egli_UPEC_metadata_provided!$A$2:$M$826, 9, FALSE)</f>
        <v>0</v>
      </c>
      <c r="K784">
        <f>VLOOKUP($C784, Egli_UPEC_metadata_provided!$A$2:$M$826, 10, FALSE)</f>
        <v>0</v>
      </c>
      <c r="L784" t="str">
        <f>VLOOKUP($C784, Egli_UPEC_metadata_provided!$A$2:$M$826, 11, FALSE)</f>
        <v>non-invasive</v>
      </c>
      <c r="M784">
        <f>VLOOKUP($C784, Egli_UPEC_metadata_provided!$A$2:$M$826, 12, FALSE)</f>
        <v>0</v>
      </c>
      <c r="N784">
        <f>VLOOKUP($C784, Egli_UPEC_metadata_provided!$A$2:$M$826, 13, FALSE)</f>
        <v>0</v>
      </c>
      <c r="O784">
        <f>VLOOKUP($C784, Egli_UPEC_metadata_provided!$A$2:$N$826, 14, FALSE)</f>
        <v>0</v>
      </c>
    </row>
    <row r="785" spans="1:15" x14ac:dyDescent="0.2">
      <c r="A785" t="s">
        <v>339</v>
      </c>
      <c r="B785" t="s">
        <v>3573</v>
      </c>
      <c r="C785" t="s">
        <v>3573</v>
      </c>
      <c r="D785">
        <f>VLOOKUP($C785, Egli_UPEC_metadata_provided!$A$2:$M$826, 3, FALSE)</f>
        <v>2020</v>
      </c>
      <c r="E785" t="str">
        <f>VLOOKUP($C785, Egli_UPEC_metadata_provided!$A$2:$M$826, 4, FALSE)</f>
        <v>B2-2</v>
      </c>
      <c r="F785" t="str">
        <f>VLOOKUP($C785, Egli_UPEC_metadata_provided!$A$2:$M$826, 5, FALSE)</f>
        <v>w</v>
      </c>
      <c r="G785">
        <f>VLOOKUP($C785, Egli_UPEC_metadata_provided!$A$2:$M$826, 6, FALSE)</f>
        <v>0</v>
      </c>
      <c r="H785">
        <f>VLOOKUP($C785, Egli_UPEC_metadata_provided!$A$2:$M$826, 7, FALSE)</f>
        <v>0</v>
      </c>
      <c r="I785">
        <f>VLOOKUP($C785, Egli_UPEC_metadata_provided!$A$2:$M$826, 8, FALSE)</f>
        <v>28.675324675324699</v>
      </c>
      <c r="J785" t="b">
        <f>VLOOKUP($C785, Egli_UPEC_metadata_provided!$A$2:$M$826, 9, FALSE)</f>
        <v>1</v>
      </c>
      <c r="K785">
        <f>VLOOKUP($C785, Egli_UPEC_metadata_provided!$A$2:$M$826, 10, FALSE)</f>
        <v>0</v>
      </c>
      <c r="L785" t="str">
        <f>VLOOKUP($C785, Egli_UPEC_metadata_provided!$A$2:$M$826, 11, FALSE)</f>
        <v>non-invasive</v>
      </c>
      <c r="M785">
        <f>VLOOKUP($C785, Egli_UPEC_metadata_provided!$A$2:$M$826, 12, FALSE)</f>
        <v>1</v>
      </c>
      <c r="N785">
        <f>VLOOKUP($C785, Egli_UPEC_metadata_provided!$A$2:$M$826, 13, FALSE)</f>
        <v>0</v>
      </c>
      <c r="O785">
        <f>VLOOKUP($C785, Egli_UPEC_metadata_provided!$A$2:$N$826, 14, FALSE)</f>
        <v>0</v>
      </c>
    </row>
    <row r="786" spans="1:15" x14ac:dyDescent="0.2">
      <c r="A786" t="s">
        <v>340</v>
      </c>
      <c r="B786" t="s">
        <v>3574</v>
      </c>
      <c r="C786" t="s">
        <v>3574</v>
      </c>
      <c r="D786">
        <f>VLOOKUP($C786, Egli_UPEC_metadata_provided!$A$2:$M$826, 3, FALSE)</f>
        <v>2020</v>
      </c>
      <c r="E786" t="str">
        <f>VLOOKUP($C786, Egli_UPEC_metadata_provided!$A$2:$M$826, 4, FALSE)</f>
        <v>B2-2</v>
      </c>
      <c r="F786" t="str">
        <f>VLOOKUP($C786, Egli_UPEC_metadata_provided!$A$2:$M$826, 5, FALSE)</f>
        <v>w</v>
      </c>
      <c r="G786">
        <f>VLOOKUP($C786, Egli_UPEC_metadata_provided!$A$2:$M$826, 6, FALSE)</f>
        <v>0</v>
      </c>
      <c r="H786">
        <f>VLOOKUP($C786, Egli_UPEC_metadata_provided!$A$2:$M$826, 7, FALSE)</f>
        <v>3</v>
      </c>
      <c r="I786">
        <f>VLOOKUP($C786, Egli_UPEC_metadata_provided!$A$2:$M$826, 8, FALSE)</f>
        <v>62.728639781271397</v>
      </c>
      <c r="J786" t="b">
        <f>VLOOKUP($C786, Egli_UPEC_metadata_provided!$A$2:$M$826, 9, FALSE)</f>
        <v>0</v>
      </c>
      <c r="K786">
        <f>VLOOKUP($C786, Egli_UPEC_metadata_provided!$A$2:$M$826, 10, FALSE)</f>
        <v>0</v>
      </c>
      <c r="L786" t="str">
        <f>VLOOKUP($C786, Egli_UPEC_metadata_provided!$A$2:$M$826, 11, FALSE)</f>
        <v>non-invasive</v>
      </c>
      <c r="M786">
        <f>VLOOKUP($C786, Egli_UPEC_metadata_provided!$A$2:$M$826, 12, FALSE)</f>
        <v>0</v>
      </c>
      <c r="N786">
        <f>VLOOKUP($C786, Egli_UPEC_metadata_provided!$A$2:$M$826, 13, FALSE)</f>
        <v>0</v>
      </c>
      <c r="O786">
        <f>VLOOKUP($C786, Egli_UPEC_metadata_provided!$A$2:$N$826, 14, FALSE)</f>
        <v>1</v>
      </c>
    </row>
    <row r="787" spans="1:15" x14ac:dyDescent="0.2">
      <c r="A787" t="s">
        <v>341</v>
      </c>
      <c r="B787" t="s">
        <v>3575</v>
      </c>
      <c r="C787" t="s">
        <v>3575</v>
      </c>
      <c r="D787">
        <f>VLOOKUP($C787, Egli_UPEC_metadata_provided!$A$2:$M$826, 3, FALSE)</f>
        <v>2020</v>
      </c>
      <c r="E787" t="str">
        <f>VLOOKUP($C787, Egli_UPEC_metadata_provided!$A$2:$M$826, 4, FALSE)</f>
        <v>B2-2</v>
      </c>
      <c r="F787" t="str">
        <f>VLOOKUP($C787, Egli_UPEC_metadata_provided!$A$2:$M$826, 5, FALSE)</f>
        <v>m</v>
      </c>
      <c r="G787">
        <f>VLOOKUP($C787, Egli_UPEC_metadata_provided!$A$2:$M$826, 6, FALSE)</f>
        <v>0</v>
      </c>
      <c r="H787">
        <f>VLOOKUP($C787, Egli_UPEC_metadata_provided!$A$2:$M$826, 7, FALSE)</f>
        <v>1</v>
      </c>
      <c r="I787">
        <f>VLOOKUP($C787, Egli_UPEC_metadata_provided!$A$2:$M$826, 8, FALSE)</f>
        <v>55.548872180451099</v>
      </c>
      <c r="J787" t="b">
        <f>VLOOKUP($C787, Egli_UPEC_metadata_provided!$A$2:$M$826, 9, FALSE)</f>
        <v>0</v>
      </c>
      <c r="K787">
        <f>VLOOKUP($C787, Egli_UPEC_metadata_provided!$A$2:$M$826, 10, FALSE)</f>
        <v>0</v>
      </c>
      <c r="L787" t="str">
        <f>VLOOKUP($C787, Egli_UPEC_metadata_provided!$A$2:$M$826, 11, FALSE)</f>
        <v>non-invasive</v>
      </c>
      <c r="M787">
        <f>VLOOKUP($C787, Egli_UPEC_metadata_provided!$A$2:$M$826, 12, FALSE)</f>
        <v>1</v>
      </c>
      <c r="N787">
        <f>VLOOKUP($C787, Egli_UPEC_metadata_provided!$A$2:$M$826, 13, FALSE)</f>
        <v>0</v>
      </c>
      <c r="O787">
        <f>VLOOKUP($C787, Egli_UPEC_metadata_provided!$A$2:$N$826, 14, FALSE)</f>
        <v>1</v>
      </c>
    </row>
    <row r="788" spans="1:15" x14ac:dyDescent="0.2">
      <c r="A788" t="s">
        <v>342</v>
      </c>
      <c r="B788" t="s">
        <v>3576</v>
      </c>
      <c r="C788" t="s">
        <v>3576</v>
      </c>
      <c r="D788">
        <f>VLOOKUP($C788, Egli_UPEC_metadata_provided!$A$2:$M$826, 3, FALSE)</f>
        <v>2020</v>
      </c>
      <c r="E788" t="str">
        <f>VLOOKUP($C788, Egli_UPEC_metadata_provided!$A$2:$M$826, 4, FALSE)</f>
        <v>B2-2</v>
      </c>
      <c r="F788" t="str">
        <f>VLOOKUP($C788, Egli_UPEC_metadata_provided!$A$2:$M$826, 5, FALSE)</f>
        <v>m</v>
      </c>
      <c r="G788">
        <f>VLOOKUP($C788, Egli_UPEC_metadata_provided!$A$2:$M$826, 6, FALSE)</f>
        <v>1</v>
      </c>
      <c r="H788">
        <f>VLOOKUP($C788, Egli_UPEC_metadata_provided!$A$2:$M$826, 7, FALSE)</f>
        <v>6</v>
      </c>
      <c r="I788">
        <f>VLOOKUP($C788, Egli_UPEC_metadata_provided!$A$2:$M$826, 8, FALSE)</f>
        <v>59.354750512645197</v>
      </c>
      <c r="J788" t="b">
        <f>VLOOKUP($C788, Egli_UPEC_metadata_provided!$A$2:$M$826, 9, FALSE)</f>
        <v>0</v>
      </c>
      <c r="K788">
        <f>VLOOKUP($C788, Egli_UPEC_metadata_provided!$A$2:$M$826, 10, FALSE)</f>
        <v>0</v>
      </c>
      <c r="L788" t="str">
        <f>VLOOKUP($C788, Egli_UPEC_metadata_provided!$A$2:$M$826, 11, FALSE)</f>
        <v>non-invasive</v>
      </c>
      <c r="M788">
        <f>VLOOKUP($C788, Egli_UPEC_metadata_provided!$A$2:$M$826, 12, FALSE)</f>
        <v>0</v>
      </c>
      <c r="N788">
        <f>VLOOKUP($C788, Egli_UPEC_metadata_provided!$A$2:$M$826, 13, FALSE)</f>
        <v>0</v>
      </c>
      <c r="O788">
        <f>VLOOKUP($C788, Egli_UPEC_metadata_provided!$A$2:$N$826, 14, FALSE)</f>
        <v>0</v>
      </c>
    </row>
    <row r="789" spans="1:15" x14ac:dyDescent="0.2">
      <c r="A789" t="s">
        <v>343</v>
      </c>
      <c r="B789" t="s">
        <v>3577</v>
      </c>
      <c r="C789" t="s">
        <v>3577</v>
      </c>
      <c r="D789">
        <f>VLOOKUP($C789, Egli_UPEC_metadata_provided!$A$2:$M$826, 3, FALSE)</f>
        <v>2020</v>
      </c>
      <c r="E789" t="str">
        <f>VLOOKUP($C789, Egli_UPEC_metadata_provided!$A$2:$M$826, 4, FALSE)</f>
        <v>B2-2</v>
      </c>
      <c r="F789" t="str">
        <f>VLOOKUP($C789, Egli_UPEC_metadata_provided!$A$2:$M$826, 5, FALSE)</f>
        <v>w</v>
      </c>
      <c r="G789">
        <f>VLOOKUP($C789, Egli_UPEC_metadata_provided!$A$2:$M$826, 6, FALSE)</f>
        <v>0</v>
      </c>
      <c r="H789">
        <f>VLOOKUP($C789, Egli_UPEC_metadata_provided!$A$2:$M$826, 7, FALSE)</f>
        <v>0</v>
      </c>
      <c r="I789">
        <f>VLOOKUP($C789, Egli_UPEC_metadata_provided!$A$2:$M$826, 8, FALSE)</f>
        <v>35.012987012986997</v>
      </c>
      <c r="J789" t="b">
        <f>VLOOKUP($C789, Egli_UPEC_metadata_provided!$A$2:$M$826, 9, FALSE)</f>
        <v>0</v>
      </c>
      <c r="K789">
        <f>VLOOKUP($C789, Egli_UPEC_metadata_provided!$A$2:$M$826, 10, FALSE)</f>
        <v>0</v>
      </c>
      <c r="L789" t="str">
        <f>VLOOKUP($C789, Egli_UPEC_metadata_provided!$A$2:$M$826, 11, FALSE)</f>
        <v>non-invasive</v>
      </c>
      <c r="M789">
        <f>VLOOKUP($C789, Egli_UPEC_metadata_provided!$A$2:$M$826, 12, FALSE)</f>
        <v>0</v>
      </c>
      <c r="N789">
        <f>VLOOKUP($C789, Egli_UPEC_metadata_provided!$A$2:$M$826, 13, FALSE)</f>
        <v>0</v>
      </c>
      <c r="O789">
        <f>VLOOKUP($C789, Egli_UPEC_metadata_provided!$A$2:$N$826, 14, FALSE)</f>
        <v>0</v>
      </c>
    </row>
    <row r="790" spans="1:15" x14ac:dyDescent="0.2">
      <c r="A790" t="s">
        <v>344</v>
      </c>
      <c r="B790" t="s">
        <v>3578</v>
      </c>
      <c r="C790" t="s">
        <v>3578</v>
      </c>
      <c r="D790">
        <f>VLOOKUP($C790, Egli_UPEC_metadata_provided!$A$2:$M$826, 3, FALSE)</f>
        <v>2020</v>
      </c>
      <c r="E790" t="str">
        <f>VLOOKUP($C790, Egli_UPEC_metadata_provided!$A$2:$M$826, 4, FALSE)</f>
        <v>B2-1</v>
      </c>
      <c r="F790" t="str">
        <f>VLOOKUP($C790, Egli_UPEC_metadata_provided!$A$2:$M$826, 5, FALSE)</f>
        <v>w</v>
      </c>
      <c r="G790">
        <f>VLOOKUP($C790, Egli_UPEC_metadata_provided!$A$2:$M$826, 6, FALSE)</f>
        <v>0</v>
      </c>
      <c r="H790">
        <f>VLOOKUP($C790, Egli_UPEC_metadata_provided!$A$2:$M$826, 7, FALSE)</f>
        <v>1</v>
      </c>
      <c r="I790">
        <f>VLOOKUP($C790, Egli_UPEC_metadata_provided!$A$2:$M$826, 8, FALSE)</f>
        <v>87.532467532467507</v>
      </c>
      <c r="J790" t="b">
        <f>VLOOKUP($C790, Egli_UPEC_metadata_provided!$A$2:$M$826, 9, FALSE)</f>
        <v>0</v>
      </c>
      <c r="K790">
        <f>VLOOKUP($C790, Egli_UPEC_metadata_provided!$A$2:$M$826, 10, FALSE)</f>
        <v>0</v>
      </c>
      <c r="L790" t="str">
        <f>VLOOKUP($C790, Egli_UPEC_metadata_provided!$A$2:$M$826, 11, FALSE)</f>
        <v>non-invasive</v>
      </c>
      <c r="M790">
        <f>VLOOKUP($C790, Egli_UPEC_metadata_provided!$A$2:$M$826, 12, FALSE)</f>
        <v>0</v>
      </c>
      <c r="N790">
        <f>VLOOKUP($C790, Egli_UPEC_metadata_provided!$A$2:$M$826, 13, FALSE)</f>
        <v>0</v>
      </c>
      <c r="O790">
        <f>VLOOKUP($C790, Egli_UPEC_metadata_provided!$A$2:$N$826, 14, FALSE)</f>
        <v>0</v>
      </c>
    </row>
    <row r="791" spans="1:15" x14ac:dyDescent="0.2">
      <c r="A791" t="s">
        <v>345</v>
      </c>
      <c r="B791" t="s">
        <v>3579</v>
      </c>
      <c r="C791" t="s">
        <v>3579</v>
      </c>
      <c r="D791">
        <f>VLOOKUP($C791, Egli_UPEC_metadata_provided!$A$2:$M$826, 3, FALSE)</f>
        <v>2020</v>
      </c>
      <c r="E791" t="str">
        <f>VLOOKUP($C791, Egli_UPEC_metadata_provided!$A$2:$M$826, 4, FALSE)</f>
        <v>B1</v>
      </c>
      <c r="F791" t="str">
        <f>VLOOKUP($C791, Egli_UPEC_metadata_provided!$A$2:$M$826, 5, FALSE)</f>
        <v>m</v>
      </c>
      <c r="G791">
        <f>VLOOKUP($C791, Egli_UPEC_metadata_provided!$A$2:$M$826, 6, FALSE)</f>
        <v>0</v>
      </c>
      <c r="H791">
        <f>VLOOKUP($C791, Egli_UPEC_metadata_provided!$A$2:$M$826, 7, FALSE)</f>
        <v>3</v>
      </c>
      <c r="I791">
        <f>VLOOKUP($C791, Egli_UPEC_metadata_provided!$A$2:$M$826, 8, FALSE)</f>
        <v>77.963089542036897</v>
      </c>
      <c r="J791" t="b">
        <f>VLOOKUP($C791, Egli_UPEC_metadata_provided!$A$2:$M$826, 9, FALSE)</f>
        <v>0</v>
      </c>
      <c r="K791">
        <f>VLOOKUP($C791, Egli_UPEC_metadata_provided!$A$2:$M$826, 10, FALSE)</f>
        <v>0</v>
      </c>
      <c r="L791" t="str">
        <f>VLOOKUP($C791, Egli_UPEC_metadata_provided!$A$2:$M$826, 11, FALSE)</f>
        <v>non-invasive</v>
      </c>
      <c r="M791">
        <f>VLOOKUP($C791, Egli_UPEC_metadata_provided!$A$2:$M$826, 12, FALSE)</f>
        <v>0</v>
      </c>
      <c r="N791">
        <f>VLOOKUP($C791, Egli_UPEC_metadata_provided!$A$2:$M$826, 13, FALSE)</f>
        <v>0</v>
      </c>
      <c r="O791">
        <f>VLOOKUP($C791, Egli_UPEC_metadata_provided!$A$2:$N$826, 14, FALSE)</f>
        <v>1</v>
      </c>
    </row>
    <row r="792" spans="1:15" x14ac:dyDescent="0.2">
      <c r="A792" t="s">
        <v>346</v>
      </c>
      <c r="B792" t="s">
        <v>3580</v>
      </c>
      <c r="C792" t="s">
        <v>3580</v>
      </c>
      <c r="D792">
        <f>VLOOKUP($C792, Egli_UPEC_metadata_provided!$A$2:$M$826, 3, FALSE)</f>
        <v>2020</v>
      </c>
      <c r="E792" t="str">
        <f>VLOOKUP($C792, Egli_UPEC_metadata_provided!$A$2:$M$826, 4, FALSE)</f>
        <v>D1</v>
      </c>
      <c r="F792" t="str">
        <f>VLOOKUP($C792, Egli_UPEC_metadata_provided!$A$2:$M$826, 5, FALSE)</f>
        <v>w</v>
      </c>
      <c r="G792">
        <f>VLOOKUP($C792, Egli_UPEC_metadata_provided!$A$2:$M$826, 6, FALSE)</f>
        <v>0</v>
      </c>
      <c r="H792">
        <f>VLOOKUP($C792, Egli_UPEC_metadata_provided!$A$2:$M$826, 7, FALSE)</f>
        <v>6</v>
      </c>
      <c r="I792">
        <f>VLOOKUP($C792, Egli_UPEC_metadata_provided!$A$2:$M$826, 8, FALSE)</f>
        <v>83.4887218045113</v>
      </c>
      <c r="J792" t="b">
        <f>VLOOKUP($C792, Egli_UPEC_metadata_provided!$A$2:$M$826, 9, FALSE)</f>
        <v>0</v>
      </c>
      <c r="K792">
        <f>VLOOKUP($C792, Egli_UPEC_metadata_provided!$A$2:$M$826, 10, FALSE)</f>
        <v>0</v>
      </c>
      <c r="L792" t="str">
        <f>VLOOKUP($C792, Egli_UPEC_metadata_provided!$A$2:$M$826, 11, FALSE)</f>
        <v>non-invasive</v>
      </c>
      <c r="M792">
        <f>VLOOKUP($C792, Egli_UPEC_metadata_provided!$A$2:$M$826, 12, FALSE)</f>
        <v>0</v>
      </c>
      <c r="N792">
        <f>VLOOKUP($C792, Egli_UPEC_metadata_provided!$A$2:$M$826, 13, FALSE)</f>
        <v>0</v>
      </c>
      <c r="O792">
        <f>VLOOKUP($C792, Egli_UPEC_metadata_provided!$A$2:$N$826, 14, FALSE)</f>
        <v>0</v>
      </c>
    </row>
    <row r="793" spans="1:15" x14ac:dyDescent="0.2">
      <c r="A793" t="s">
        <v>347</v>
      </c>
      <c r="B793" t="s">
        <v>3581</v>
      </c>
      <c r="C793" t="s">
        <v>3581</v>
      </c>
      <c r="D793">
        <f>VLOOKUP($C793, Egli_UPEC_metadata_provided!$A$2:$M$826, 3, FALSE)</f>
        <v>2020</v>
      </c>
      <c r="E793" t="str">
        <f>VLOOKUP($C793, Egli_UPEC_metadata_provided!$A$2:$M$826, 4, FALSE)</f>
        <v>C</v>
      </c>
      <c r="F793" t="str">
        <f>VLOOKUP($C793, Egli_UPEC_metadata_provided!$A$2:$M$826, 5, FALSE)</f>
        <v>m</v>
      </c>
      <c r="G793">
        <f>VLOOKUP($C793, Egli_UPEC_metadata_provided!$A$2:$M$826, 6, FALSE)</f>
        <v>0</v>
      </c>
      <c r="H793">
        <f>VLOOKUP($C793, Egli_UPEC_metadata_provided!$A$2:$M$826, 7, FALSE)</f>
        <v>0</v>
      </c>
      <c r="I793">
        <f>VLOOKUP($C793, Egli_UPEC_metadata_provided!$A$2:$M$826, 8, FALSE)</f>
        <v>73.501025290499001</v>
      </c>
      <c r="J793" t="b">
        <f>VLOOKUP($C793, Egli_UPEC_metadata_provided!$A$2:$M$826, 9, FALSE)</f>
        <v>0</v>
      </c>
      <c r="K793">
        <f>VLOOKUP($C793, Egli_UPEC_metadata_provided!$A$2:$M$826, 10, FALSE)</f>
        <v>0</v>
      </c>
      <c r="L793" t="str">
        <f>VLOOKUP($C793, Egli_UPEC_metadata_provided!$A$2:$M$826, 11, FALSE)</f>
        <v>non-invasive</v>
      </c>
      <c r="M793">
        <f>VLOOKUP($C793, Egli_UPEC_metadata_provided!$A$2:$M$826, 12, FALSE)</f>
        <v>0</v>
      </c>
      <c r="N793">
        <f>VLOOKUP($C793, Egli_UPEC_metadata_provided!$A$2:$M$826, 13, FALSE)</f>
        <v>0</v>
      </c>
      <c r="O793">
        <f>VLOOKUP($C793, Egli_UPEC_metadata_provided!$A$2:$N$826, 14, FALSE)</f>
        <v>0</v>
      </c>
    </row>
    <row r="794" spans="1:15" x14ac:dyDescent="0.2">
      <c r="A794" t="s">
        <v>348</v>
      </c>
      <c r="B794" t="s">
        <v>3582</v>
      </c>
      <c r="C794" t="s">
        <v>3582</v>
      </c>
      <c r="D794">
        <f>VLOOKUP($C794, Egli_UPEC_metadata_provided!$A$2:$M$826, 3, FALSE)</f>
        <v>2020</v>
      </c>
      <c r="E794" t="str">
        <f>VLOOKUP($C794, Egli_UPEC_metadata_provided!$A$2:$M$826, 4, FALSE)</f>
        <v>B2-2</v>
      </c>
      <c r="F794" t="str">
        <f>VLOOKUP($C794, Egli_UPEC_metadata_provided!$A$2:$M$826, 5, FALSE)</f>
        <v>w</v>
      </c>
      <c r="G794">
        <f>VLOOKUP($C794, Egli_UPEC_metadata_provided!$A$2:$M$826, 6, FALSE)</f>
        <v>0</v>
      </c>
      <c r="H794">
        <f>VLOOKUP($C794, Egli_UPEC_metadata_provided!$A$2:$M$826, 7, FALSE)</f>
        <v>0</v>
      </c>
      <c r="I794">
        <f>VLOOKUP($C794, Egli_UPEC_metadata_provided!$A$2:$M$826, 8, FALSE)</f>
        <v>68.202323991797698</v>
      </c>
      <c r="J794" t="b">
        <f>VLOOKUP($C794, Egli_UPEC_metadata_provided!$A$2:$M$826, 9, FALSE)</f>
        <v>0</v>
      </c>
      <c r="K794">
        <f>VLOOKUP($C794, Egli_UPEC_metadata_provided!$A$2:$M$826, 10, FALSE)</f>
        <v>0</v>
      </c>
      <c r="L794" t="str">
        <f>VLOOKUP($C794, Egli_UPEC_metadata_provided!$A$2:$M$826, 11, FALSE)</f>
        <v>non-invasive</v>
      </c>
      <c r="M794">
        <f>VLOOKUP($C794, Egli_UPEC_metadata_provided!$A$2:$M$826, 12, FALSE)</f>
        <v>0</v>
      </c>
      <c r="N794">
        <f>VLOOKUP($C794, Egli_UPEC_metadata_provided!$A$2:$M$826, 13, FALSE)</f>
        <v>0</v>
      </c>
      <c r="O794">
        <f>VLOOKUP($C794, Egli_UPEC_metadata_provided!$A$2:$N$826, 14, FALSE)</f>
        <v>0</v>
      </c>
    </row>
    <row r="795" spans="1:15" x14ac:dyDescent="0.2">
      <c r="A795" t="s">
        <v>349</v>
      </c>
      <c r="B795" t="s">
        <v>3583</v>
      </c>
      <c r="C795" t="s">
        <v>3583</v>
      </c>
      <c r="D795">
        <f>VLOOKUP($C795, Egli_UPEC_metadata_provided!$A$2:$M$826, 3, FALSE)</f>
        <v>2020</v>
      </c>
      <c r="E795" t="str">
        <f>VLOOKUP($C795, Egli_UPEC_metadata_provided!$A$2:$M$826, 4, FALSE)</f>
        <v>D1</v>
      </c>
      <c r="F795" t="str">
        <f>VLOOKUP($C795, Egli_UPEC_metadata_provided!$A$2:$M$826, 5, FALSE)</f>
        <v>w</v>
      </c>
      <c r="G795">
        <f>VLOOKUP($C795, Egli_UPEC_metadata_provided!$A$2:$M$826, 6, FALSE)</f>
        <v>0</v>
      </c>
      <c r="H795">
        <f>VLOOKUP($C795, Egli_UPEC_metadata_provided!$A$2:$M$826, 7, FALSE)</f>
        <v>0</v>
      </c>
      <c r="I795">
        <f>VLOOKUP($C795, Egli_UPEC_metadata_provided!$A$2:$M$826, 8, FALSE)</f>
        <v>37.233082706766901</v>
      </c>
      <c r="J795" t="b">
        <f>VLOOKUP($C795, Egli_UPEC_metadata_provided!$A$2:$M$826, 9, FALSE)</f>
        <v>1</v>
      </c>
      <c r="K795">
        <f>VLOOKUP($C795, Egli_UPEC_metadata_provided!$A$2:$M$826, 10, FALSE)</f>
        <v>0</v>
      </c>
      <c r="L795" t="str">
        <f>VLOOKUP($C795, Egli_UPEC_metadata_provided!$A$2:$M$826, 11, FALSE)</f>
        <v>non-invasive</v>
      </c>
      <c r="M795">
        <f>VLOOKUP($C795, Egli_UPEC_metadata_provided!$A$2:$M$826, 12, FALSE)</f>
        <v>0</v>
      </c>
      <c r="N795">
        <f>VLOOKUP($C795, Egli_UPEC_metadata_provided!$A$2:$M$826, 13, FALSE)</f>
        <v>0</v>
      </c>
      <c r="O795">
        <f>VLOOKUP($C795, Egli_UPEC_metadata_provided!$A$2:$N$826, 14, FALSE)</f>
        <v>1</v>
      </c>
    </row>
    <row r="796" spans="1:15" x14ac:dyDescent="0.2">
      <c r="A796" t="s">
        <v>350</v>
      </c>
      <c r="B796" t="s">
        <v>3584</v>
      </c>
      <c r="C796" t="s">
        <v>3584</v>
      </c>
      <c r="D796">
        <f>VLOOKUP($C796, Egli_UPEC_metadata_provided!$A$2:$M$826, 3, FALSE)</f>
        <v>2020</v>
      </c>
      <c r="E796" t="str">
        <f>VLOOKUP($C796, Egli_UPEC_metadata_provided!$A$2:$M$826, 4, FALSE)</f>
        <v>B2-1</v>
      </c>
      <c r="F796" t="str">
        <f>VLOOKUP($C796, Egli_UPEC_metadata_provided!$A$2:$M$826, 5, FALSE)</f>
        <v>w</v>
      </c>
      <c r="G796">
        <f>VLOOKUP($C796, Egli_UPEC_metadata_provided!$A$2:$M$826, 6, FALSE)</f>
        <v>0</v>
      </c>
      <c r="H796">
        <f>VLOOKUP($C796, Egli_UPEC_metadata_provided!$A$2:$M$826, 7, FALSE)</f>
        <v>1</v>
      </c>
      <c r="I796">
        <f>VLOOKUP($C796, Egli_UPEC_metadata_provided!$A$2:$M$826, 8, FALSE)</f>
        <v>81.071770334928203</v>
      </c>
      <c r="J796" t="b">
        <f>VLOOKUP($C796, Egli_UPEC_metadata_provided!$A$2:$M$826, 9, FALSE)</f>
        <v>0</v>
      </c>
      <c r="K796">
        <f>VLOOKUP($C796, Egli_UPEC_metadata_provided!$A$2:$M$826, 10, FALSE)</f>
        <v>0</v>
      </c>
      <c r="L796" t="str">
        <f>VLOOKUP($C796, Egli_UPEC_metadata_provided!$A$2:$M$826, 11, FALSE)</f>
        <v>non-invasive</v>
      </c>
      <c r="M796">
        <f>VLOOKUP($C796, Egli_UPEC_metadata_provided!$A$2:$M$826, 12, FALSE)</f>
        <v>0</v>
      </c>
      <c r="N796">
        <f>VLOOKUP($C796, Egli_UPEC_metadata_provided!$A$2:$M$826, 13, FALSE)</f>
        <v>0</v>
      </c>
      <c r="O796">
        <f>VLOOKUP($C796, Egli_UPEC_metadata_provided!$A$2:$N$826, 14, FALSE)</f>
        <v>0</v>
      </c>
    </row>
    <row r="797" spans="1:15" x14ac:dyDescent="0.2">
      <c r="A797" t="s">
        <v>351</v>
      </c>
      <c r="B797" t="s">
        <v>3585</v>
      </c>
      <c r="C797" t="s">
        <v>3585</v>
      </c>
      <c r="D797">
        <f>VLOOKUP($C797, Egli_UPEC_metadata_provided!$A$2:$M$826, 3, FALSE)</f>
        <v>2020</v>
      </c>
      <c r="E797" t="str">
        <f>VLOOKUP($C797, Egli_UPEC_metadata_provided!$A$2:$M$826, 4, FALSE)</f>
        <v>B2-2</v>
      </c>
      <c r="F797" t="str">
        <f>VLOOKUP($C797, Egli_UPEC_metadata_provided!$A$2:$M$826, 5, FALSE)</f>
        <v>w</v>
      </c>
      <c r="G797">
        <f>VLOOKUP($C797, Egli_UPEC_metadata_provided!$A$2:$M$826, 6, FALSE)</f>
        <v>0</v>
      </c>
      <c r="H797">
        <f>VLOOKUP($C797, Egli_UPEC_metadata_provided!$A$2:$M$826, 7, FALSE)</f>
        <v>6</v>
      </c>
      <c r="I797">
        <f>VLOOKUP($C797, Egli_UPEC_metadata_provided!$A$2:$M$826, 8, FALSE)</f>
        <v>82.165413533834595</v>
      </c>
      <c r="J797" t="b">
        <f>VLOOKUP($C797, Egli_UPEC_metadata_provided!$A$2:$M$826, 9, FALSE)</f>
        <v>0</v>
      </c>
      <c r="K797">
        <f>VLOOKUP($C797, Egli_UPEC_metadata_provided!$A$2:$M$826, 10, FALSE)</f>
        <v>0</v>
      </c>
      <c r="L797" t="str">
        <f>VLOOKUP($C797, Egli_UPEC_metadata_provided!$A$2:$M$826, 11, FALSE)</f>
        <v>non-invasive</v>
      </c>
      <c r="M797">
        <f>VLOOKUP($C797, Egli_UPEC_metadata_provided!$A$2:$M$826, 12, FALSE)</f>
        <v>0</v>
      </c>
      <c r="N797">
        <f>VLOOKUP($C797, Egli_UPEC_metadata_provided!$A$2:$M$826, 13, FALSE)</f>
        <v>0</v>
      </c>
      <c r="O797">
        <f>VLOOKUP($C797, Egli_UPEC_metadata_provided!$A$2:$N$826, 14, FALSE)</f>
        <v>0</v>
      </c>
    </row>
    <row r="798" spans="1:15" x14ac:dyDescent="0.2">
      <c r="A798" t="s">
        <v>352</v>
      </c>
      <c r="B798" t="s">
        <v>3586</v>
      </c>
      <c r="C798" t="s">
        <v>3586</v>
      </c>
      <c r="D798">
        <f>VLOOKUP($C798, Egli_UPEC_metadata_provided!$A$2:$M$826, 3, FALSE)</f>
        <v>2020</v>
      </c>
      <c r="E798" t="str">
        <f>VLOOKUP($C798, Egli_UPEC_metadata_provided!$A$2:$M$826, 4, FALSE)</f>
        <v>B2-1</v>
      </c>
      <c r="F798" t="str">
        <f>VLOOKUP($C798, Egli_UPEC_metadata_provided!$A$2:$M$826, 5, FALSE)</f>
        <v>w</v>
      </c>
      <c r="G798">
        <f>VLOOKUP($C798, Egli_UPEC_metadata_provided!$A$2:$M$826, 6, FALSE)</f>
        <v>0</v>
      </c>
      <c r="H798">
        <f>VLOOKUP($C798, Egli_UPEC_metadata_provided!$A$2:$M$826, 7, FALSE)</f>
        <v>0</v>
      </c>
      <c r="I798">
        <f>VLOOKUP($C798, Egli_UPEC_metadata_provided!$A$2:$M$826, 8, FALSE)</f>
        <v>91.762132604237905</v>
      </c>
      <c r="J798" t="b">
        <f>VLOOKUP($C798, Egli_UPEC_metadata_provided!$A$2:$M$826, 9, FALSE)</f>
        <v>0</v>
      </c>
      <c r="K798">
        <f>VLOOKUP($C798, Egli_UPEC_metadata_provided!$A$2:$M$826, 10, FALSE)</f>
        <v>0</v>
      </c>
      <c r="L798" t="str">
        <f>VLOOKUP($C798, Egli_UPEC_metadata_provided!$A$2:$M$826, 11, FALSE)</f>
        <v>non-invasive</v>
      </c>
      <c r="M798">
        <f>VLOOKUP($C798, Egli_UPEC_metadata_provided!$A$2:$M$826, 12, FALSE)</f>
        <v>0</v>
      </c>
      <c r="N798">
        <f>VLOOKUP($C798, Egli_UPEC_metadata_provided!$A$2:$M$826, 13, FALSE)</f>
        <v>0</v>
      </c>
      <c r="O798">
        <f>VLOOKUP($C798, Egli_UPEC_metadata_provided!$A$2:$N$826, 14, FALSE)</f>
        <v>0</v>
      </c>
    </row>
    <row r="799" spans="1:15" x14ac:dyDescent="0.2">
      <c r="A799" t="s">
        <v>353</v>
      </c>
      <c r="B799" t="s">
        <v>3587</v>
      </c>
      <c r="C799" t="s">
        <v>3587</v>
      </c>
      <c r="D799">
        <f>VLOOKUP($C799, Egli_UPEC_metadata_provided!$A$2:$M$826, 3, FALSE)</f>
        <v>2020</v>
      </c>
      <c r="E799" t="str">
        <f>VLOOKUP($C799, Egli_UPEC_metadata_provided!$A$2:$M$826, 4, FALSE)</f>
        <v>B2-1</v>
      </c>
      <c r="F799" t="str">
        <f>VLOOKUP($C799, Egli_UPEC_metadata_provided!$A$2:$M$826, 5, FALSE)</f>
        <v>m</v>
      </c>
      <c r="G799">
        <f>VLOOKUP($C799, Egli_UPEC_metadata_provided!$A$2:$M$826, 6, FALSE)</f>
        <v>0</v>
      </c>
      <c r="H799">
        <f>VLOOKUP($C799, Egli_UPEC_metadata_provided!$A$2:$M$826, 7, FALSE)</f>
        <v>4</v>
      </c>
      <c r="I799">
        <f>VLOOKUP($C799, Egli_UPEC_metadata_provided!$A$2:$M$826, 8, FALSE)</f>
        <v>84.822966507177</v>
      </c>
      <c r="J799" t="b">
        <f>VLOOKUP($C799, Egli_UPEC_metadata_provided!$A$2:$M$826, 9, FALSE)</f>
        <v>1</v>
      </c>
      <c r="K799">
        <f>VLOOKUP($C799, Egli_UPEC_metadata_provided!$A$2:$M$826, 10, FALSE)</f>
        <v>1</v>
      </c>
      <c r="L799" t="str">
        <f>VLOOKUP($C799, Egli_UPEC_metadata_provided!$A$2:$M$826, 11, FALSE)</f>
        <v>invasive</v>
      </c>
      <c r="M799">
        <f>VLOOKUP($C799, Egli_UPEC_metadata_provided!$A$2:$M$826, 12, FALSE)</f>
        <v>0</v>
      </c>
      <c r="N799">
        <f>VLOOKUP($C799, Egli_UPEC_metadata_provided!$A$2:$M$826, 13, FALSE)</f>
        <v>0</v>
      </c>
      <c r="O799">
        <f>VLOOKUP($C799, Egli_UPEC_metadata_provided!$A$2:$N$826, 14, FALSE)</f>
        <v>0</v>
      </c>
    </row>
    <row r="800" spans="1:15" x14ac:dyDescent="0.2">
      <c r="A800" t="s">
        <v>354</v>
      </c>
      <c r="B800" t="s">
        <v>3588</v>
      </c>
      <c r="C800" t="s">
        <v>3588</v>
      </c>
      <c r="D800">
        <f>VLOOKUP($C800, Egli_UPEC_metadata_provided!$A$2:$M$826, 3, FALSE)</f>
        <v>2020</v>
      </c>
      <c r="E800" t="str">
        <f>VLOOKUP($C800, Egli_UPEC_metadata_provided!$A$2:$M$826, 4, FALSE)</f>
        <v>B2-2</v>
      </c>
      <c r="F800" t="str">
        <f>VLOOKUP($C800, Egli_UPEC_metadata_provided!$A$2:$M$826, 5, FALSE)</f>
        <v>w</v>
      </c>
      <c r="G800">
        <f>VLOOKUP($C800, Egli_UPEC_metadata_provided!$A$2:$M$826, 6, FALSE)</f>
        <v>0</v>
      </c>
      <c r="H800">
        <f>VLOOKUP($C800, Egli_UPEC_metadata_provided!$A$2:$M$826, 7, FALSE)</f>
        <v>2</v>
      </c>
      <c r="I800">
        <f>VLOOKUP($C800, Egli_UPEC_metadata_provided!$A$2:$M$826, 8, FALSE)</f>
        <v>81.413533834586502</v>
      </c>
      <c r="J800" t="b">
        <f>VLOOKUP($C800, Egli_UPEC_metadata_provided!$A$2:$M$826, 9, FALSE)</f>
        <v>0</v>
      </c>
      <c r="K800">
        <f>VLOOKUP($C800, Egli_UPEC_metadata_provided!$A$2:$M$826, 10, FALSE)</f>
        <v>0</v>
      </c>
      <c r="L800" t="str">
        <f>VLOOKUP($C800, Egli_UPEC_metadata_provided!$A$2:$M$826, 11, FALSE)</f>
        <v>non-invasive</v>
      </c>
      <c r="M800">
        <f>VLOOKUP($C800, Egli_UPEC_metadata_provided!$A$2:$M$826, 12, FALSE)</f>
        <v>0</v>
      </c>
      <c r="N800">
        <f>VLOOKUP($C800, Egli_UPEC_metadata_provided!$A$2:$M$826, 13, FALSE)</f>
        <v>0</v>
      </c>
      <c r="O800">
        <f>VLOOKUP($C800, Egli_UPEC_metadata_provided!$A$2:$N$826, 14, FALSE)</f>
        <v>0</v>
      </c>
    </row>
    <row r="801" spans="1:15" x14ac:dyDescent="0.2">
      <c r="A801" t="s">
        <v>355</v>
      </c>
      <c r="B801" t="s">
        <v>3589</v>
      </c>
      <c r="C801" t="s">
        <v>3589</v>
      </c>
      <c r="D801">
        <f>VLOOKUP($C801, Egli_UPEC_metadata_provided!$A$2:$M$826, 3, FALSE)</f>
        <v>2020</v>
      </c>
      <c r="E801" t="str">
        <f>VLOOKUP($C801, Egli_UPEC_metadata_provided!$A$2:$M$826, 4, FALSE)</f>
        <v>B2-2</v>
      </c>
      <c r="F801" t="str">
        <f>VLOOKUP($C801, Egli_UPEC_metadata_provided!$A$2:$M$826, 5, FALSE)</f>
        <v>w</v>
      </c>
      <c r="G801">
        <f>VLOOKUP($C801, Egli_UPEC_metadata_provided!$A$2:$M$826, 6, FALSE)</f>
        <v>0</v>
      </c>
      <c r="H801">
        <f>VLOOKUP($C801, Egli_UPEC_metadata_provided!$A$2:$M$826, 7, FALSE)</f>
        <v>1</v>
      </c>
      <c r="I801">
        <f>VLOOKUP($C801, Egli_UPEC_metadata_provided!$A$2:$M$826, 8, FALSE)</f>
        <v>80.921394395078593</v>
      </c>
      <c r="J801" t="b">
        <f>VLOOKUP($C801, Egli_UPEC_metadata_provided!$A$2:$M$826, 9, FALSE)</f>
        <v>0</v>
      </c>
      <c r="K801">
        <f>VLOOKUP($C801, Egli_UPEC_metadata_provided!$A$2:$M$826, 10, FALSE)</f>
        <v>0</v>
      </c>
      <c r="L801" t="str">
        <f>VLOOKUP($C801, Egli_UPEC_metadata_provided!$A$2:$M$826, 11, FALSE)</f>
        <v>non-invasive</v>
      </c>
      <c r="M801">
        <f>VLOOKUP($C801, Egli_UPEC_metadata_provided!$A$2:$M$826, 12, FALSE)</f>
        <v>0</v>
      </c>
      <c r="N801">
        <f>VLOOKUP($C801, Egli_UPEC_metadata_provided!$A$2:$M$826, 13, FALSE)</f>
        <v>0</v>
      </c>
      <c r="O801">
        <f>VLOOKUP($C801, Egli_UPEC_metadata_provided!$A$2:$N$826, 14, FALSE)</f>
        <v>1</v>
      </c>
    </row>
    <row r="802" spans="1:15" x14ac:dyDescent="0.2">
      <c r="A802" t="s">
        <v>356</v>
      </c>
      <c r="B802" t="s">
        <v>3590</v>
      </c>
      <c r="C802" t="s">
        <v>3590</v>
      </c>
      <c r="D802">
        <f>VLOOKUP($C802, Egli_UPEC_metadata_provided!$A$2:$M$826, 3, FALSE)</f>
        <v>2020</v>
      </c>
      <c r="E802" t="str">
        <f>VLOOKUP($C802, Egli_UPEC_metadata_provided!$A$2:$M$826, 4, FALSE)</f>
        <v>B1</v>
      </c>
      <c r="F802" t="str">
        <f>VLOOKUP($C802, Egli_UPEC_metadata_provided!$A$2:$M$826, 5, FALSE)</f>
        <v>w</v>
      </c>
      <c r="G802">
        <f>VLOOKUP($C802, Egli_UPEC_metadata_provided!$A$2:$M$826, 6, FALSE)</f>
        <v>0</v>
      </c>
      <c r="H802">
        <f>VLOOKUP($C802, Egli_UPEC_metadata_provided!$A$2:$M$826, 7, FALSE)</f>
        <v>1</v>
      </c>
      <c r="I802">
        <f>VLOOKUP($C802, Egli_UPEC_metadata_provided!$A$2:$M$826, 8, FALSE)</f>
        <v>94.058783321941206</v>
      </c>
      <c r="J802" t="b">
        <f>VLOOKUP($C802, Egli_UPEC_metadata_provided!$A$2:$M$826, 9, FALSE)</f>
        <v>0</v>
      </c>
      <c r="K802">
        <f>VLOOKUP($C802, Egli_UPEC_metadata_provided!$A$2:$M$826, 10, FALSE)</f>
        <v>0</v>
      </c>
      <c r="L802" t="str">
        <f>VLOOKUP($C802, Egli_UPEC_metadata_provided!$A$2:$M$826, 11, FALSE)</f>
        <v>non-invasive</v>
      </c>
      <c r="M802">
        <f>VLOOKUP($C802, Egli_UPEC_metadata_provided!$A$2:$M$826, 12, FALSE)</f>
        <v>0</v>
      </c>
      <c r="N802">
        <f>VLOOKUP($C802, Egli_UPEC_metadata_provided!$A$2:$M$826, 13, FALSE)</f>
        <v>0</v>
      </c>
      <c r="O802">
        <f>VLOOKUP($C802, Egli_UPEC_metadata_provided!$A$2:$N$826, 14, FALSE)</f>
        <v>0</v>
      </c>
    </row>
    <row r="803" spans="1:15" x14ac:dyDescent="0.2">
      <c r="A803" t="s">
        <v>357</v>
      </c>
      <c r="B803" t="s">
        <v>3591</v>
      </c>
      <c r="C803" t="s">
        <v>3591</v>
      </c>
      <c r="D803">
        <f>VLOOKUP($C803, Egli_UPEC_metadata_provided!$A$2:$M$826, 3, FALSE)</f>
        <v>2020</v>
      </c>
      <c r="E803" t="str">
        <f>VLOOKUP($C803, Egli_UPEC_metadata_provided!$A$2:$M$826, 4, FALSE)</f>
        <v>B2-2</v>
      </c>
      <c r="F803" t="str">
        <f>VLOOKUP($C803, Egli_UPEC_metadata_provided!$A$2:$M$826, 5, FALSE)</f>
        <v>w</v>
      </c>
      <c r="G803">
        <f>VLOOKUP($C803, Egli_UPEC_metadata_provided!$A$2:$M$826, 6, FALSE)</f>
        <v>0</v>
      </c>
      <c r="H803">
        <f>VLOOKUP($C803, Egli_UPEC_metadata_provided!$A$2:$M$826, 7, FALSE)</f>
        <v>0</v>
      </c>
      <c r="I803">
        <f>VLOOKUP($C803, Egli_UPEC_metadata_provided!$A$2:$M$826, 8, FALSE)</f>
        <v>70.277511961722496</v>
      </c>
      <c r="J803" t="b">
        <f>VLOOKUP($C803, Egli_UPEC_metadata_provided!$A$2:$M$826, 9, FALSE)</f>
        <v>0</v>
      </c>
      <c r="K803">
        <f>VLOOKUP($C803, Egli_UPEC_metadata_provided!$A$2:$M$826, 10, FALSE)</f>
        <v>0</v>
      </c>
      <c r="L803" t="str">
        <f>VLOOKUP($C803, Egli_UPEC_metadata_provided!$A$2:$M$826, 11, FALSE)</f>
        <v>non-invasive</v>
      </c>
      <c r="M803">
        <f>VLOOKUP($C803, Egli_UPEC_metadata_provided!$A$2:$M$826, 12, FALSE)</f>
        <v>1</v>
      </c>
      <c r="N803">
        <f>VLOOKUP($C803, Egli_UPEC_metadata_provided!$A$2:$M$826, 13, FALSE)</f>
        <v>0</v>
      </c>
      <c r="O803">
        <f>VLOOKUP($C803, Egli_UPEC_metadata_provided!$A$2:$N$826, 14, FALSE)</f>
        <v>1</v>
      </c>
    </row>
    <row r="804" spans="1:15" x14ac:dyDescent="0.2">
      <c r="A804" t="s">
        <v>358</v>
      </c>
      <c r="B804" t="s">
        <v>3592</v>
      </c>
      <c r="C804" t="s">
        <v>3592</v>
      </c>
      <c r="D804">
        <f>VLOOKUP($C804, Egli_UPEC_metadata_provided!$A$2:$M$826, 3, FALSE)</f>
        <v>2020</v>
      </c>
      <c r="E804" t="str">
        <f>VLOOKUP($C804, Egli_UPEC_metadata_provided!$A$2:$M$826, 4, FALSE)</f>
        <v>D2</v>
      </c>
      <c r="F804" t="str">
        <f>VLOOKUP($C804, Egli_UPEC_metadata_provided!$A$2:$M$826, 5, FALSE)</f>
        <v>m</v>
      </c>
      <c r="G804">
        <f>VLOOKUP($C804, Egli_UPEC_metadata_provided!$A$2:$M$826, 6, FALSE)</f>
        <v>0</v>
      </c>
      <c r="H804">
        <f>VLOOKUP($C804, Egli_UPEC_metadata_provided!$A$2:$M$826, 7, FALSE)</f>
        <v>1</v>
      </c>
      <c r="I804">
        <f>VLOOKUP($C804, Egli_UPEC_metadata_provided!$A$2:$M$826, 8, FALSE)</f>
        <v>52.235133287764903</v>
      </c>
      <c r="J804" t="b">
        <f>VLOOKUP($C804, Egli_UPEC_metadata_provided!$A$2:$M$826, 9, FALSE)</f>
        <v>0</v>
      </c>
      <c r="K804">
        <f>VLOOKUP($C804, Egli_UPEC_metadata_provided!$A$2:$M$826, 10, FALSE)</f>
        <v>0</v>
      </c>
      <c r="L804" t="str">
        <f>VLOOKUP($C804, Egli_UPEC_metadata_provided!$A$2:$M$826, 11, FALSE)</f>
        <v>non-invasive</v>
      </c>
      <c r="M804">
        <f>VLOOKUP($C804, Egli_UPEC_metadata_provided!$A$2:$M$826, 12, FALSE)</f>
        <v>0</v>
      </c>
      <c r="N804">
        <f>VLOOKUP($C804, Egli_UPEC_metadata_provided!$A$2:$M$826, 13, FALSE)</f>
        <v>0</v>
      </c>
      <c r="O804">
        <f>VLOOKUP($C804, Egli_UPEC_metadata_provided!$A$2:$N$826, 14, FALSE)</f>
        <v>0</v>
      </c>
    </row>
    <row r="805" spans="1:15" x14ac:dyDescent="0.2">
      <c r="A805" t="s">
        <v>359</v>
      </c>
      <c r="B805" t="s">
        <v>3593</v>
      </c>
      <c r="C805" t="s">
        <v>3593</v>
      </c>
      <c r="D805">
        <f>VLOOKUP($C805, Egli_UPEC_metadata_provided!$A$2:$M$826, 3, FALSE)</f>
        <v>2020</v>
      </c>
      <c r="E805" t="str">
        <f>VLOOKUP($C805, Egli_UPEC_metadata_provided!$A$2:$M$826, 4, FALSE)</f>
        <v>D2</v>
      </c>
      <c r="F805" t="str">
        <f>VLOOKUP($C805, Egli_UPEC_metadata_provided!$A$2:$M$826, 5, FALSE)</f>
        <v>m</v>
      </c>
      <c r="G805">
        <f>VLOOKUP($C805, Egli_UPEC_metadata_provided!$A$2:$M$826, 6, FALSE)</f>
        <v>0</v>
      </c>
      <c r="H805">
        <f>VLOOKUP($C805, Egli_UPEC_metadata_provided!$A$2:$M$826, 7, FALSE)</f>
        <v>2</v>
      </c>
      <c r="I805">
        <f>VLOOKUP($C805, Egli_UPEC_metadata_provided!$A$2:$M$826, 8, FALSE)</f>
        <v>61.752563226247403</v>
      </c>
      <c r="J805" t="b">
        <f>VLOOKUP($C805, Egli_UPEC_metadata_provided!$A$2:$M$826, 9, FALSE)</f>
        <v>0</v>
      </c>
      <c r="K805">
        <f>VLOOKUP($C805, Egli_UPEC_metadata_provided!$A$2:$M$826, 10, FALSE)</f>
        <v>0</v>
      </c>
      <c r="L805" t="str">
        <f>VLOOKUP($C805, Egli_UPEC_metadata_provided!$A$2:$M$826, 11, FALSE)</f>
        <v>non-invasive</v>
      </c>
      <c r="M805">
        <f>VLOOKUP($C805, Egli_UPEC_metadata_provided!$A$2:$M$826, 12, FALSE)</f>
        <v>0</v>
      </c>
      <c r="N805">
        <f>VLOOKUP($C805, Egli_UPEC_metadata_provided!$A$2:$M$826, 13, FALSE)</f>
        <v>0</v>
      </c>
      <c r="O805">
        <f>VLOOKUP($C805, Egli_UPEC_metadata_provided!$A$2:$N$826, 14, FALSE)</f>
        <v>1</v>
      </c>
    </row>
    <row r="806" spans="1:15" x14ac:dyDescent="0.2">
      <c r="A806" t="s">
        <v>360</v>
      </c>
      <c r="B806" t="s">
        <v>3594</v>
      </c>
      <c r="C806" t="s">
        <v>3594</v>
      </c>
      <c r="D806">
        <f>VLOOKUP($C806, Egli_UPEC_metadata_provided!$A$2:$M$826, 3, FALSE)</f>
        <v>2020</v>
      </c>
      <c r="E806" t="str">
        <f>VLOOKUP($C806, Egli_UPEC_metadata_provided!$A$2:$M$826, 4, FALSE)</f>
        <v>B2-2</v>
      </c>
      <c r="F806" t="str">
        <f>VLOOKUP($C806, Egli_UPEC_metadata_provided!$A$2:$M$826, 5, FALSE)</f>
        <v>w</v>
      </c>
      <c r="G806">
        <f>VLOOKUP($C806, Egli_UPEC_metadata_provided!$A$2:$M$826, 6, FALSE)</f>
        <v>1</v>
      </c>
      <c r="H806">
        <f>VLOOKUP($C806, Egli_UPEC_metadata_provided!$A$2:$M$826, 7, FALSE)</f>
        <v>2</v>
      </c>
      <c r="I806">
        <f>VLOOKUP($C806, Egli_UPEC_metadata_provided!$A$2:$M$826, 8, FALSE)</f>
        <v>78.170881749829107</v>
      </c>
      <c r="J806" t="b">
        <f>VLOOKUP($C806, Egli_UPEC_metadata_provided!$A$2:$M$826, 9, FALSE)</f>
        <v>0</v>
      </c>
      <c r="K806">
        <f>VLOOKUP($C806, Egli_UPEC_metadata_provided!$A$2:$M$826, 10, FALSE)</f>
        <v>0</v>
      </c>
      <c r="L806" t="str">
        <f>VLOOKUP($C806, Egli_UPEC_metadata_provided!$A$2:$M$826, 11, FALSE)</f>
        <v>non-invasive</v>
      </c>
      <c r="M806">
        <f>VLOOKUP($C806, Egli_UPEC_metadata_provided!$A$2:$M$826, 12, FALSE)</f>
        <v>0</v>
      </c>
      <c r="N806">
        <f>VLOOKUP($C806, Egli_UPEC_metadata_provided!$A$2:$M$826, 13, FALSE)</f>
        <v>0</v>
      </c>
      <c r="O806">
        <f>VLOOKUP($C806, Egli_UPEC_metadata_provided!$A$2:$N$826, 14, FALSE)</f>
        <v>0</v>
      </c>
    </row>
    <row r="807" spans="1:15" x14ac:dyDescent="0.2">
      <c r="A807" t="s">
        <v>361</v>
      </c>
      <c r="B807" t="s">
        <v>3595</v>
      </c>
      <c r="C807" t="s">
        <v>3595</v>
      </c>
      <c r="D807">
        <f>VLOOKUP($C807, Egli_UPEC_metadata_provided!$A$2:$M$826, 3, FALSE)</f>
        <v>2020</v>
      </c>
      <c r="E807" t="str">
        <f>VLOOKUP($C807, Egli_UPEC_metadata_provided!$A$2:$M$826, 4, FALSE)</f>
        <v>B2-1</v>
      </c>
      <c r="F807" t="str">
        <f>VLOOKUP($C807, Egli_UPEC_metadata_provided!$A$2:$M$826, 5, FALSE)</f>
        <v>m</v>
      </c>
      <c r="G807">
        <f>VLOOKUP($C807, Egli_UPEC_metadata_provided!$A$2:$M$826, 6, FALSE)</f>
        <v>0</v>
      </c>
      <c r="H807">
        <f>VLOOKUP($C807, Egli_UPEC_metadata_provided!$A$2:$M$826, 7, FALSE)</f>
        <v>5</v>
      </c>
      <c r="I807">
        <f>VLOOKUP($C807, Egli_UPEC_metadata_provided!$A$2:$M$826, 8, FALSE)</f>
        <v>72.863978127135994</v>
      </c>
      <c r="J807" t="b">
        <f>VLOOKUP($C807, Egli_UPEC_metadata_provided!$A$2:$M$826, 9, FALSE)</f>
        <v>1</v>
      </c>
      <c r="K807">
        <f>VLOOKUP($C807, Egli_UPEC_metadata_provided!$A$2:$M$826, 10, FALSE)</f>
        <v>1</v>
      </c>
      <c r="L807" t="str">
        <f>VLOOKUP($C807, Egli_UPEC_metadata_provided!$A$2:$M$826, 11, FALSE)</f>
        <v>non-invasive</v>
      </c>
      <c r="M807">
        <f>VLOOKUP($C807, Egli_UPEC_metadata_provided!$A$2:$M$826, 12, FALSE)</f>
        <v>1</v>
      </c>
      <c r="N807">
        <f>VLOOKUP($C807, Egli_UPEC_metadata_provided!$A$2:$M$826, 13, FALSE)</f>
        <v>0</v>
      </c>
      <c r="O807">
        <f>VLOOKUP($C807, Egli_UPEC_metadata_provided!$A$2:$N$826, 14, FALSE)</f>
        <v>0</v>
      </c>
    </row>
    <row r="808" spans="1:15" x14ac:dyDescent="0.2">
      <c r="A808" t="s">
        <v>362</v>
      </c>
      <c r="B808" t="s">
        <v>3596</v>
      </c>
      <c r="C808" t="s">
        <v>3596</v>
      </c>
      <c r="D808">
        <f>VLOOKUP($C808, Egli_UPEC_metadata_provided!$A$2:$M$826, 3, FALSE)</f>
        <v>2020</v>
      </c>
      <c r="E808" t="str">
        <f>VLOOKUP($C808, Egli_UPEC_metadata_provided!$A$2:$M$826, 4, FALSE)</f>
        <v>B2-2</v>
      </c>
      <c r="F808" t="str">
        <f>VLOOKUP($C808, Egli_UPEC_metadata_provided!$A$2:$M$826, 5, FALSE)</f>
        <v>w</v>
      </c>
      <c r="G808">
        <f>VLOOKUP($C808, Egli_UPEC_metadata_provided!$A$2:$M$826, 6, FALSE)</f>
        <v>0</v>
      </c>
      <c r="H808">
        <f>VLOOKUP($C808, Egli_UPEC_metadata_provided!$A$2:$M$826, 7, FALSE)</f>
        <v>1</v>
      </c>
      <c r="I808">
        <f>VLOOKUP($C808, Egli_UPEC_metadata_provided!$A$2:$M$826, 8, FALSE)</f>
        <v>91.8578263841422</v>
      </c>
      <c r="J808" t="b">
        <f>VLOOKUP($C808, Egli_UPEC_metadata_provided!$A$2:$M$826, 9, FALSE)</f>
        <v>0</v>
      </c>
      <c r="K808">
        <f>VLOOKUP($C808, Egli_UPEC_metadata_provided!$A$2:$M$826, 10, FALSE)</f>
        <v>0</v>
      </c>
      <c r="L808" t="str">
        <f>VLOOKUP($C808, Egli_UPEC_metadata_provided!$A$2:$M$826, 11, FALSE)</f>
        <v>non-invasive</v>
      </c>
      <c r="M808">
        <f>VLOOKUP($C808, Egli_UPEC_metadata_provided!$A$2:$M$826, 12, FALSE)</f>
        <v>0</v>
      </c>
      <c r="N808">
        <f>VLOOKUP($C808, Egli_UPEC_metadata_provided!$A$2:$M$826, 13, FALSE)</f>
        <v>0</v>
      </c>
      <c r="O808">
        <f>VLOOKUP($C808, Egli_UPEC_metadata_provided!$A$2:$N$826, 14, FALSE)</f>
        <v>0</v>
      </c>
    </row>
    <row r="809" spans="1:15" x14ac:dyDescent="0.2">
      <c r="A809" t="s">
        <v>363</v>
      </c>
      <c r="B809" t="s">
        <v>3597</v>
      </c>
      <c r="C809" t="s">
        <v>3597</v>
      </c>
      <c r="D809">
        <f>VLOOKUP($C809, Egli_UPEC_metadata_provided!$A$2:$M$826, 3, FALSE)</f>
        <v>2020</v>
      </c>
      <c r="E809" t="str">
        <f>VLOOKUP($C809, Egli_UPEC_metadata_provided!$A$2:$M$826, 4, FALSE)</f>
        <v>B2-2</v>
      </c>
      <c r="F809" t="str">
        <f>VLOOKUP($C809, Egli_UPEC_metadata_provided!$A$2:$M$826, 5, FALSE)</f>
        <v>w</v>
      </c>
      <c r="G809">
        <f>VLOOKUP($C809, Egli_UPEC_metadata_provided!$A$2:$M$826, 6, FALSE)</f>
        <v>0</v>
      </c>
      <c r="H809">
        <f>VLOOKUP($C809, Egli_UPEC_metadata_provided!$A$2:$M$826, 7, FALSE)</f>
        <v>2</v>
      </c>
      <c r="I809">
        <f>VLOOKUP($C809, Egli_UPEC_metadata_provided!$A$2:$M$826, 8, FALSE)</f>
        <v>79.289131920710901</v>
      </c>
      <c r="J809" t="b">
        <f>VLOOKUP($C809, Egli_UPEC_metadata_provided!$A$2:$M$826, 9, FALSE)</f>
        <v>0</v>
      </c>
      <c r="K809">
        <f>VLOOKUP($C809, Egli_UPEC_metadata_provided!$A$2:$M$826, 10, FALSE)</f>
        <v>0</v>
      </c>
      <c r="L809" t="str">
        <f>VLOOKUP($C809, Egli_UPEC_metadata_provided!$A$2:$M$826, 11, FALSE)</f>
        <v>non-invasive</v>
      </c>
      <c r="M809">
        <f>VLOOKUP($C809, Egli_UPEC_metadata_provided!$A$2:$M$826, 12, FALSE)</f>
        <v>1</v>
      </c>
      <c r="N809">
        <f>VLOOKUP($C809, Egli_UPEC_metadata_provided!$A$2:$M$826, 13, FALSE)</f>
        <v>0</v>
      </c>
      <c r="O809">
        <f>VLOOKUP($C809, Egli_UPEC_metadata_provided!$A$2:$N$826, 14, FALSE)</f>
        <v>0</v>
      </c>
    </row>
    <row r="810" spans="1:15" x14ac:dyDescent="0.2">
      <c r="A810" t="s">
        <v>364</v>
      </c>
      <c r="B810" t="s">
        <v>3598</v>
      </c>
      <c r="C810" t="s">
        <v>3598</v>
      </c>
      <c r="D810">
        <f>VLOOKUP($C810, Egli_UPEC_metadata_provided!$A$2:$M$826, 3, FALSE)</f>
        <v>2020</v>
      </c>
      <c r="E810" t="str">
        <f>VLOOKUP($C810, Egli_UPEC_metadata_provided!$A$2:$M$826, 4, FALSE)</f>
        <v>B2-2</v>
      </c>
      <c r="F810" t="str">
        <f>VLOOKUP($C810, Egli_UPEC_metadata_provided!$A$2:$M$826, 5, FALSE)</f>
        <v>w</v>
      </c>
      <c r="G810">
        <f>VLOOKUP($C810, Egli_UPEC_metadata_provided!$A$2:$M$826, 6, FALSE)</f>
        <v>0</v>
      </c>
      <c r="H810">
        <f>VLOOKUP($C810, Egli_UPEC_metadata_provided!$A$2:$M$826, 7, FALSE)</f>
        <v>3</v>
      </c>
      <c r="I810">
        <f>VLOOKUP($C810, Egli_UPEC_metadata_provided!$A$2:$M$826, 8, FALSE)</f>
        <v>76.910457963089499</v>
      </c>
      <c r="J810" t="b">
        <f>VLOOKUP($C810, Egli_UPEC_metadata_provided!$A$2:$M$826, 9, FALSE)</f>
        <v>0</v>
      </c>
      <c r="K810">
        <f>VLOOKUP($C810, Egli_UPEC_metadata_provided!$A$2:$M$826, 10, FALSE)</f>
        <v>0</v>
      </c>
      <c r="L810" t="str">
        <f>VLOOKUP($C810, Egli_UPEC_metadata_provided!$A$2:$M$826, 11, FALSE)</f>
        <v>non-invasive</v>
      </c>
      <c r="M810">
        <f>VLOOKUP($C810, Egli_UPEC_metadata_provided!$A$2:$M$826, 12, FALSE)</f>
        <v>1</v>
      </c>
      <c r="N810">
        <f>VLOOKUP($C810, Egli_UPEC_metadata_provided!$A$2:$M$826, 13, FALSE)</f>
        <v>0</v>
      </c>
      <c r="O810">
        <f>VLOOKUP($C810, Egli_UPEC_metadata_provided!$A$2:$N$826, 14, FALSE)</f>
        <v>0</v>
      </c>
    </row>
    <row r="811" spans="1:15" x14ac:dyDescent="0.2">
      <c r="A811" t="s">
        <v>365</v>
      </c>
      <c r="B811" t="s">
        <v>3599</v>
      </c>
      <c r="C811" t="s">
        <v>3599</v>
      </c>
      <c r="D811">
        <f>VLOOKUP($C811, Egli_UPEC_metadata_provided!$A$2:$M$826, 3, FALSE)</f>
        <v>2020</v>
      </c>
      <c r="E811" t="str">
        <f>VLOOKUP($C811, Egli_UPEC_metadata_provided!$A$2:$M$826, 4, FALSE)</f>
        <v>G</v>
      </c>
      <c r="F811" t="str">
        <f>VLOOKUP($C811, Egli_UPEC_metadata_provided!$A$2:$M$826, 5, FALSE)</f>
        <v>w</v>
      </c>
      <c r="G811">
        <f>VLOOKUP($C811, Egli_UPEC_metadata_provided!$A$2:$M$826, 6, FALSE)</f>
        <v>0</v>
      </c>
      <c r="H811">
        <f>VLOOKUP($C811, Egli_UPEC_metadata_provided!$A$2:$M$826, 7, FALSE)</f>
        <v>6</v>
      </c>
      <c r="I811">
        <f>VLOOKUP($C811, Egli_UPEC_metadata_provided!$A$2:$M$826, 8, FALSE)</f>
        <v>74.884483937115505</v>
      </c>
      <c r="J811" t="b">
        <f>VLOOKUP($C811, Egli_UPEC_metadata_provided!$A$2:$M$826, 9, FALSE)</f>
        <v>0</v>
      </c>
      <c r="K811">
        <f>VLOOKUP($C811, Egli_UPEC_metadata_provided!$A$2:$M$826, 10, FALSE)</f>
        <v>0</v>
      </c>
      <c r="L811" t="str">
        <f>VLOOKUP($C811, Egli_UPEC_metadata_provided!$A$2:$M$826, 11, FALSE)</f>
        <v>non-invasive</v>
      </c>
      <c r="M811">
        <f>VLOOKUP($C811, Egli_UPEC_metadata_provided!$A$2:$M$826, 12, FALSE)</f>
        <v>0</v>
      </c>
      <c r="N811">
        <f>VLOOKUP($C811, Egli_UPEC_metadata_provided!$A$2:$M$826, 13, FALSE)</f>
        <v>1</v>
      </c>
      <c r="O811">
        <f>VLOOKUP($C811, Egli_UPEC_metadata_provided!$A$2:$N$826, 14, FALSE)</f>
        <v>0</v>
      </c>
    </row>
    <row r="812" spans="1:15" x14ac:dyDescent="0.2">
      <c r="A812" t="s">
        <v>366</v>
      </c>
      <c r="B812" t="s">
        <v>3600</v>
      </c>
      <c r="C812" t="s">
        <v>3600</v>
      </c>
      <c r="D812">
        <f>VLOOKUP($C812, Egli_UPEC_metadata_provided!$A$2:$M$826, 3, FALSE)</f>
        <v>2020</v>
      </c>
      <c r="E812" t="str">
        <f>VLOOKUP($C812, Egli_UPEC_metadata_provided!$A$2:$M$826, 4, FALSE)</f>
        <v>B2-2</v>
      </c>
      <c r="F812" t="str">
        <f>VLOOKUP($C812, Egli_UPEC_metadata_provided!$A$2:$M$826, 5, FALSE)</f>
        <v>w</v>
      </c>
      <c r="G812">
        <f>VLOOKUP($C812, Egli_UPEC_metadata_provided!$A$2:$M$826, 6, FALSE)</f>
        <v>0</v>
      </c>
      <c r="H812">
        <f>VLOOKUP($C812, Egli_UPEC_metadata_provided!$A$2:$M$826, 7, FALSE)</f>
        <v>0</v>
      </c>
      <c r="I812">
        <f>VLOOKUP($C812, Egli_UPEC_metadata_provided!$A$2:$M$826, 8, FALSE)</f>
        <v>77.356117566643903</v>
      </c>
      <c r="J812" t="b">
        <f>VLOOKUP($C812, Egli_UPEC_metadata_provided!$A$2:$M$826, 9, FALSE)</f>
        <v>0</v>
      </c>
      <c r="K812">
        <f>VLOOKUP($C812, Egli_UPEC_metadata_provided!$A$2:$M$826, 10, FALSE)</f>
        <v>0</v>
      </c>
      <c r="L812" t="str">
        <f>VLOOKUP($C812, Egli_UPEC_metadata_provided!$A$2:$M$826, 11, FALSE)</f>
        <v>non-invasive</v>
      </c>
      <c r="M812">
        <f>VLOOKUP($C812, Egli_UPEC_metadata_provided!$A$2:$M$826, 12, FALSE)</f>
        <v>0</v>
      </c>
      <c r="N812">
        <f>VLOOKUP($C812, Egli_UPEC_metadata_provided!$A$2:$M$826, 13, FALSE)</f>
        <v>0</v>
      </c>
      <c r="O812">
        <f>VLOOKUP($C812, Egli_UPEC_metadata_provided!$A$2:$N$826, 14, FALSE)</f>
        <v>1</v>
      </c>
    </row>
    <row r="813" spans="1:15" x14ac:dyDescent="0.2">
      <c r="A813" t="s">
        <v>367</v>
      </c>
      <c r="B813" t="s">
        <v>3601</v>
      </c>
      <c r="C813" t="s">
        <v>3601</v>
      </c>
      <c r="D813">
        <f>VLOOKUP($C813, Egli_UPEC_metadata_provided!$A$2:$M$826, 3, FALSE)</f>
        <v>2020</v>
      </c>
      <c r="E813" t="str">
        <f>VLOOKUP($C813, Egli_UPEC_metadata_provided!$A$2:$M$826, 4, FALSE)</f>
        <v>D1</v>
      </c>
      <c r="F813" t="str">
        <f>VLOOKUP($C813, Egli_UPEC_metadata_provided!$A$2:$M$826, 5, FALSE)</f>
        <v>m</v>
      </c>
      <c r="G813">
        <f>VLOOKUP($C813, Egli_UPEC_metadata_provided!$A$2:$M$826, 6, FALSE)</f>
        <v>0</v>
      </c>
      <c r="H813">
        <f>VLOOKUP($C813, Egli_UPEC_metadata_provided!$A$2:$M$826, 7, FALSE)</f>
        <v>2</v>
      </c>
      <c r="I813">
        <f>VLOOKUP($C813, Egli_UPEC_metadata_provided!$A$2:$M$826, 8, FALSE)</f>
        <v>84.530416951469604</v>
      </c>
      <c r="J813" t="b">
        <f>VLOOKUP($C813, Egli_UPEC_metadata_provided!$A$2:$M$826, 9, FALSE)</f>
        <v>0</v>
      </c>
      <c r="K813">
        <f>VLOOKUP($C813, Egli_UPEC_metadata_provided!$A$2:$M$826, 10, FALSE)</f>
        <v>0</v>
      </c>
      <c r="L813" t="str">
        <f>VLOOKUP($C813, Egli_UPEC_metadata_provided!$A$2:$M$826, 11, FALSE)</f>
        <v>non-invasive</v>
      </c>
      <c r="M813">
        <f>VLOOKUP($C813, Egli_UPEC_metadata_provided!$A$2:$M$826, 12, FALSE)</f>
        <v>0</v>
      </c>
      <c r="N813">
        <f>VLOOKUP($C813, Egli_UPEC_metadata_provided!$A$2:$M$826, 13, FALSE)</f>
        <v>0</v>
      </c>
      <c r="O813">
        <f>VLOOKUP($C813, Egli_UPEC_metadata_provided!$A$2:$N$826, 14, FALSE)</f>
        <v>0</v>
      </c>
    </row>
    <row r="814" spans="1:15" x14ac:dyDescent="0.2">
      <c r="A814" t="s">
        <v>368</v>
      </c>
      <c r="B814" t="s">
        <v>3602</v>
      </c>
      <c r="C814" t="s">
        <v>3602</v>
      </c>
      <c r="D814">
        <f>VLOOKUP($C814, Egli_UPEC_metadata_provided!$A$2:$M$826, 3, FALSE)</f>
        <v>2020</v>
      </c>
      <c r="E814" t="str">
        <f>VLOOKUP($C814, Egli_UPEC_metadata_provided!$A$2:$M$826, 4, FALSE)</f>
        <v>B2-2</v>
      </c>
      <c r="F814" t="str">
        <f>VLOOKUP($C814, Egli_UPEC_metadata_provided!$A$2:$M$826, 5, FALSE)</f>
        <v>w</v>
      </c>
      <c r="G814">
        <f>VLOOKUP($C814, Egli_UPEC_metadata_provided!$A$2:$M$826, 6, FALSE)</f>
        <v>0</v>
      </c>
      <c r="H814">
        <f>VLOOKUP($C814, Egli_UPEC_metadata_provided!$A$2:$M$826, 7, FALSE)</f>
        <v>0</v>
      </c>
      <c r="I814">
        <f>VLOOKUP($C814, Egli_UPEC_metadata_provided!$A$2:$M$826, 8, FALSE)</f>
        <v>80.248803827751203</v>
      </c>
      <c r="J814" t="b">
        <f>VLOOKUP($C814, Egli_UPEC_metadata_provided!$A$2:$M$826, 9, FALSE)</f>
        <v>1</v>
      </c>
      <c r="K814">
        <f>VLOOKUP($C814, Egli_UPEC_metadata_provided!$A$2:$M$826, 10, FALSE)</f>
        <v>0</v>
      </c>
      <c r="L814" t="str">
        <f>VLOOKUP($C814, Egli_UPEC_metadata_provided!$A$2:$M$826, 11, FALSE)</f>
        <v>invasive</v>
      </c>
      <c r="M814">
        <f>VLOOKUP($C814, Egli_UPEC_metadata_provided!$A$2:$M$826, 12, FALSE)</f>
        <v>1</v>
      </c>
      <c r="N814">
        <f>VLOOKUP($C814, Egli_UPEC_metadata_provided!$A$2:$M$826, 13, FALSE)</f>
        <v>1</v>
      </c>
      <c r="O814">
        <f>VLOOKUP($C814, Egli_UPEC_metadata_provided!$A$2:$N$826, 14, FALSE)</f>
        <v>0</v>
      </c>
    </row>
    <row r="815" spans="1:15" x14ac:dyDescent="0.2">
      <c r="A815" t="s">
        <v>369</v>
      </c>
      <c r="B815" t="s">
        <v>3603</v>
      </c>
      <c r="C815" t="s">
        <v>3603</v>
      </c>
      <c r="D815">
        <f>VLOOKUP($C815, Egli_UPEC_metadata_provided!$A$2:$M$826, 3, FALSE)</f>
        <v>2020</v>
      </c>
      <c r="E815" t="str">
        <f>VLOOKUP($C815, Egli_UPEC_metadata_provided!$A$2:$M$826, 4, FALSE)</f>
        <v>D1</v>
      </c>
      <c r="F815" t="str">
        <f>VLOOKUP($C815, Egli_UPEC_metadata_provided!$A$2:$M$826, 5, FALSE)</f>
        <v>w</v>
      </c>
      <c r="G815">
        <f>VLOOKUP($C815, Egli_UPEC_metadata_provided!$A$2:$M$826, 6, FALSE)</f>
        <v>0</v>
      </c>
      <c r="H815">
        <f>VLOOKUP($C815, Egli_UPEC_metadata_provided!$A$2:$M$826, 7, FALSE)</f>
        <v>1</v>
      </c>
      <c r="I815">
        <f>VLOOKUP($C815, Egli_UPEC_metadata_provided!$A$2:$M$826, 8, FALSE)</f>
        <v>84.858509911141496</v>
      </c>
      <c r="J815" t="b">
        <f>VLOOKUP($C815, Egli_UPEC_metadata_provided!$A$2:$M$826, 9, FALSE)</f>
        <v>0</v>
      </c>
      <c r="K815">
        <f>VLOOKUP($C815, Egli_UPEC_metadata_provided!$A$2:$M$826, 10, FALSE)</f>
        <v>0</v>
      </c>
      <c r="L815" t="str">
        <f>VLOOKUP($C815, Egli_UPEC_metadata_provided!$A$2:$M$826, 11, FALSE)</f>
        <v>non-invasive</v>
      </c>
      <c r="M815">
        <f>VLOOKUP($C815, Egli_UPEC_metadata_provided!$A$2:$M$826, 12, FALSE)</f>
        <v>0</v>
      </c>
      <c r="N815">
        <f>VLOOKUP($C815, Egli_UPEC_metadata_provided!$A$2:$M$826, 13, FALSE)</f>
        <v>0</v>
      </c>
      <c r="O815">
        <f>VLOOKUP($C815, Egli_UPEC_metadata_provided!$A$2:$N$826, 14, FALSE)</f>
        <v>1</v>
      </c>
    </row>
    <row r="816" spans="1:15" x14ac:dyDescent="0.2">
      <c r="A816" t="s">
        <v>370</v>
      </c>
      <c r="B816" t="s">
        <v>3604</v>
      </c>
      <c r="C816" t="s">
        <v>3604</v>
      </c>
      <c r="D816">
        <f>VLOOKUP($C816, Egli_UPEC_metadata_provided!$A$2:$M$826, 3, FALSE)</f>
        <v>2020</v>
      </c>
      <c r="E816" t="str">
        <f>VLOOKUP($C816, Egli_UPEC_metadata_provided!$A$2:$M$826, 4, FALSE)</f>
        <v>B2-1</v>
      </c>
      <c r="F816" t="str">
        <f>VLOOKUP($C816, Egli_UPEC_metadata_provided!$A$2:$M$826, 5, FALSE)</f>
        <v>w</v>
      </c>
      <c r="G816">
        <f>VLOOKUP($C816, Egli_UPEC_metadata_provided!$A$2:$M$826, 6, FALSE)</f>
        <v>0</v>
      </c>
      <c r="H816">
        <f>VLOOKUP($C816, Egli_UPEC_metadata_provided!$A$2:$M$826, 7, FALSE)</f>
        <v>0</v>
      </c>
      <c r="I816">
        <f>VLOOKUP($C816, Egli_UPEC_metadata_provided!$A$2:$M$826, 8, FALSE)</f>
        <v>103.07313738892699</v>
      </c>
      <c r="J816" t="b">
        <f>VLOOKUP($C816, Egli_UPEC_metadata_provided!$A$2:$M$826, 9, FALSE)</f>
        <v>0</v>
      </c>
      <c r="K816">
        <f>VLOOKUP($C816, Egli_UPEC_metadata_provided!$A$2:$M$826, 10, FALSE)</f>
        <v>0</v>
      </c>
      <c r="L816" t="str">
        <f>VLOOKUP($C816, Egli_UPEC_metadata_provided!$A$2:$M$826, 11, FALSE)</f>
        <v>non-invasive</v>
      </c>
      <c r="M816">
        <f>VLOOKUP($C816, Egli_UPEC_metadata_provided!$A$2:$M$826, 12, FALSE)</f>
        <v>1</v>
      </c>
      <c r="N816">
        <f>VLOOKUP($C816, Egli_UPEC_metadata_provided!$A$2:$M$826, 13, FALSE)</f>
        <v>0</v>
      </c>
      <c r="O816">
        <f>VLOOKUP($C816, Egli_UPEC_metadata_provided!$A$2:$N$826, 14, FALSE)</f>
        <v>1</v>
      </c>
    </row>
    <row r="817" spans="1:15" x14ac:dyDescent="0.2">
      <c r="A817" t="s">
        <v>371</v>
      </c>
      <c r="B817" t="s">
        <v>3605</v>
      </c>
      <c r="C817" t="s">
        <v>3605</v>
      </c>
      <c r="D817">
        <f>VLOOKUP($C817, Egli_UPEC_metadata_provided!$A$2:$M$826, 3, FALSE)</f>
        <v>2020</v>
      </c>
      <c r="E817" t="str">
        <f>VLOOKUP($C817, Egli_UPEC_metadata_provided!$A$2:$M$826, 4, FALSE)</f>
        <v>B2-1</v>
      </c>
      <c r="F817" t="str">
        <f>VLOOKUP($C817, Egli_UPEC_metadata_provided!$A$2:$M$826, 5, FALSE)</f>
        <v>w</v>
      </c>
      <c r="G817">
        <f>VLOOKUP($C817, Egli_UPEC_metadata_provided!$A$2:$M$826, 6, FALSE)</f>
        <v>0</v>
      </c>
      <c r="H817">
        <f>VLOOKUP($C817, Egli_UPEC_metadata_provided!$A$2:$M$826, 7, FALSE)</f>
        <v>8</v>
      </c>
      <c r="I817">
        <f>VLOOKUP($C817, Egli_UPEC_metadata_provided!$A$2:$M$826, 8, FALSE)</f>
        <v>69.933014354066998</v>
      </c>
      <c r="J817" t="b">
        <f>VLOOKUP($C817, Egli_UPEC_metadata_provided!$A$2:$M$826, 9, FALSE)</f>
        <v>0</v>
      </c>
      <c r="K817">
        <f>VLOOKUP($C817, Egli_UPEC_metadata_provided!$A$2:$M$826, 10, FALSE)</f>
        <v>1</v>
      </c>
      <c r="L817" t="str">
        <f>VLOOKUP($C817, Egli_UPEC_metadata_provided!$A$2:$M$826, 11, FALSE)</f>
        <v>non-invasive</v>
      </c>
      <c r="M817">
        <f>VLOOKUP($C817, Egli_UPEC_metadata_provided!$A$2:$M$826, 12, FALSE)</f>
        <v>0</v>
      </c>
      <c r="N817">
        <f>VLOOKUP($C817, Egli_UPEC_metadata_provided!$A$2:$M$826, 13, FALSE)</f>
        <v>0</v>
      </c>
      <c r="O817">
        <f>VLOOKUP($C817, Egli_UPEC_metadata_provided!$A$2:$N$826, 14, FALSE)</f>
        <v>0</v>
      </c>
    </row>
    <row r="818" spans="1:15" x14ac:dyDescent="0.2">
      <c r="A818" t="s">
        <v>372</v>
      </c>
      <c r="B818" t="s">
        <v>3606</v>
      </c>
      <c r="C818" t="s">
        <v>3606</v>
      </c>
      <c r="D818">
        <f>VLOOKUP($C818, Egli_UPEC_metadata_provided!$A$2:$M$826, 3, FALSE)</f>
        <v>2020</v>
      </c>
      <c r="E818" t="str">
        <f>VLOOKUP($C818, Egli_UPEC_metadata_provided!$A$2:$M$826, 4, FALSE)</f>
        <v>B2-2</v>
      </c>
      <c r="F818" t="str">
        <f>VLOOKUP($C818, Egli_UPEC_metadata_provided!$A$2:$M$826, 5, FALSE)</f>
        <v>w</v>
      </c>
      <c r="G818">
        <f>VLOOKUP($C818, Egli_UPEC_metadata_provided!$A$2:$M$826, 6, FALSE)</f>
        <v>0</v>
      </c>
      <c r="H818">
        <f>VLOOKUP($C818, Egli_UPEC_metadata_provided!$A$2:$M$826, 7, FALSE)</f>
        <v>2</v>
      </c>
      <c r="I818">
        <f>VLOOKUP($C818, Egli_UPEC_metadata_provided!$A$2:$M$826, 8, FALSE)</f>
        <v>77.935748462064296</v>
      </c>
      <c r="J818" t="b">
        <f>VLOOKUP($C818, Egli_UPEC_metadata_provided!$A$2:$M$826, 9, FALSE)</f>
        <v>0</v>
      </c>
      <c r="K818">
        <f>VLOOKUP($C818, Egli_UPEC_metadata_provided!$A$2:$M$826, 10, FALSE)</f>
        <v>0</v>
      </c>
      <c r="L818" t="str">
        <f>VLOOKUP($C818, Egli_UPEC_metadata_provided!$A$2:$M$826, 11, FALSE)</f>
        <v>non-invasive</v>
      </c>
      <c r="M818">
        <f>VLOOKUP($C818, Egli_UPEC_metadata_provided!$A$2:$M$826, 12, FALSE)</f>
        <v>0</v>
      </c>
      <c r="N818">
        <f>VLOOKUP($C818, Egli_UPEC_metadata_provided!$A$2:$M$826, 13, FALSE)</f>
        <v>0</v>
      </c>
      <c r="O818">
        <f>VLOOKUP($C818, Egli_UPEC_metadata_provided!$A$2:$N$826, 14, FALSE)</f>
        <v>0</v>
      </c>
    </row>
    <row r="819" spans="1:15" x14ac:dyDescent="0.2">
      <c r="A819" t="s">
        <v>373</v>
      </c>
      <c r="B819" t="s">
        <v>3607</v>
      </c>
      <c r="C819" t="s">
        <v>3607</v>
      </c>
      <c r="D819">
        <f>VLOOKUP($C819, Egli_UPEC_metadata_provided!$A$2:$M$826, 3, FALSE)</f>
        <v>2020</v>
      </c>
      <c r="E819" t="str">
        <f>VLOOKUP($C819, Egli_UPEC_metadata_provided!$A$2:$M$826, 4, FALSE)</f>
        <v>B2-2</v>
      </c>
      <c r="F819" t="str">
        <f>VLOOKUP($C819, Egli_UPEC_metadata_provided!$A$2:$M$826, 5, FALSE)</f>
        <v>w</v>
      </c>
      <c r="G819">
        <f>VLOOKUP($C819, Egli_UPEC_metadata_provided!$A$2:$M$826, 6, FALSE)</f>
        <v>0</v>
      </c>
      <c r="H819">
        <f>VLOOKUP($C819, Egli_UPEC_metadata_provided!$A$2:$M$826, 7, FALSE)</f>
        <v>5</v>
      </c>
      <c r="I819">
        <f>VLOOKUP($C819, Egli_UPEC_metadata_provided!$A$2:$M$826, 8, FALSE)</f>
        <v>90.829801777170204</v>
      </c>
      <c r="J819" t="b">
        <f>VLOOKUP($C819, Egli_UPEC_metadata_provided!$A$2:$M$826, 9, FALSE)</f>
        <v>0</v>
      </c>
      <c r="K819">
        <f>VLOOKUP($C819, Egli_UPEC_metadata_provided!$A$2:$M$826, 10, FALSE)</f>
        <v>0</v>
      </c>
      <c r="L819" t="str">
        <f>VLOOKUP($C819, Egli_UPEC_metadata_provided!$A$2:$M$826, 11, FALSE)</f>
        <v>non-invasive</v>
      </c>
      <c r="M819">
        <f>VLOOKUP($C819, Egli_UPEC_metadata_provided!$A$2:$M$826, 12, FALSE)</f>
        <v>1</v>
      </c>
      <c r="N819">
        <f>VLOOKUP($C819, Egli_UPEC_metadata_provided!$A$2:$M$826, 13, FALSE)</f>
        <v>1</v>
      </c>
      <c r="O819">
        <f>VLOOKUP($C819, Egli_UPEC_metadata_provided!$A$2:$N$826, 14, FALSE)</f>
        <v>0</v>
      </c>
    </row>
    <row r="820" spans="1:15" x14ac:dyDescent="0.2">
      <c r="A820" t="s">
        <v>374</v>
      </c>
      <c r="B820" t="s">
        <v>3608</v>
      </c>
      <c r="C820" t="s">
        <v>3608</v>
      </c>
      <c r="D820">
        <f>VLOOKUP($C820, Egli_UPEC_metadata_provided!$A$2:$M$826, 3, FALSE)</f>
        <v>2020</v>
      </c>
      <c r="E820" t="str">
        <f>VLOOKUP($C820, Egli_UPEC_metadata_provided!$A$2:$M$826, 4, FALSE)</f>
        <v>B2-2</v>
      </c>
      <c r="F820" t="str">
        <f>VLOOKUP($C820, Egli_UPEC_metadata_provided!$A$2:$M$826, 5, FALSE)</f>
        <v>m</v>
      </c>
      <c r="G820">
        <f>VLOOKUP($C820, Egli_UPEC_metadata_provided!$A$2:$M$826, 6, FALSE)</f>
        <v>0</v>
      </c>
      <c r="H820">
        <f>VLOOKUP($C820, Egli_UPEC_metadata_provided!$A$2:$M$826, 7, FALSE)</f>
        <v>0</v>
      </c>
      <c r="I820">
        <f>VLOOKUP($C820, Egli_UPEC_metadata_provided!$A$2:$M$826, 8, FALSE)</f>
        <v>81.410799726589204</v>
      </c>
      <c r="J820" t="b">
        <f>VLOOKUP($C820, Egli_UPEC_metadata_provided!$A$2:$M$826, 9, FALSE)</f>
        <v>0</v>
      </c>
      <c r="K820">
        <f>VLOOKUP($C820, Egli_UPEC_metadata_provided!$A$2:$M$826, 10, FALSE)</f>
        <v>0</v>
      </c>
      <c r="L820" t="str">
        <f>VLOOKUP($C820, Egli_UPEC_metadata_provided!$A$2:$M$826, 11, FALSE)</f>
        <v>non-invasive</v>
      </c>
      <c r="M820">
        <f>VLOOKUP($C820, Egli_UPEC_metadata_provided!$A$2:$M$826, 12, FALSE)</f>
        <v>0</v>
      </c>
      <c r="N820">
        <f>VLOOKUP($C820, Egli_UPEC_metadata_provided!$A$2:$M$826, 13, FALSE)</f>
        <v>0</v>
      </c>
      <c r="O820">
        <f>VLOOKUP($C820, Egli_UPEC_metadata_provided!$A$2:$N$826, 14, FALSE)</f>
        <v>1</v>
      </c>
    </row>
    <row r="821" spans="1:15" x14ac:dyDescent="0.2">
      <c r="A821" t="s">
        <v>375</v>
      </c>
      <c r="B821" t="s">
        <v>3610</v>
      </c>
      <c r="C821" t="s">
        <v>3610</v>
      </c>
      <c r="D821">
        <f>VLOOKUP($C821, Egli_UPEC_metadata_provided!$A$2:$M$826, 3, FALSE)</f>
        <v>2020</v>
      </c>
      <c r="E821" t="str">
        <f>VLOOKUP($C821, Egli_UPEC_metadata_provided!$A$2:$M$826, 4, FALSE)</f>
        <v>D1</v>
      </c>
      <c r="F821" t="str">
        <f>VLOOKUP($C821, Egli_UPEC_metadata_provided!$A$2:$M$826, 5, FALSE)</f>
        <v>w</v>
      </c>
      <c r="G821">
        <f>VLOOKUP($C821, Egli_UPEC_metadata_provided!$A$2:$M$826, 6, FALSE)</f>
        <v>1</v>
      </c>
      <c r="H821">
        <f>VLOOKUP($C821, Egli_UPEC_metadata_provided!$A$2:$M$826, 7, FALSE)</f>
        <v>2</v>
      </c>
      <c r="I821">
        <f>VLOOKUP($C821, Egli_UPEC_metadata_provided!$A$2:$M$826, 8, FALSE)</f>
        <v>59.029391660970603</v>
      </c>
      <c r="J821" t="b">
        <f>VLOOKUP($C821, Egli_UPEC_metadata_provided!$A$2:$M$826, 9, FALSE)</f>
        <v>0</v>
      </c>
      <c r="K821">
        <f>VLOOKUP($C821, Egli_UPEC_metadata_provided!$A$2:$M$826, 10, FALSE)</f>
        <v>1</v>
      </c>
      <c r="L821" t="str">
        <f>VLOOKUP($C821, Egli_UPEC_metadata_provided!$A$2:$M$826, 11, FALSE)</f>
        <v>non-invasive</v>
      </c>
      <c r="M821">
        <f>VLOOKUP($C821, Egli_UPEC_metadata_provided!$A$2:$M$826, 12, FALSE)</f>
        <v>0</v>
      </c>
      <c r="N821">
        <f>VLOOKUP($C821, Egli_UPEC_metadata_provided!$A$2:$M$826, 13, FALSE)</f>
        <v>0</v>
      </c>
      <c r="O821">
        <f>VLOOKUP($C821, Egli_UPEC_metadata_provided!$A$2:$N$826, 14, FALSE)</f>
        <v>0</v>
      </c>
    </row>
    <row r="822" spans="1:15" x14ac:dyDescent="0.2">
      <c r="A822" t="s">
        <v>376</v>
      </c>
      <c r="B822" t="s">
        <v>3611</v>
      </c>
      <c r="C822" t="s">
        <v>3611</v>
      </c>
      <c r="D822">
        <f>VLOOKUP($C822, Egli_UPEC_metadata_provided!$A$2:$M$826, 3, FALSE)</f>
        <v>2020</v>
      </c>
      <c r="E822" t="str">
        <f>VLOOKUP($C822, Egli_UPEC_metadata_provided!$A$2:$M$826, 4, FALSE)</f>
        <v>B2-2</v>
      </c>
      <c r="F822" t="str">
        <f>VLOOKUP($C822, Egli_UPEC_metadata_provided!$A$2:$M$826, 5, FALSE)</f>
        <v>w</v>
      </c>
      <c r="G822">
        <f>VLOOKUP($C822, Egli_UPEC_metadata_provided!$A$2:$M$826, 6, FALSE)</f>
        <v>0</v>
      </c>
      <c r="H822">
        <f>VLOOKUP($C822, Egli_UPEC_metadata_provided!$A$2:$M$826, 7, FALSE)</f>
        <v>0</v>
      </c>
      <c r="I822">
        <f>VLOOKUP($C822, Egli_UPEC_metadata_provided!$A$2:$M$826, 8, FALSE)</f>
        <v>85.205741626794307</v>
      </c>
      <c r="J822" t="b">
        <f>VLOOKUP($C822, Egli_UPEC_metadata_provided!$A$2:$M$826, 9, FALSE)</f>
        <v>0</v>
      </c>
      <c r="K822">
        <f>VLOOKUP($C822, Egli_UPEC_metadata_provided!$A$2:$M$826, 10, FALSE)</f>
        <v>0</v>
      </c>
      <c r="L822" t="str">
        <f>VLOOKUP($C822, Egli_UPEC_metadata_provided!$A$2:$M$826, 11, FALSE)</f>
        <v>non-invasive</v>
      </c>
      <c r="M822">
        <f>VLOOKUP($C822, Egli_UPEC_metadata_provided!$A$2:$M$826, 12, FALSE)</f>
        <v>0</v>
      </c>
      <c r="N822">
        <f>VLOOKUP($C822, Egli_UPEC_metadata_provided!$A$2:$M$826, 13, FALSE)</f>
        <v>0</v>
      </c>
      <c r="O822">
        <f>VLOOKUP($C822, Egli_UPEC_metadata_provided!$A$2:$N$826, 14, FALSE)</f>
        <v>0</v>
      </c>
    </row>
    <row r="823" spans="1:15" x14ac:dyDescent="0.2">
      <c r="A823" t="s">
        <v>377</v>
      </c>
      <c r="B823" t="s">
        <v>3612</v>
      </c>
      <c r="C823" t="s">
        <v>3612</v>
      </c>
      <c r="D823">
        <f>VLOOKUP($C823, Egli_UPEC_metadata_provided!$A$2:$M$826, 3, FALSE)</f>
        <v>2020</v>
      </c>
      <c r="E823" t="str">
        <f>VLOOKUP($C823, Egli_UPEC_metadata_provided!$A$2:$M$826, 4, FALSE)</f>
        <v>D3</v>
      </c>
      <c r="F823" t="str">
        <f>VLOOKUP($C823, Egli_UPEC_metadata_provided!$A$2:$M$826, 5, FALSE)</f>
        <v>w</v>
      </c>
      <c r="G823">
        <f>VLOOKUP($C823, Egli_UPEC_metadata_provided!$A$2:$M$826, 6, FALSE)</f>
        <v>0</v>
      </c>
      <c r="H823">
        <f>VLOOKUP($C823, Egli_UPEC_metadata_provided!$A$2:$M$826, 7, FALSE)</f>
        <v>3</v>
      </c>
      <c r="I823">
        <f>VLOOKUP($C823, Egli_UPEC_metadata_provided!$A$2:$M$826, 8, FALSE)</f>
        <v>82.198222829801793</v>
      </c>
      <c r="J823" t="b">
        <f>VLOOKUP($C823, Egli_UPEC_metadata_provided!$A$2:$M$826, 9, FALSE)</f>
        <v>0</v>
      </c>
      <c r="K823">
        <f>VLOOKUP($C823, Egli_UPEC_metadata_provided!$A$2:$M$826, 10, FALSE)</f>
        <v>0</v>
      </c>
      <c r="L823" t="str">
        <f>VLOOKUP($C823, Egli_UPEC_metadata_provided!$A$2:$M$826, 11, FALSE)</f>
        <v>non-invasive</v>
      </c>
      <c r="M823">
        <f>VLOOKUP($C823, Egli_UPEC_metadata_provided!$A$2:$M$826, 12, FALSE)</f>
        <v>0</v>
      </c>
      <c r="N823">
        <f>VLOOKUP($C823, Egli_UPEC_metadata_provided!$A$2:$M$826, 13, FALSE)</f>
        <v>0</v>
      </c>
      <c r="O823">
        <f>VLOOKUP($C823, Egli_UPEC_metadata_provided!$A$2:$N$826, 14, FALSE)</f>
        <v>0</v>
      </c>
    </row>
    <row r="824" spans="1:15" x14ac:dyDescent="0.2">
      <c r="A824" t="s">
        <v>378</v>
      </c>
      <c r="B824" t="s">
        <v>3613</v>
      </c>
      <c r="C824" t="s">
        <v>3613</v>
      </c>
      <c r="D824">
        <f>VLOOKUP($C824, Egli_UPEC_metadata_provided!$A$2:$M$826, 3, FALSE)</f>
        <v>2020</v>
      </c>
      <c r="E824" t="str">
        <f>VLOOKUP($C824, Egli_UPEC_metadata_provided!$A$2:$M$826, 4, FALSE)</f>
        <v>B2-1</v>
      </c>
      <c r="F824" t="str">
        <f>VLOOKUP($C824, Egli_UPEC_metadata_provided!$A$2:$M$826, 5, FALSE)</f>
        <v>m</v>
      </c>
      <c r="G824">
        <f>VLOOKUP($C824, Egli_UPEC_metadata_provided!$A$2:$M$826, 6, FALSE)</f>
        <v>0</v>
      </c>
      <c r="H824">
        <f>VLOOKUP($C824, Egli_UPEC_metadata_provided!$A$2:$M$826, 7, FALSE)</f>
        <v>3</v>
      </c>
      <c r="I824">
        <f>VLOOKUP($C824, Egli_UPEC_metadata_provided!$A$2:$M$826, 8, FALSE)</f>
        <v>84.563226247436802</v>
      </c>
      <c r="J824" t="b">
        <f>VLOOKUP($C824, Egli_UPEC_metadata_provided!$A$2:$M$826, 9, FALSE)</f>
        <v>0</v>
      </c>
      <c r="K824">
        <f>VLOOKUP($C824, Egli_UPEC_metadata_provided!$A$2:$M$826, 10, FALSE)</f>
        <v>0</v>
      </c>
      <c r="L824" t="str">
        <f>VLOOKUP($C824, Egli_UPEC_metadata_provided!$A$2:$M$826, 11, FALSE)</f>
        <v>non-invasive</v>
      </c>
      <c r="M824">
        <f>VLOOKUP($C824, Egli_UPEC_metadata_provided!$A$2:$M$826, 12, FALSE)</f>
        <v>1</v>
      </c>
      <c r="N824">
        <f>VLOOKUP($C824, Egli_UPEC_metadata_provided!$A$2:$M$826, 13, FALSE)</f>
        <v>0</v>
      </c>
      <c r="O824">
        <f>VLOOKUP($C824, Egli_UPEC_metadata_provided!$A$2:$N$826, 14, FALSE)</f>
        <v>1</v>
      </c>
    </row>
    <row r="825" spans="1:15" x14ac:dyDescent="0.2">
      <c r="A825" t="s">
        <v>379</v>
      </c>
      <c r="B825" t="s">
        <v>3614</v>
      </c>
      <c r="C825" t="s">
        <v>3614</v>
      </c>
      <c r="D825">
        <f>VLOOKUP($C825, Egli_UPEC_metadata_provided!$A$2:$M$826, 3, FALSE)</f>
        <v>2020</v>
      </c>
      <c r="E825" t="str">
        <f>VLOOKUP($C825, Egli_UPEC_metadata_provided!$A$2:$M$826, 4, FALSE)</f>
        <v>B1</v>
      </c>
      <c r="F825" t="str">
        <f>VLOOKUP($C825, Egli_UPEC_metadata_provided!$A$2:$M$826, 5, FALSE)</f>
        <v>w</v>
      </c>
      <c r="G825">
        <f>VLOOKUP($C825, Egli_UPEC_metadata_provided!$A$2:$M$826, 6, FALSE)</f>
        <v>0</v>
      </c>
      <c r="H825">
        <f>VLOOKUP($C825, Egli_UPEC_metadata_provided!$A$2:$M$826, 7, FALSE)</f>
        <v>0</v>
      </c>
      <c r="I825">
        <f>VLOOKUP($C825, Egli_UPEC_metadata_provided!$A$2:$M$826, 8, FALSE)</f>
        <v>77.758031442242</v>
      </c>
      <c r="J825" t="b">
        <f>VLOOKUP($C825, Egli_UPEC_metadata_provided!$A$2:$M$826, 9, FALSE)</f>
        <v>0</v>
      </c>
      <c r="K825">
        <f>VLOOKUP($C825, Egli_UPEC_metadata_provided!$A$2:$M$826, 10, FALSE)</f>
        <v>0</v>
      </c>
      <c r="L825" t="str">
        <f>VLOOKUP($C825, Egli_UPEC_metadata_provided!$A$2:$M$826, 11, FALSE)</f>
        <v>non-invasive</v>
      </c>
      <c r="M825">
        <f>VLOOKUP($C825, Egli_UPEC_metadata_provided!$A$2:$M$826, 12, FALSE)</f>
        <v>1</v>
      </c>
      <c r="N825">
        <f>VLOOKUP($C825, Egli_UPEC_metadata_provided!$A$2:$M$826, 13, FALSE)</f>
        <v>0</v>
      </c>
      <c r="O825">
        <f>VLOOKUP($C825, Egli_UPEC_metadata_provided!$A$2:$N$826, 14, FALSE)</f>
        <v>0</v>
      </c>
    </row>
    <row r="826" spans="1:15" x14ac:dyDescent="0.2">
      <c r="A826" t="s">
        <v>380</v>
      </c>
      <c r="B826" t="s">
        <v>3615</v>
      </c>
      <c r="C826" t="s">
        <v>3615</v>
      </c>
      <c r="D826">
        <f>VLOOKUP($C826, Egli_UPEC_metadata_provided!$A$2:$M$826, 3, FALSE)</f>
        <v>2020</v>
      </c>
      <c r="E826" t="str">
        <f>VLOOKUP($C826, Egli_UPEC_metadata_provided!$A$2:$M$826, 4, FALSE)</f>
        <v>B2-2</v>
      </c>
      <c r="F826" t="str">
        <f>VLOOKUP($C826, Egli_UPEC_metadata_provided!$A$2:$M$826, 5, FALSE)</f>
        <v>w</v>
      </c>
      <c r="G826">
        <f>VLOOKUP($C826, Egli_UPEC_metadata_provided!$A$2:$M$826, 6, FALSE)</f>
        <v>1</v>
      </c>
      <c r="H826">
        <f>VLOOKUP($C826, Egli_UPEC_metadata_provided!$A$2:$M$826, 7, FALSE)</f>
        <v>0</v>
      </c>
      <c r="I826">
        <f>VLOOKUP($C826, Egli_UPEC_metadata_provided!$A$2:$M$826, 8, FALSE)</f>
        <v>71.595352016404604</v>
      </c>
      <c r="J826" t="b">
        <f>VLOOKUP($C826, Egli_UPEC_metadata_provided!$A$2:$M$826, 9, FALSE)</f>
        <v>0</v>
      </c>
      <c r="K826">
        <f>VLOOKUP($C826, Egli_UPEC_metadata_provided!$A$2:$M$826, 10, FALSE)</f>
        <v>0</v>
      </c>
      <c r="L826" t="str">
        <f>VLOOKUP($C826, Egli_UPEC_metadata_provided!$A$2:$M$826, 11, FALSE)</f>
        <v>invasive</v>
      </c>
      <c r="M826">
        <f>VLOOKUP($C826, Egli_UPEC_metadata_provided!$A$2:$M$826, 12, FALSE)</f>
        <v>0</v>
      </c>
      <c r="N826">
        <f>VLOOKUP($C826, Egli_UPEC_metadata_provided!$A$2:$M$826, 13, FALSE)</f>
        <v>0</v>
      </c>
      <c r="O826">
        <f>VLOOKUP($C826, Egli_UPEC_metadata_provided!$A$2:$N$826, 14, FALSE)</f>
        <v>0</v>
      </c>
    </row>
    <row r="827" spans="1:15" x14ac:dyDescent="0.2">
      <c r="A827" t="s">
        <v>382</v>
      </c>
      <c r="B827" t="s">
        <v>3617</v>
      </c>
      <c r="C827" t="s">
        <v>3617</v>
      </c>
      <c r="D827">
        <f>VLOOKUP($C827, Egli_UPEC_metadata_provided!$A$2:$M$826, 3, FALSE)</f>
        <v>2020</v>
      </c>
      <c r="E827" t="str">
        <f>VLOOKUP($C827, Egli_UPEC_metadata_provided!$A$2:$M$826, 4, FALSE)</f>
        <v>B2-2</v>
      </c>
      <c r="F827" t="str">
        <f>VLOOKUP($C827, Egli_UPEC_metadata_provided!$A$2:$M$826, 5, FALSE)</f>
        <v>w</v>
      </c>
      <c r="G827">
        <f>VLOOKUP($C827, Egli_UPEC_metadata_provided!$A$2:$M$826, 6, FALSE)</f>
        <v>0</v>
      </c>
      <c r="H827">
        <f>VLOOKUP($C827, Egli_UPEC_metadata_provided!$A$2:$M$826, 7, FALSE)</f>
        <v>1</v>
      </c>
      <c r="I827">
        <f>VLOOKUP($C827, Egli_UPEC_metadata_provided!$A$2:$M$826, 8, FALSE)</f>
        <v>78.627477785372506</v>
      </c>
      <c r="J827" t="b">
        <f>VLOOKUP($C827, Egli_UPEC_metadata_provided!$A$2:$M$826, 9, FALSE)</f>
        <v>0</v>
      </c>
      <c r="K827">
        <f>VLOOKUP($C827, Egli_UPEC_metadata_provided!$A$2:$M$826, 10, FALSE)</f>
        <v>0</v>
      </c>
      <c r="L827" t="str">
        <f>VLOOKUP($C827, Egli_UPEC_metadata_provided!$A$2:$M$826, 11, FALSE)</f>
        <v>non-invasive</v>
      </c>
      <c r="M827">
        <f>VLOOKUP($C827, Egli_UPEC_metadata_provided!$A$2:$M$826, 12, FALSE)</f>
        <v>0</v>
      </c>
      <c r="N827">
        <f>VLOOKUP($C827, Egli_UPEC_metadata_provided!$A$2:$M$826, 13, FALSE)</f>
        <v>0</v>
      </c>
      <c r="O827">
        <f>VLOOKUP($C827, Egli_UPEC_metadata_provided!$A$2:$N$826, 14, FALSE)</f>
        <v>0</v>
      </c>
    </row>
    <row r="828" spans="1:15" x14ac:dyDescent="0.2">
      <c r="A828" t="s">
        <v>383</v>
      </c>
      <c r="B828" t="s">
        <v>3618</v>
      </c>
      <c r="C828" t="s">
        <v>3618</v>
      </c>
      <c r="D828">
        <f>VLOOKUP($C828, Egli_UPEC_metadata_provided!$A$2:$M$826, 3, FALSE)</f>
        <v>2020</v>
      </c>
      <c r="E828" t="str">
        <f>VLOOKUP($C828, Egli_UPEC_metadata_provided!$A$2:$M$826, 4, FALSE)</f>
        <v>B2-2</v>
      </c>
      <c r="F828" t="str">
        <f>VLOOKUP($C828, Egli_UPEC_metadata_provided!$A$2:$M$826, 5, FALSE)</f>
        <v>m</v>
      </c>
      <c r="G828">
        <f>VLOOKUP($C828, Egli_UPEC_metadata_provided!$A$2:$M$826, 6, FALSE)</f>
        <v>0</v>
      </c>
      <c r="H828">
        <f>VLOOKUP($C828, Egli_UPEC_metadata_provided!$A$2:$M$826, 7, FALSE)</f>
        <v>2</v>
      </c>
      <c r="I828">
        <f>VLOOKUP($C828, Egli_UPEC_metadata_provided!$A$2:$M$826, 8, FALSE)</f>
        <v>62.244702665755298</v>
      </c>
      <c r="J828" t="b">
        <f>VLOOKUP($C828, Egli_UPEC_metadata_provided!$A$2:$M$826, 9, FALSE)</f>
        <v>0</v>
      </c>
      <c r="K828">
        <f>VLOOKUP($C828, Egli_UPEC_metadata_provided!$A$2:$M$826, 10, FALSE)</f>
        <v>0</v>
      </c>
      <c r="L828" t="str">
        <f>VLOOKUP($C828, Egli_UPEC_metadata_provided!$A$2:$M$826, 11, FALSE)</f>
        <v>invasive</v>
      </c>
      <c r="M828">
        <f>VLOOKUP($C828, Egli_UPEC_metadata_provided!$A$2:$M$826, 12, FALSE)</f>
        <v>0</v>
      </c>
      <c r="N828">
        <f>VLOOKUP($C828, Egli_UPEC_metadata_provided!$A$2:$M$826, 13, FALSE)</f>
        <v>0</v>
      </c>
      <c r="O828">
        <f>VLOOKUP($C828, Egli_UPEC_metadata_provided!$A$2:$N$826, 14, FALSE)</f>
        <v>1</v>
      </c>
    </row>
    <row r="829" spans="1:15" x14ac:dyDescent="0.2">
      <c r="A829" t="s">
        <v>384</v>
      </c>
      <c r="B829" t="s">
        <v>3619</v>
      </c>
      <c r="C829" t="s">
        <v>3619</v>
      </c>
      <c r="D829">
        <f>VLOOKUP($C829, Egli_UPEC_metadata_provided!$A$2:$M$826, 3, FALSE)</f>
        <v>2020</v>
      </c>
      <c r="E829" t="str">
        <f>VLOOKUP($C829, Egli_UPEC_metadata_provided!$A$2:$M$826, 4, FALSE)</f>
        <v>B1</v>
      </c>
      <c r="F829" t="str">
        <f>VLOOKUP($C829, Egli_UPEC_metadata_provided!$A$2:$M$826, 5, FALSE)</f>
        <v>m</v>
      </c>
      <c r="G829">
        <f>VLOOKUP($C829, Egli_UPEC_metadata_provided!$A$2:$M$826, 6, FALSE)</f>
        <v>0</v>
      </c>
      <c r="H829">
        <f>VLOOKUP($C829, Egli_UPEC_metadata_provided!$A$2:$M$826, 7, FALSE)</f>
        <v>4</v>
      </c>
      <c r="I829">
        <f>VLOOKUP($C829, Egli_UPEC_metadata_provided!$A$2:$M$826, 8, FALSE)</f>
        <v>65.856459330143494</v>
      </c>
      <c r="J829" t="b">
        <f>VLOOKUP($C829, Egli_UPEC_metadata_provided!$A$2:$M$826, 9, FALSE)</f>
        <v>0</v>
      </c>
      <c r="K829">
        <f>VLOOKUP($C829, Egli_UPEC_metadata_provided!$A$2:$M$826, 10, FALSE)</f>
        <v>0</v>
      </c>
      <c r="L829" t="str">
        <f>VLOOKUP($C829, Egli_UPEC_metadata_provided!$A$2:$M$826, 11, FALSE)</f>
        <v>non-invasive</v>
      </c>
      <c r="M829">
        <f>VLOOKUP($C829, Egli_UPEC_metadata_provided!$A$2:$M$826, 12, FALSE)</f>
        <v>0</v>
      </c>
      <c r="N829">
        <f>VLOOKUP($C829, Egli_UPEC_metadata_provided!$A$2:$M$826, 13, FALSE)</f>
        <v>0</v>
      </c>
      <c r="O829">
        <f>VLOOKUP($C829, Egli_UPEC_metadata_provided!$A$2:$N$826, 14, FALSE)</f>
        <v>0</v>
      </c>
    </row>
    <row r="830" spans="1:15" x14ac:dyDescent="0.2">
      <c r="A830" t="s">
        <v>385</v>
      </c>
      <c r="B830" t="s">
        <v>3620</v>
      </c>
      <c r="C830" t="s">
        <v>3620</v>
      </c>
      <c r="D830">
        <f>VLOOKUP($C830, Egli_UPEC_metadata_provided!$A$2:$M$826, 3, FALSE)</f>
        <v>2020</v>
      </c>
      <c r="E830" t="str">
        <f>VLOOKUP($C830, Egli_UPEC_metadata_provided!$A$2:$M$826, 4, FALSE)</f>
        <v>B2-1</v>
      </c>
      <c r="F830" t="str">
        <f>VLOOKUP($C830, Egli_UPEC_metadata_provided!$A$2:$M$826, 5, FALSE)</f>
        <v>w</v>
      </c>
      <c r="G830">
        <f>VLOOKUP($C830, Egli_UPEC_metadata_provided!$A$2:$M$826, 6, FALSE)</f>
        <v>0</v>
      </c>
      <c r="H830">
        <f>VLOOKUP($C830, Egli_UPEC_metadata_provided!$A$2:$M$826, 7, FALSE)</f>
        <v>3</v>
      </c>
      <c r="I830">
        <f>VLOOKUP($C830, Egli_UPEC_metadata_provided!$A$2:$M$826, 8, FALSE)</f>
        <v>69.096377306903605</v>
      </c>
      <c r="J830" t="b">
        <f>VLOOKUP($C830, Egli_UPEC_metadata_provided!$A$2:$M$826, 9, FALSE)</f>
        <v>0</v>
      </c>
      <c r="K830">
        <f>VLOOKUP($C830, Egli_UPEC_metadata_provided!$A$2:$M$826, 10, FALSE)</f>
        <v>0</v>
      </c>
      <c r="L830" t="str">
        <f>VLOOKUP($C830, Egli_UPEC_metadata_provided!$A$2:$M$826, 11, FALSE)</f>
        <v>non-invasive</v>
      </c>
      <c r="M830">
        <f>VLOOKUP($C830, Egli_UPEC_metadata_provided!$A$2:$M$826, 12, FALSE)</f>
        <v>0</v>
      </c>
      <c r="N830">
        <f>VLOOKUP($C830, Egli_UPEC_metadata_provided!$A$2:$M$826, 13, FALSE)</f>
        <v>0</v>
      </c>
      <c r="O830">
        <f>VLOOKUP($C830, Egli_UPEC_metadata_provided!$A$2:$N$826, 14, FALSE)</f>
        <v>0</v>
      </c>
    </row>
    <row r="831" spans="1:15" x14ac:dyDescent="0.2">
      <c r="A831" t="s">
        <v>386</v>
      </c>
      <c r="B831" t="s">
        <v>3621</v>
      </c>
      <c r="C831" t="s">
        <v>3621</v>
      </c>
      <c r="D831">
        <f>VLOOKUP($C831, Egli_UPEC_metadata_provided!$A$2:$M$826, 3, FALSE)</f>
        <v>2020</v>
      </c>
      <c r="E831" t="str">
        <f>VLOOKUP($C831, Egli_UPEC_metadata_provided!$A$2:$M$826, 4, FALSE)</f>
        <v>B2-2</v>
      </c>
      <c r="F831" t="str">
        <f>VLOOKUP($C831, Egli_UPEC_metadata_provided!$A$2:$M$826, 5, FALSE)</f>
        <v>w</v>
      </c>
      <c r="G831">
        <f>VLOOKUP($C831, Egli_UPEC_metadata_provided!$A$2:$M$826, 6, FALSE)</f>
        <v>0</v>
      </c>
      <c r="H831">
        <f>VLOOKUP($C831, Egli_UPEC_metadata_provided!$A$2:$M$826, 7, FALSE)</f>
        <v>2</v>
      </c>
      <c r="I831">
        <f>VLOOKUP($C831, Egli_UPEC_metadata_provided!$A$2:$M$826, 8, FALSE)</f>
        <v>58.805194805194802</v>
      </c>
      <c r="J831" t="b">
        <f>VLOOKUP($C831, Egli_UPEC_metadata_provided!$A$2:$M$826, 9, FALSE)</f>
        <v>0</v>
      </c>
      <c r="K831">
        <f>VLOOKUP($C831, Egli_UPEC_metadata_provided!$A$2:$M$826, 10, FALSE)</f>
        <v>0</v>
      </c>
      <c r="L831" t="str">
        <f>VLOOKUP($C831, Egli_UPEC_metadata_provided!$A$2:$M$826, 11, FALSE)</f>
        <v>non-invasive</v>
      </c>
      <c r="M831">
        <f>VLOOKUP($C831, Egli_UPEC_metadata_provided!$A$2:$M$826, 12, FALSE)</f>
        <v>1</v>
      </c>
      <c r="N831">
        <f>VLOOKUP($C831, Egli_UPEC_metadata_provided!$A$2:$M$826, 13, FALSE)</f>
        <v>0</v>
      </c>
      <c r="O831">
        <f>VLOOKUP($C831, Egli_UPEC_metadata_provided!$A$2:$N$826, 14, FALSE)</f>
        <v>0</v>
      </c>
    </row>
    <row r="832" spans="1:15" x14ac:dyDescent="0.2">
      <c r="A832" t="s">
        <v>387</v>
      </c>
      <c r="B832" t="s">
        <v>3622</v>
      </c>
      <c r="C832" t="s">
        <v>3622</v>
      </c>
      <c r="D832">
        <f>VLOOKUP($C832, Egli_UPEC_metadata_provided!$A$2:$M$826, 3, FALSE)</f>
        <v>2020</v>
      </c>
      <c r="E832" t="str">
        <f>VLOOKUP($C832, Egli_UPEC_metadata_provided!$A$2:$M$826, 4, FALSE)</f>
        <v>B2-2</v>
      </c>
      <c r="F832" t="str">
        <f>VLOOKUP($C832, Egli_UPEC_metadata_provided!$A$2:$M$826, 5, FALSE)</f>
        <v>w</v>
      </c>
      <c r="G832">
        <f>VLOOKUP($C832, Egli_UPEC_metadata_provided!$A$2:$M$826, 6, FALSE)</f>
        <v>0</v>
      </c>
      <c r="H832">
        <f>VLOOKUP($C832, Egli_UPEC_metadata_provided!$A$2:$M$826, 7, FALSE)</f>
        <v>2</v>
      </c>
      <c r="I832">
        <f>VLOOKUP($C832, Egli_UPEC_metadata_provided!$A$2:$M$826, 8, FALSE)</f>
        <v>90.220095693779896</v>
      </c>
      <c r="J832" t="b">
        <f>VLOOKUP($C832, Egli_UPEC_metadata_provided!$A$2:$M$826, 9, FALSE)</f>
        <v>0</v>
      </c>
      <c r="K832">
        <f>VLOOKUP($C832, Egli_UPEC_metadata_provided!$A$2:$M$826, 10, FALSE)</f>
        <v>0</v>
      </c>
      <c r="L832" t="str">
        <f>VLOOKUP($C832, Egli_UPEC_metadata_provided!$A$2:$M$826, 11, FALSE)</f>
        <v>non-invasive</v>
      </c>
      <c r="M832">
        <f>VLOOKUP($C832, Egli_UPEC_metadata_provided!$A$2:$M$826, 12, FALSE)</f>
        <v>0</v>
      </c>
      <c r="N832">
        <f>VLOOKUP($C832, Egli_UPEC_metadata_provided!$A$2:$M$826, 13, FALSE)</f>
        <v>0</v>
      </c>
      <c r="O832">
        <f>VLOOKUP($C832, Egli_UPEC_metadata_provided!$A$2:$N$826, 14, FALSE)</f>
        <v>0</v>
      </c>
    </row>
    <row r="833" spans="1:15" x14ac:dyDescent="0.2">
      <c r="A833" t="s">
        <v>388</v>
      </c>
      <c r="B833" t="s">
        <v>3623</v>
      </c>
      <c r="C833" t="s">
        <v>3623</v>
      </c>
      <c r="D833">
        <f>VLOOKUP($C833, Egli_UPEC_metadata_provided!$A$2:$M$826, 3, FALSE)</f>
        <v>2020</v>
      </c>
      <c r="E833" t="str">
        <f>VLOOKUP($C833, Egli_UPEC_metadata_provided!$A$2:$M$826, 4, FALSE)</f>
        <v>B2-2</v>
      </c>
      <c r="F833" t="str">
        <f>VLOOKUP($C833, Egli_UPEC_metadata_provided!$A$2:$M$826, 5, FALSE)</f>
        <v>m</v>
      </c>
      <c r="G833">
        <f>VLOOKUP($C833, Egli_UPEC_metadata_provided!$A$2:$M$826, 6, FALSE)</f>
        <v>0</v>
      </c>
      <c r="H833">
        <f>VLOOKUP($C833, Egli_UPEC_metadata_provided!$A$2:$M$826, 7, FALSE)</f>
        <v>0</v>
      </c>
      <c r="I833">
        <f>VLOOKUP($C833, Egli_UPEC_metadata_provided!$A$2:$M$826, 8, FALSE)</f>
        <v>62.818865345181102</v>
      </c>
      <c r="J833" t="b">
        <f>VLOOKUP($C833, Egli_UPEC_metadata_provided!$A$2:$M$826, 9, FALSE)</f>
        <v>0</v>
      </c>
      <c r="K833">
        <f>VLOOKUP($C833, Egli_UPEC_metadata_provided!$A$2:$M$826, 10, FALSE)</f>
        <v>0</v>
      </c>
      <c r="L833" t="str">
        <f>VLOOKUP($C833, Egli_UPEC_metadata_provided!$A$2:$M$826, 11, FALSE)</f>
        <v>non-invasive</v>
      </c>
      <c r="M833">
        <f>VLOOKUP($C833, Egli_UPEC_metadata_provided!$A$2:$M$826, 12, FALSE)</f>
        <v>0</v>
      </c>
      <c r="N833">
        <f>VLOOKUP($C833, Egli_UPEC_metadata_provided!$A$2:$M$826, 13, FALSE)</f>
        <v>0</v>
      </c>
      <c r="O833">
        <f>VLOOKUP($C833, Egli_UPEC_metadata_provided!$A$2:$N$826, 14, FALSE)</f>
        <v>1</v>
      </c>
    </row>
    <row r="834" spans="1:15" x14ac:dyDescent="0.2">
      <c r="A834" t="s">
        <v>389</v>
      </c>
      <c r="B834" t="s">
        <v>3624</v>
      </c>
      <c r="C834" t="s">
        <v>3624</v>
      </c>
      <c r="D834">
        <f>VLOOKUP($C834, Egli_UPEC_metadata_provided!$A$2:$M$826, 3, FALSE)</f>
        <v>2020</v>
      </c>
      <c r="E834" t="str">
        <f>VLOOKUP($C834, Egli_UPEC_metadata_provided!$A$2:$M$826, 4, FALSE)</f>
        <v>B2-2</v>
      </c>
      <c r="F834" t="str">
        <f>VLOOKUP($C834, Egli_UPEC_metadata_provided!$A$2:$M$826, 5, FALSE)</f>
        <v>m</v>
      </c>
      <c r="G834">
        <f>VLOOKUP($C834, Egli_UPEC_metadata_provided!$A$2:$M$826, 6, FALSE)</f>
        <v>0</v>
      </c>
      <c r="H834">
        <f>VLOOKUP($C834, Egli_UPEC_metadata_provided!$A$2:$M$826, 7, FALSE)</f>
        <v>1</v>
      </c>
      <c r="I834">
        <f>VLOOKUP($C834, Egli_UPEC_metadata_provided!$A$2:$M$826, 8, FALSE)</f>
        <v>67.138755980861205</v>
      </c>
      <c r="J834" t="b">
        <f>VLOOKUP($C834, Egli_UPEC_metadata_provided!$A$2:$M$826, 9, FALSE)</f>
        <v>0</v>
      </c>
      <c r="K834">
        <f>VLOOKUP($C834, Egli_UPEC_metadata_provided!$A$2:$M$826, 10, FALSE)</f>
        <v>0</v>
      </c>
      <c r="L834" t="str">
        <f>VLOOKUP($C834, Egli_UPEC_metadata_provided!$A$2:$M$826, 11, FALSE)</f>
        <v>non-invasive</v>
      </c>
      <c r="M834">
        <f>VLOOKUP($C834, Egli_UPEC_metadata_provided!$A$2:$M$826, 12, FALSE)</f>
        <v>1</v>
      </c>
      <c r="N834">
        <f>VLOOKUP($C834, Egli_UPEC_metadata_provided!$A$2:$M$826, 13, FALSE)</f>
        <v>0</v>
      </c>
      <c r="O834">
        <f>VLOOKUP($C834, Egli_UPEC_metadata_provided!$A$2:$N$826, 14, FALSE)</f>
        <v>0</v>
      </c>
    </row>
    <row r="835" spans="1:15" x14ac:dyDescent="0.2">
      <c r="A835" t="s">
        <v>390</v>
      </c>
      <c r="B835" t="s">
        <v>3625</v>
      </c>
      <c r="C835" t="s">
        <v>3625</v>
      </c>
      <c r="D835">
        <f>VLOOKUP($C835, Egli_UPEC_metadata_provided!$A$2:$M$826, 3, FALSE)</f>
        <v>2020</v>
      </c>
      <c r="E835" t="str">
        <f>VLOOKUP($C835, Egli_UPEC_metadata_provided!$A$2:$M$826, 4, FALSE)</f>
        <v>F</v>
      </c>
      <c r="F835" t="str">
        <f>VLOOKUP($C835, Egli_UPEC_metadata_provided!$A$2:$M$826, 5, FALSE)</f>
        <v>w</v>
      </c>
      <c r="G835">
        <f>VLOOKUP($C835, Egli_UPEC_metadata_provided!$A$2:$M$826, 6, FALSE)</f>
        <v>0</v>
      </c>
      <c r="H835">
        <f>VLOOKUP($C835, Egli_UPEC_metadata_provided!$A$2:$M$826, 7, FALSE)</f>
        <v>6</v>
      </c>
      <c r="I835">
        <f>VLOOKUP($C835, Egli_UPEC_metadata_provided!$A$2:$M$826, 8, FALSE)</f>
        <v>81.118250170881794</v>
      </c>
      <c r="J835" t="b">
        <f>VLOOKUP($C835, Egli_UPEC_metadata_provided!$A$2:$M$826, 9, FALSE)</f>
        <v>0</v>
      </c>
      <c r="K835">
        <f>VLOOKUP($C835, Egli_UPEC_metadata_provided!$A$2:$M$826, 10, FALSE)</f>
        <v>0</v>
      </c>
      <c r="L835" t="str">
        <f>VLOOKUP($C835, Egli_UPEC_metadata_provided!$A$2:$M$826, 11, FALSE)</f>
        <v>non-invasive</v>
      </c>
      <c r="M835">
        <f>VLOOKUP($C835, Egli_UPEC_metadata_provided!$A$2:$M$826, 12, FALSE)</f>
        <v>0</v>
      </c>
      <c r="N835">
        <f>VLOOKUP($C835, Egli_UPEC_metadata_provided!$A$2:$M$826, 13, FALSE)</f>
        <v>0</v>
      </c>
      <c r="O835">
        <f>VLOOKUP($C835, Egli_UPEC_metadata_provided!$A$2:$N$826, 14, FALSE)</f>
        <v>0</v>
      </c>
    </row>
    <row r="836" spans="1:15" x14ac:dyDescent="0.2">
      <c r="A836" t="s">
        <v>391</v>
      </c>
      <c r="B836" t="s">
        <v>3626</v>
      </c>
      <c r="C836" t="s">
        <v>3626</v>
      </c>
      <c r="D836">
        <f>VLOOKUP($C836, Egli_UPEC_metadata_provided!$A$2:$M$826, 3, FALSE)</f>
        <v>2020</v>
      </c>
      <c r="E836" t="str">
        <f>VLOOKUP($C836, Egli_UPEC_metadata_provided!$A$2:$M$826, 4, FALSE)</f>
        <v>B2-1</v>
      </c>
      <c r="F836" t="str">
        <f>VLOOKUP($C836, Egli_UPEC_metadata_provided!$A$2:$M$826, 5, FALSE)</f>
        <v>m</v>
      </c>
      <c r="G836">
        <f>VLOOKUP($C836, Egli_UPEC_metadata_provided!$A$2:$M$826, 6, FALSE)</f>
        <v>0</v>
      </c>
      <c r="H836">
        <f>VLOOKUP($C836, Egli_UPEC_metadata_provided!$A$2:$M$826, 7, FALSE)</f>
        <v>2</v>
      </c>
      <c r="I836">
        <f>VLOOKUP($C836, Egli_UPEC_metadata_provided!$A$2:$M$826, 8, FALSE)</f>
        <v>63.267259056732698</v>
      </c>
      <c r="J836" t="b">
        <f>VLOOKUP($C836, Egli_UPEC_metadata_provided!$A$2:$M$826, 9, FALSE)</f>
        <v>0</v>
      </c>
      <c r="K836">
        <f>VLOOKUP($C836, Egli_UPEC_metadata_provided!$A$2:$M$826, 10, FALSE)</f>
        <v>1</v>
      </c>
      <c r="L836" t="str">
        <f>VLOOKUP($C836, Egli_UPEC_metadata_provided!$A$2:$M$826, 11, FALSE)</f>
        <v>invasive</v>
      </c>
      <c r="M836">
        <f>VLOOKUP($C836, Egli_UPEC_metadata_provided!$A$2:$M$826, 12, FALSE)</f>
        <v>1</v>
      </c>
      <c r="N836">
        <f>VLOOKUP($C836, Egli_UPEC_metadata_provided!$A$2:$M$826, 13, FALSE)</f>
        <v>0</v>
      </c>
      <c r="O836">
        <f>VLOOKUP($C836, Egli_UPEC_metadata_provided!$A$2:$N$826, 14, FALSE)</f>
        <v>0</v>
      </c>
    </row>
    <row r="837" spans="1:15" x14ac:dyDescent="0.2">
      <c r="A837" t="s">
        <v>392</v>
      </c>
      <c r="B837" t="s">
        <v>3627</v>
      </c>
      <c r="C837" t="s">
        <v>3627</v>
      </c>
      <c r="D837">
        <f>VLOOKUP($C837, Egli_UPEC_metadata_provided!$A$2:$M$826, 3, FALSE)</f>
        <v>2020</v>
      </c>
      <c r="E837" t="str">
        <f>VLOOKUP($C837, Egli_UPEC_metadata_provided!$A$2:$M$826, 4, FALSE)</f>
        <v>B2-2</v>
      </c>
      <c r="F837" t="str">
        <f>VLOOKUP($C837, Egli_UPEC_metadata_provided!$A$2:$M$826, 5, FALSE)</f>
        <v>m</v>
      </c>
      <c r="G837">
        <f>VLOOKUP($C837, Egli_UPEC_metadata_provided!$A$2:$M$826, 6, FALSE)</f>
        <v>0</v>
      </c>
      <c r="H837">
        <f>VLOOKUP($C837, Egli_UPEC_metadata_provided!$A$2:$M$826, 7, FALSE)</f>
        <v>1</v>
      </c>
      <c r="I837">
        <f>VLOOKUP($C837, Egli_UPEC_metadata_provided!$A$2:$M$826, 8, FALSE)</f>
        <v>60.336295283663702</v>
      </c>
      <c r="J837" t="b">
        <f>VLOOKUP($C837, Egli_UPEC_metadata_provided!$A$2:$M$826, 9, FALSE)</f>
        <v>0</v>
      </c>
      <c r="K837">
        <f>VLOOKUP($C837, Egli_UPEC_metadata_provided!$A$2:$M$826, 10, FALSE)</f>
        <v>0</v>
      </c>
      <c r="L837" t="str">
        <f>VLOOKUP($C837, Egli_UPEC_metadata_provided!$A$2:$M$826, 11, FALSE)</f>
        <v>non-invasive</v>
      </c>
      <c r="M837">
        <f>VLOOKUP($C837, Egli_UPEC_metadata_provided!$A$2:$M$826, 12, FALSE)</f>
        <v>1</v>
      </c>
      <c r="N837">
        <f>VLOOKUP($C837, Egli_UPEC_metadata_provided!$A$2:$M$826, 13, FALSE)</f>
        <v>0</v>
      </c>
      <c r="O837">
        <f>VLOOKUP($C837, Egli_UPEC_metadata_provided!$A$2:$N$826, 14, FALSE)</f>
        <v>1</v>
      </c>
    </row>
    <row r="838" spans="1:15" x14ac:dyDescent="0.2">
      <c r="A838" t="s">
        <v>393</v>
      </c>
      <c r="B838" t="s">
        <v>3628</v>
      </c>
      <c r="C838" t="s">
        <v>3628</v>
      </c>
      <c r="D838">
        <f>VLOOKUP($C838, Egli_UPEC_metadata_provided!$A$2:$M$826, 3, FALSE)</f>
        <v>2020</v>
      </c>
      <c r="E838" t="str">
        <f>VLOOKUP($C838, Egli_UPEC_metadata_provided!$A$2:$M$826, 4, FALSE)</f>
        <v>B1</v>
      </c>
      <c r="F838" t="str">
        <f>VLOOKUP($C838, Egli_UPEC_metadata_provided!$A$2:$M$826, 5, FALSE)</f>
        <v>w</v>
      </c>
      <c r="G838">
        <f>VLOOKUP($C838, Egli_UPEC_metadata_provided!$A$2:$M$826, 6, FALSE)</f>
        <v>0</v>
      </c>
      <c r="H838">
        <f>VLOOKUP($C838, Egli_UPEC_metadata_provided!$A$2:$M$826, 7, FALSE)</f>
        <v>0</v>
      </c>
      <c r="I838">
        <f>VLOOKUP($C838, Egli_UPEC_metadata_provided!$A$2:$M$826, 8, FALSE)</f>
        <v>71.226247436773704</v>
      </c>
      <c r="J838" t="b">
        <f>VLOOKUP($C838, Egli_UPEC_metadata_provided!$A$2:$M$826, 9, FALSE)</f>
        <v>0</v>
      </c>
      <c r="K838">
        <f>VLOOKUP($C838, Egli_UPEC_metadata_provided!$A$2:$M$826, 10, FALSE)</f>
        <v>0</v>
      </c>
      <c r="L838" t="str">
        <f>VLOOKUP($C838, Egli_UPEC_metadata_provided!$A$2:$M$826, 11, FALSE)</f>
        <v>non-invasive</v>
      </c>
      <c r="M838">
        <f>VLOOKUP($C838, Egli_UPEC_metadata_provided!$A$2:$M$826, 12, FALSE)</f>
        <v>1</v>
      </c>
      <c r="N838">
        <f>VLOOKUP($C838, Egli_UPEC_metadata_provided!$A$2:$M$826, 13, FALSE)</f>
        <v>0</v>
      </c>
      <c r="O838">
        <f>VLOOKUP($C838, Egli_UPEC_metadata_provided!$A$2:$N$826, 14, FALSE)</f>
        <v>0</v>
      </c>
    </row>
    <row r="839" spans="1:15" x14ac:dyDescent="0.2">
      <c r="A839" t="s">
        <v>394</v>
      </c>
      <c r="B839" t="s">
        <v>3629</v>
      </c>
      <c r="C839" t="s">
        <v>3629</v>
      </c>
      <c r="D839">
        <f>VLOOKUP($C839, Egli_UPEC_metadata_provided!$A$2:$M$826, 3, FALSE)</f>
        <v>2020</v>
      </c>
      <c r="E839" t="str">
        <f>VLOOKUP($C839, Egli_UPEC_metadata_provided!$A$2:$M$826, 4, FALSE)</f>
        <v>B2-2</v>
      </c>
      <c r="F839" t="str">
        <f>VLOOKUP($C839, Egli_UPEC_metadata_provided!$A$2:$M$826, 5, FALSE)</f>
        <v>w</v>
      </c>
      <c r="G839">
        <f>VLOOKUP($C839, Egli_UPEC_metadata_provided!$A$2:$M$826, 6, FALSE)</f>
        <v>1</v>
      </c>
      <c r="H839">
        <f>VLOOKUP($C839, Egli_UPEC_metadata_provided!$A$2:$M$826, 7, FALSE)</f>
        <v>2</v>
      </c>
      <c r="I839">
        <f>VLOOKUP($C839, Egli_UPEC_metadata_provided!$A$2:$M$826, 8, FALSE)</f>
        <v>51.037593984962399</v>
      </c>
      <c r="J839" t="b">
        <f>VLOOKUP($C839, Egli_UPEC_metadata_provided!$A$2:$M$826, 9, FALSE)</f>
        <v>0</v>
      </c>
      <c r="K839">
        <f>VLOOKUP($C839, Egli_UPEC_metadata_provided!$A$2:$M$826, 10, FALSE)</f>
        <v>0</v>
      </c>
      <c r="L839" t="str">
        <f>VLOOKUP($C839, Egli_UPEC_metadata_provided!$A$2:$M$826, 11, FALSE)</f>
        <v>non-invasive</v>
      </c>
      <c r="M839">
        <f>VLOOKUP($C839, Egli_UPEC_metadata_provided!$A$2:$M$826, 12, FALSE)</f>
        <v>1</v>
      </c>
      <c r="N839">
        <f>VLOOKUP($C839, Egli_UPEC_metadata_provided!$A$2:$M$826, 13, FALSE)</f>
        <v>0</v>
      </c>
      <c r="O839">
        <f>VLOOKUP($C839, Egli_UPEC_metadata_provided!$A$2:$N$826, 14, FALSE)</f>
        <v>0</v>
      </c>
    </row>
    <row r="840" spans="1:15" x14ac:dyDescent="0.2">
      <c r="A840" t="s">
        <v>395</v>
      </c>
      <c r="B840" t="s">
        <v>3630</v>
      </c>
      <c r="C840" t="s">
        <v>3630</v>
      </c>
      <c r="D840">
        <f>VLOOKUP($C840, Egli_UPEC_metadata_provided!$A$2:$M$826, 3, FALSE)</f>
        <v>2020</v>
      </c>
      <c r="E840" t="str">
        <f>VLOOKUP($C840, Egli_UPEC_metadata_provided!$A$2:$M$826, 4, FALSE)</f>
        <v>B2-2</v>
      </c>
      <c r="F840" t="str">
        <f>VLOOKUP($C840, Egli_UPEC_metadata_provided!$A$2:$M$826, 5, FALSE)</f>
        <v>w</v>
      </c>
      <c r="G840">
        <f>VLOOKUP($C840, Egli_UPEC_metadata_provided!$A$2:$M$826, 6, FALSE)</f>
        <v>0</v>
      </c>
      <c r="H840">
        <f>VLOOKUP($C840, Egli_UPEC_metadata_provided!$A$2:$M$826, 7, FALSE)</f>
        <v>2</v>
      </c>
      <c r="I840">
        <f>VLOOKUP($C840, Egli_UPEC_metadata_provided!$A$2:$M$826, 8, FALSE)</f>
        <v>82.277511961722496</v>
      </c>
      <c r="J840" t="b">
        <f>VLOOKUP($C840, Egli_UPEC_metadata_provided!$A$2:$M$826, 9, FALSE)</f>
        <v>0</v>
      </c>
      <c r="K840">
        <f>VLOOKUP($C840, Egli_UPEC_metadata_provided!$A$2:$M$826, 10, FALSE)</f>
        <v>0</v>
      </c>
      <c r="L840" t="str">
        <f>VLOOKUP($C840, Egli_UPEC_metadata_provided!$A$2:$M$826, 11, FALSE)</f>
        <v>non-invasive</v>
      </c>
      <c r="M840">
        <f>VLOOKUP($C840, Egli_UPEC_metadata_provided!$A$2:$M$826, 12, FALSE)</f>
        <v>0</v>
      </c>
      <c r="N840">
        <f>VLOOKUP($C840, Egli_UPEC_metadata_provided!$A$2:$M$826, 13, FALSE)</f>
        <v>0</v>
      </c>
      <c r="O840">
        <f>VLOOKUP($C840, Egli_UPEC_metadata_provided!$A$2:$N$826, 14, FALSE)</f>
        <v>0</v>
      </c>
    </row>
    <row r="841" spans="1:15" x14ac:dyDescent="0.2">
      <c r="A841" t="s">
        <v>396</v>
      </c>
      <c r="B841" t="s">
        <v>3631</v>
      </c>
      <c r="C841" t="s">
        <v>3631</v>
      </c>
      <c r="D841">
        <f>VLOOKUP($C841, Egli_UPEC_metadata_provided!$A$2:$M$826, 3, FALSE)</f>
        <v>2020</v>
      </c>
      <c r="E841" t="str">
        <f>VLOOKUP($C841, Egli_UPEC_metadata_provided!$A$2:$M$826, 4, FALSE)</f>
        <v>B2-1</v>
      </c>
      <c r="F841" t="str">
        <f>VLOOKUP($C841, Egli_UPEC_metadata_provided!$A$2:$M$826, 5, FALSE)</f>
        <v>w</v>
      </c>
      <c r="G841">
        <f>VLOOKUP($C841, Egli_UPEC_metadata_provided!$A$2:$M$826, 6, FALSE)</f>
        <v>0</v>
      </c>
      <c r="H841">
        <f>VLOOKUP($C841, Egli_UPEC_metadata_provided!$A$2:$M$826, 7, FALSE)</f>
        <v>1</v>
      </c>
      <c r="I841">
        <f>VLOOKUP($C841, Egli_UPEC_metadata_provided!$A$2:$M$826, 8, FALSE)</f>
        <v>88.043745727956306</v>
      </c>
      <c r="J841" t="b">
        <f>VLOOKUP($C841, Egli_UPEC_metadata_provided!$A$2:$M$826, 9, FALSE)</f>
        <v>1</v>
      </c>
      <c r="K841">
        <f>VLOOKUP($C841, Egli_UPEC_metadata_provided!$A$2:$M$826, 10, FALSE)</f>
        <v>1</v>
      </c>
      <c r="L841" t="str">
        <f>VLOOKUP($C841, Egli_UPEC_metadata_provided!$A$2:$M$826, 11, FALSE)</f>
        <v>non-invasive</v>
      </c>
      <c r="M841">
        <f>VLOOKUP($C841, Egli_UPEC_metadata_provided!$A$2:$M$826, 12, FALSE)</f>
        <v>0</v>
      </c>
      <c r="N841">
        <f>VLOOKUP($C841, Egli_UPEC_metadata_provided!$A$2:$M$826, 13, FALSE)</f>
        <v>0</v>
      </c>
      <c r="O841">
        <f>VLOOKUP($C841, Egli_UPEC_metadata_provided!$A$2:$N$826, 14, FALSE)</f>
        <v>0</v>
      </c>
    </row>
    <row r="842" spans="1:15" x14ac:dyDescent="0.2">
      <c r="A842" t="s">
        <v>397</v>
      </c>
      <c r="B842" t="s">
        <v>3632</v>
      </c>
      <c r="C842" t="s">
        <v>3632</v>
      </c>
      <c r="D842">
        <f>VLOOKUP($C842, Egli_UPEC_metadata_provided!$A$2:$M$826, 3, FALSE)</f>
        <v>2020</v>
      </c>
      <c r="E842" t="str">
        <f>VLOOKUP($C842, Egli_UPEC_metadata_provided!$A$2:$M$826, 4, FALSE)</f>
        <v>D1</v>
      </c>
      <c r="F842" t="str">
        <f>VLOOKUP($C842, Egli_UPEC_metadata_provided!$A$2:$M$826, 5, FALSE)</f>
        <v>w</v>
      </c>
      <c r="G842">
        <f>VLOOKUP($C842, Egli_UPEC_metadata_provided!$A$2:$M$826, 6, FALSE)</f>
        <v>0</v>
      </c>
      <c r="H842">
        <f>VLOOKUP($C842, Egli_UPEC_metadata_provided!$A$2:$M$826, 7, FALSE)</f>
        <v>0</v>
      </c>
      <c r="I842">
        <f>VLOOKUP($C842, Egli_UPEC_metadata_provided!$A$2:$M$826, 8, FALSE)</f>
        <v>71.660970608338999</v>
      </c>
      <c r="J842" t="b">
        <f>VLOOKUP($C842, Egli_UPEC_metadata_provided!$A$2:$M$826, 9, FALSE)</f>
        <v>0</v>
      </c>
      <c r="K842">
        <f>VLOOKUP($C842, Egli_UPEC_metadata_provided!$A$2:$M$826, 10, FALSE)</f>
        <v>0</v>
      </c>
      <c r="L842" t="str">
        <f>VLOOKUP($C842, Egli_UPEC_metadata_provided!$A$2:$M$826, 11, FALSE)</f>
        <v>non-invasive</v>
      </c>
      <c r="M842">
        <f>VLOOKUP($C842, Egli_UPEC_metadata_provided!$A$2:$M$826, 12, FALSE)</f>
        <v>0</v>
      </c>
      <c r="N842">
        <f>VLOOKUP($C842, Egli_UPEC_metadata_provided!$A$2:$M$826, 13, FALSE)</f>
        <v>0</v>
      </c>
      <c r="O842">
        <f>VLOOKUP($C842, Egli_UPEC_metadata_provided!$A$2:$N$826, 14, FALSE)</f>
        <v>0</v>
      </c>
    </row>
    <row r="843" spans="1:15" x14ac:dyDescent="0.2">
      <c r="A843" t="s">
        <v>398</v>
      </c>
      <c r="B843" t="s">
        <v>3633</v>
      </c>
      <c r="C843" t="s">
        <v>3633</v>
      </c>
      <c r="D843">
        <f>VLOOKUP($C843, Egli_UPEC_metadata_provided!$A$2:$M$826, 3, FALSE)</f>
        <v>2020</v>
      </c>
      <c r="E843" t="str">
        <f>VLOOKUP($C843, Egli_UPEC_metadata_provided!$A$2:$M$826, 4, FALSE)</f>
        <v>B2-2</v>
      </c>
      <c r="F843" t="str">
        <f>VLOOKUP($C843, Egli_UPEC_metadata_provided!$A$2:$M$826, 5, FALSE)</f>
        <v>w</v>
      </c>
      <c r="G843">
        <f>VLOOKUP($C843, Egli_UPEC_metadata_provided!$A$2:$M$826, 6, FALSE)</f>
        <v>0</v>
      </c>
      <c r="H843">
        <f>VLOOKUP($C843, Egli_UPEC_metadata_provided!$A$2:$M$826, 7, FALSE)</f>
        <v>1</v>
      </c>
      <c r="I843">
        <f>VLOOKUP($C843, Egli_UPEC_metadata_provided!$A$2:$M$826, 8, FALSE)</f>
        <v>89.539302802460696</v>
      </c>
      <c r="J843" t="b">
        <f>VLOOKUP($C843, Egli_UPEC_metadata_provided!$A$2:$M$826, 9, FALSE)</f>
        <v>0</v>
      </c>
      <c r="K843">
        <f>VLOOKUP($C843, Egli_UPEC_metadata_provided!$A$2:$M$826, 10, FALSE)</f>
        <v>0</v>
      </c>
      <c r="L843" t="str">
        <f>VLOOKUP($C843, Egli_UPEC_metadata_provided!$A$2:$M$826, 11, FALSE)</f>
        <v>non-invasive</v>
      </c>
      <c r="M843">
        <f>VLOOKUP($C843, Egli_UPEC_metadata_provided!$A$2:$M$826, 12, FALSE)</f>
        <v>0</v>
      </c>
      <c r="N843">
        <f>VLOOKUP($C843, Egli_UPEC_metadata_provided!$A$2:$M$826, 13, FALSE)</f>
        <v>0</v>
      </c>
      <c r="O843">
        <f>VLOOKUP($C843, Egli_UPEC_metadata_provided!$A$2:$N$826, 14, FALSE)</f>
        <v>0</v>
      </c>
    </row>
    <row r="844" spans="1:15" x14ac:dyDescent="0.2">
      <c r="A844" t="s">
        <v>399</v>
      </c>
      <c r="B844" t="s">
        <v>3634</v>
      </c>
      <c r="C844" t="s">
        <v>3634</v>
      </c>
      <c r="D844">
        <f>VLOOKUP($C844, Egli_UPEC_metadata_provided!$A$2:$M$826, 3, FALSE)</f>
        <v>2020</v>
      </c>
      <c r="E844" t="str">
        <f>VLOOKUP($C844, Egli_UPEC_metadata_provided!$A$2:$M$826, 4, FALSE)</f>
        <v>B2-1</v>
      </c>
      <c r="F844" t="str">
        <f>VLOOKUP($C844, Egli_UPEC_metadata_provided!$A$2:$M$826, 5, FALSE)</f>
        <v>w</v>
      </c>
      <c r="G844">
        <f>VLOOKUP($C844, Egli_UPEC_metadata_provided!$A$2:$M$826, 6, FALSE)</f>
        <v>0</v>
      </c>
      <c r="H844">
        <f>VLOOKUP($C844, Egli_UPEC_metadata_provided!$A$2:$M$826, 7, FALSE)</f>
        <v>1</v>
      </c>
      <c r="I844">
        <f>VLOOKUP($C844, Egli_UPEC_metadata_provided!$A$2:$M$826, 8, FALSE)</f>
        <v>76.240601503759393</v>
      </c>
      <c r="J844" t="b">
        <f>VLOOKUP($C844, Egli_UPEC_metadata_provided!$A$2:$M$826, 9, FALSE)</f>
        <v>0</v>
      </c>
      <c r="K844">
        <f>VLOOKUP($C844, Egli_UPEC_metadata_provided!$A$2:$M$826, 10, FALSE)</f>
        <v>0</v>
      </c>
      <c r="L844" t="str">
        <f>VLOOKUP($C844, Egli_UPEC_metadata_provided!$A$2:$M$826, 11, FALSE)</f>
        <v>non-invasive</v>
      </c>
      <c r="M844">
        <f>VLOOKUP($C844, Egli_UPEC_metadata_provided!$A$2:$M$826, 12, FALSE)</f>
        <v>1</v>
      </c>
      <c r="N844">
        <f>VLOOKUP($C844, Egli_UPEC_metadata_provided!$A$2:$M$826, 13, FALSE)</f>
        <v>0</v>
      </c>
      <c r="O844">
        <f>VLOOKUP($C844, Egli_UPEC_metadata_provided!$A$2:$N$826, 14, FALSE)</f>
        <v>0</v>
      </c>
    </row>
    <row r="845" spans="1:15" x14ac:dyDescent="0.2">
      <c r="A845" t="s">
        <v>400</v>
      </c>
      <c r="B845" t="s">
        <v>3635</v>
      </c>
      <c r="C845" t="s">
        <v>3635</v>
      </c>
      <c r="D845">
        <f>VLOOKUP($C845, Egli_UPEC_metadata_provided!$A$2:$M$826, 3, FALSE)</f>
        <v>2020</v>
      </c>
      <c r="E845" t="str">
        <f>VLOOKUP($C845, Egli_UPEC_metadata_provided!$A$2:$M$826, 4, FALSE)</f>
        <v>D3</v>
      </c>
      <c r="F845" t="str">
        <f>VLOOKUP($C845, Egli_UPEC_metadata_provided!$A$2:$M$826, 5, FALSE)</f>
        <v>w</v>
      </c>
      <c r="G845">
        <f>VLOOKUP($C845, Egli_UPEC_metadata_provided!$A$2:$M$826, 6, FALSE)</f>
        <v>0</v>
      </c>
      <c r="H845">
        <f>VLOOKUP($C845, Egli_UPEC_metadata_provided!$A$2:$M$826, 7, FALSE)</f>
        <v>0</v>
      </c>
      <c r="I845">
        <f>VLOOKUP($C845, Egli_UPEC_metadata_provided!$A$2:$M$826, 8, FALSE)</f>
        <v>50.649350649350701</v>
      </c>
      <c r="J845" t="b">
        <f>VLOOKUP($C845, Egli_UPEC_metadata_provided!$A$2:$M$826, 9, FALSE)</f>
        <v>0</v>
      </c>
      <c r="K845">
        <f>VLOOKUP($C845, Egli_UPEC_metadata_provided!$A$2:$M$826, 10, FALSE)</f>
        <v>0</v>
      </c>
      <c r="L845" t="str">
        <f>VLOOKUP($C845, Egli_UPEC_metadata_provided!$A$2:$M$826, 11, FALSE)</f>
        <v>non-invasive</v>
      </c>
      <c r="M845">
        <f>VLOOKUP($C845, Egli_UPEC_metadata_provided!$A$2:$M$826, 12, FALSE)</f>
        <v>0</v>
      </c>
      <c r="N845">
        <f>VLOOKUP($C845, Egli_UPEC_metadata_provided!$A$2:$M$826, 13, FALSE)</f>
        <v>0</v>
      </c>
      <c r="O845">
        <f>VLOOKUP($C845, Egli_UPEC_metadata_provided!$A$2:$N$826, 14, FALSE)</f>
        <v>0</v>
      </c>
    </row>
    <row r="846" spans="1:15" x14ac:dyDescent="0.2">
      <c r="A846" t="s">
        <v>401</v>
      </c>
      <c r="B846" t="s">
        <v>3636</v>
      </c>
      <c r="C846" t="s">
        <v>3636</v>
      </c>
      <c r="D846">
        <f>VLOOKUP($C846, Egli_UPEC_metadata_provided!$A$2:$M$826, 3, FALSE)</f>
        <v>2020</v>
      </c>
      <c r="E846" t="str">
        <f>VLOOKUP($C846, Egli_UPEC_metadata_provided!$A$2:$M$826, 4, FALSE)</f>
        <v>B2-2</v>
      </c>
      <c r="F846" t="str">
        <f>VLOOKUP($C846, Egli_UPEC_metadata_provided!$A$2:$M$826, 5, FALSE)</f>
        <v>w</v>
      </c>
      <c r="G846">
        <f>VLOOKUP($C846, Egli_UPEC_metadata_provided!$A$2:$M$826, 6, FALSE)</f>
        <v>0</v>
      </c>
      <c r="H846">
        <f>VLOOKUP($C846, Egli_UPEC_metadata_provided!$A$2:$M$826, 7, FALSE)</f>
        <v>6</v>
      </c>
      <c r="I846">
        <f>VLOOKUP($C846, Egli_UPEC_metadata_provided!$A$2:$M$826, 8, FALSE)</f>
        <v>65.563909774436098</v>
      </c>
      <c r="J846" t="b">
        <f>VLOOKUP($C846, Egli_UPEC_metadata_provided!$A$2:$M$826, 9, FALSE)</f>
        <v>0</v>
      </c>
      <c r="K846">
        <f>VLOOKUP($C846, Egli_UPEC_metadata_provided!$A$2:$M$826, 10, FALSE)</f>
        <v>0</v>
      </c>
      <c r="L846" t="str">
        <f>VLOOKUP($C846, Egli_UPEC_metadata_provided!$A$2:$M$826, 11, FALSE)</f>
        <v>non-invasive</v>
      </c>
      <c r="M846">
        <f>VLOOKUP($C846, Egli_UPEC_metadata_provided!$A$2:$M$826, 12, FALSE)</f>
        <v>0</v>
      </c>
      <c r="N846">
        <f>VLOOKUP($C846, Egli_UPEC_metadata_provided!$A$2:$M$826, 13, FALSE)</f>
        <v>0</v>
      </c>
      <c r="O846">
        <f>VLOOKUP($C846, Egli_UPEC_metadata_provided!$A$2:$N$826, 14, FALSE)</f>
        <v>0</v>
      </c>
    </row>
    <row r="847" spans="1:15" x14ac:dyDescent="0.2">
      <c r="A847" t="s">
        <v>402</v>
      </c>
      <c r="B847" t="s">
        <v>3637</v>
      </c>
      <c r="C847" t="s">
        <v>3637</v>
      </c>
      <c r="D847">
        <f>VLOOKUP($C847, Egli_UPEC_metadata_provided!$A$2:$M$826, 3, FALSE)</f>
        <v>2020</v>
      </c>
      <c r="E847" t="str">
        <f>VLOOKUP($C847, Egli_UPEC_metadata_provided!$A$2:$M$826, 4, FALSE)</f>
        <v>B2-2</v>
      </c>
      <c r="F847" t="str">
        <f>VLOOKUP($C847, Egli_UPEC_metadata_provided!$A$2:$M$826, 5, FALSE)</f>
        <v>w</v>
      </c>
      <c r="G847">
        <f>VLOOKUP($C847, Egli_UPEC_metadata_provided!$A$2:$M$826, 6, FALSE)</f>
        <v>0</v>
      </c>
      <c r="H847">
        <f>VLOOKUP($C847, Egli_UPEC_metadata_provided!$A$2:$M$826, 7, FALSE)</f>
        <v>0</v>
      </c>
      <c r="I847">
        <f>VLOOKUP($C847, Egli_UPEC_metadata_provided!$A$2:$M$826, 8, FALSE)</f>
        <v>72.071086807928907</v>
      </c>
      <c r="J847" t="b">
        <f>VLOOKUP($C847, Egli_UPEC_metadata_provided!$A$2:$M$826, 9, FALSE)</f>
        <v>0</v>
      </c>
      <c r="K847">
        <f>VLOOKUP($C847, Egli_UPEC_metadata_provided!$A$2:$M$826, 10, FALSE)</f>
        <v>0</v>
      </c>
      <c r="L847" t="str">
        <f>VLOOKUP($C847, Egli_UPEC_metadata_provided!$A$2:$M$826, 11, FALSE)</f>
        <v>non-invasive</v>
      </c>
      <c r="M847">
        <f>VLOOKUP($C847, Egli_UPEC_metadata_provided!$A$2:$M$826, 12, FALSE)</f>
        <v>1</v>
      </c>
      <c r="N847">
        <f>VLOOKUP($C847, Egli_UPEC_metadata_provided!$A$2:$M$826, 13, FALSE)</f>
        <v>0</v>
      </c>
      <c r="O847">
        <f>VLOOKUP($C847, Egli_UPEC_metadata_provided!$A$2:$N$826, 14, FALSE)</f>
        <v>0</v>
      </c>
    </row>
    <row r="848" spans="1:15" x14ac:dyDescent="0.2">
      <c r="A848" t="s">
        <v>403</v>
      </c>
      <c r="B848" t="s">
        <v>3638</v>
      </c>
      <c r="C848" t="s">
        <v>3638</v>
      </c>
      <c r="D848">
        <f>VLOOKUP($C848, Egli_UPEC_metadata_provided!$A$2:$M$826, 3, FALSE)</f>
        <v>2020</v>
      </c>
      <c r="E848" t="str">
        <f>VLOOKUP($C848, Egli_UPEC_metadata_provided!$A$2:$M$826, 4, FALSE)</f>
        <v>D2</v>
      </c>
      <c r="F848" t="str">
        <f>VLOOKUP($C848, Egli_UPEC_metadata_provided!$A$2:$M$826, 5, FALSE)</f>
        <v>w</v>
      </c>
      <c r="G848">
        <f>VLOOKUP($C848, Egli_UPEC_metadata_provided!$A$2:$M$826, 6, FALSE)</f>
        <v>0</v>
      </c>
      <c r="H848">
        <f>VLOOKUP($C848, Egli_UPEC_metadata_provided!$A$2:$M$826, 7, FALSE)</f>
        <v>2</v>
      </c>
      <c r="I848">
        <f>VLOOKUP($C848, Egli_UPEC_metadata_provided!$A$2:$M$826, 8, FALSE)</f>
        <v>81.719753930280206</v>
      </c>
      <c r="J848" t="b">
        <f>VLOOKUP($C848, Egli_UPEC_metadata_provided!$A$2:$M$826, 9, FALSE)</f>
        <v>0</v>
      </c>
      <c r="K848">
        <f>VLOOKUP($C848, Egli_UPEC_metadata_provided!$A$2:$M$826, 10, FALSE)</f>
        <v>0</v>
      </c>
      <c r="L848" t="str">
        <f>VLOOKUP($C848, Egli_UPEC_metadata_provided!$A$2:$M$826, 11, FALSE)</f>
        <v>non-invasive</v>
      </c>
      <c r="M848">
        <f>VLOOKUP($C848, Egli_UPEC_metadata_provided!$A$2:$M$826, 12, FALSE)</f>
        <v>1</v>
      </c>
      <c r="N848">
        <f>VLOOKUP($C848, Egli_UPEC_metadata_provided!$A$2:$M$826, 13, FALSE)</f>
        <v>1</v>
      </c>
      <c r="O848">
        <f>VLOOKUP($C848, Egli_UPEC_metadata_provided!$A$2:$N$826, 14, FALSE)</f>
        <v>0</v>
      </c>
    </row>
    <row r="849" spans="1:15" x14ac:dyDescent="0.2">
      <c r="A849" t="s">
        <v>404</v>
      </c>
      <c r="B849" t="s">
        <v>3639</v>
      </c>
      <c r="C849" t="s">
        <v>3639</v>
      </c>
      <c r="D849">
        <f>VLOOKUP($C849, Egli_UPEC_metadata_provided!$A$2:$M$826, 3, FALSE)</f>
        <v>2020</v>
      </c>
      <c r="E849" t="str">
        <f>VLOOKUP($C849, Egli_UPEC_metadata_provided!$A$2:$M$826, 4, FALSE)</f>
        <v>B1</v>
      </c>
      <c r="F849" t="str">
        <f>VLOOKUP($C849, Egli_UPEC_metadata_provided!$A$2:$M$826, 5, FALSE)</f>
        <v>m</v>
      </c>
      <c r="G849">
        <f>VLOOKUP($C849, Egli_UPEC_metadata_provided!$A$2:$M$826, 6, FALSE)</f>
        <v>1</v>
      </c>
      <c r="H849">
        <f>VLOOKUP($C849, Egli_UPEC_metadata_provided!$A$2:$M$826, 7, FALSE)</f>
        <v>5</v>
      </c>
      <c r="I849">
        <f>VLOOKUP($C849, Egli_UPEC_metadata_provided!$A$2:$M$826, 8, FALSE)</f>
        <v>80.278879015721103</v>
      </c>
      <c r="J849" t="b">
        <f>VLOOKUP($C849, Egli_UPEC_metadata_provided!$A$2:$M$826, 9, FALSE)</f>
        <v>0</v>
      </c>
      <c r="K849">
        <f>VLOOKUP($C849, Egli_UPEC_metadata_provided!$A$2:$M$826, 10, FALSE)</f>
        <v>0</v>
      </c>
      <c r="L849" t="str">
        <f>VLOOKUP($C849, Egli_UPEC_metadata_provided!$A$2:$M$826, 11, FALSE)</f>
        <v>non-invasive</v>
      </c>
      <c r="M849">
        <f>VLOOKUP($C849, Egli_UPEC_metadata_provided!$A$2:$M$826, 12, FALSE)</f>
        <v>0</v>
      </c>
      <c r="N849">
        <f>VLOOKUP($C849, Egli_UPEC_metadata_provided!$A$2:$M$826, 13, FALSE)</f>
        <v>0</v>
      </c>
      <c r="O849">
        <f>VLOOKUP($C849, Egli_UPEC_metadata_provided!$A$2:$N$826, 14, FALSE)</f>
        <v>0</v>
      </c>
    </row>
    <row r="850" spans="1:15" x14ac:dyDescent="0.2">
      <c r="A850" t="s">
        <v>405</v>
      </c>
      <c r="B850" t="s">
        <v>3640</v>
      </c>
      <c r="C850" t="s">
        <v>3640</v>
      </c>
      <c r="D850">
        <f>VLOOKUP($C850, Egli_UPEC_metadata_provided!$A$2:$M$826, 3, FALSE)</f>
        <v>2020</v>
      </c>
      <c r="E850" t="str">
        <f>VLOOKUP($C850, Egli_UPEC_metadata_provided!$A$2:$M$826, 4, FALSE)</f>
        <v>B2-2</v>
      </c>
      <c r="F850" t="str">
        <f>VLOOKUP($C850, Egli_UPEC_metadata_provided!$A$2:$M$826, 5, FALSE)</f>
        <v>w</v>
      </c>
      <c r="G850">
        <f>VLOOKUP($C850, Egli_UPEC_metadata_provided!$A$2:$M$826, 6, FALSE)</f>
        <v>0</v>
      </c>
      <c r="H850">
        <f>VLOOKUP($C850, Egli_UPEC_metadata_provided!$A$2:$M$826, 7, FALSE)</f>
        <v>0</v>
      </c>
      <c r="I850">
        <f>VLOOKUP($C850, Egli_UPEC_metadata_provided!$A$2:$M$826, 8, FALSE)</f>
        <v>96.396445659603501</v>
      </c>
      <c r="J850" t="b">
        <f>VLOOKUP($C850, Egli_UPEC_metadata_provided!$A$2:$M$826, 9, FALSE)</f>
        <v>0</v>
      </c>
      <c r="K850">
        <f>VLOOKUP($C850, Egli_UPEC_metadata_provided!$A$2:$M$826, 10, FALSE)</f>
        <v>0</v>
      </c>
      <c r="L850" t="str">
        <f>VLOOKUP($C850, Egli_UPEC_metadata_provided!$A$2:$M$826, 11, FALSE)</f>
        <v>non-invasive</v>
      </c>
      <c r="M850">
        <f>VLOOKUP($C850, Egli_UPEC_metadata_provided!$A$2:$M$826, 12, FALSE)</f>
        <v>1</v>
      </c>
      <c r="N850">
        <f>VLOOKUP($C850, Egli_UPEC_metadata_provided!$A$2:$M$826, 13, FALSE)</f>
        <v>0</v>
      </c>
      <c r="O850">
        <f>VLOOKUP($C850, Egli_UPEC_metadata_provided!$A$2:$N$826, 14, FALSE)</f>
        <v>0</v>
      </c>
    </row>
    <row r="851" spans="1:15" x14ac:dyDescent="0.2">
      <c r="A851" t="s">
        <v>406</v>
      </c>
      <c r="B851" t="s">
        <v>3641</v>
      </c>
      <c r="C851" t="s">
        <v>3641</v>
      </c>
      <c r="D851">
        <f>VLOOKUP($C851, Egli_UPEC_metadata_provided!$A$2:$M$826, 3, FALSE)</f>
        <v>2020</v>
      </c>
      <c r="E851" t="str">
        <f>VLOOKUP($C851, Egli_UPEC_metadata_provided!$A$2:$M$826, 4, FALSE)</f>
        <v>C</v>
      </c>
      <c r="F851" t="str">
        <f>VLOOKUP($C851, Egli_UPEC_metadata_provided!$A$2:$M$826, 5, FALSE)</f>
        <v>w</v>
      </c>
      <c r="G851">
        <f>VLOOKUP($C851, Egli_UPEC_metadata_provided!$A$2:$M$826, 6, FALSE)</f>
        <v>0</v>
      </c>
      <c r="H851">
        <f>VLOOKUP($C851, Egli_UPEC_metadata_provided!$A$2:$M$826, 7, FALSE)</f>
        <v>1</v>
      </c>
      <c r="I851">
        <f>VLOOKUP($C851, Egli_UPEC_metadata_provided!$A$2:$M$826, 8, FALSE)</f>
        <v>80.210526315789494</v>
      </c>
      <c r="J851" t="b">
        <f>VLOOKUP($C851, Egli_UPEC_metadata_provided!$A$2:$M$826, 9, FALSE)</f>
        <v>0</v>
      </c>
      <c r="K851">
        <f>VLOOKUP($C851, Egli_UPEC_metadata_provided!$A$2:$M$826, 10, FALSE)</f>
        <v>0</v>
      </c>
      <c r="L851" t="str">
        <f>VLOOKUP($C851, Egli_UPEC_metadata_provided!$A$2:$M$826, 11, FALSE)</f>
        <v>non-invasive</v>
      </c>
      <c r="M851">
        <f>VLOOKUP($C851, Egli_UPEC_metadata_provided!$A$2:$M$826, 12, FALSE)</f>
        <v>0</v>
      </c>
      <c r="N851">
        <f>VLOOKUP($C851, Egli_UPEC_metadata_provided!$A$2:$M$826, 13, FALSE)</f>
        <v>0</v>
      </c>
      <c r="O851">
        <f>VLOOKUP($C851, Egli_UPEC_metadata_provided!$A$2:$N$826, 14, FALSE)</f>
        <v>0</v>
      </c>
    </row>
    <row r="852" spans="1:15" x14ac:dyDescent="0.2">
      <c r="A852" t="s">
        <v>407</v>
      </c>
      <c r="B852" t="s">
        <v>3642</v>
      </c>
      <c r="C852" t="s">
        <v>3642</v>
      </c>
      <c r="D852">
        <f>VLOOKUP($C852, Egli_UPEC_metadata_provided!$A$2:$M$826, 3, FALSE)</f>
        <v>2020</v>
      </c>
      <c r="E852" t="str">
        <f>VLOOKUP($C852, Egli_UPEC_metadata_provided!$A$2:$M$826, 4, FALSE)</f>
        <v>B1</v>
      </c>
      <c r="F852" t="str">
        <f>VLOOKUP($C852, Egli_UPEC_metadata_provided!$A$2:$M$826, 5, FALSE)</f>
        <v>w</v>
      </c>
      <c r="G852">
        <f>VLOOKUP($C852, Egli_UPEC_metadata_provided!$A$2:$M$826, 6, FALSE)</f>
        <v>0</v>
      </c>
      <c r="H852">
        <f>VLOOKUP($C852, Egli_UPEC_metadata_provided!$A$2:$M$826, 7, FALSE)</f>
        <v>2</v>
      </c>
      <c r="I852">
        <f>VLOOKUP($C852, Egli_UPEC_metadata_provided!$A$2:$M$826, 8, FALSE)</f>
        <v>71.554340396445696</v>
      </c>
      <c r="J852" t="b">
        <f>VLOOKUP($C852, Egli_UPEC_metadata_provided!$A$2:$M$826, 9, FALSE)</f>
        <v>0</v>
      </c>
      <c r="K852">
        <f>VLOOKUP($C852, Egli_UPEC_metadata_provided!$A$2:$M$826, 10, FALSE)</f>
        <v>0</v>
      </c>
      <c r="L852" t="str">
        <f>VLOOKUP($C852, Egli_UPEC_metadata_provided!$A$2:$M$826, 11, FALSE)</f>
        <v>non-invasive</v>
      </c>
      <c r="M852">
        <f>VLOOKUP($C852, Egli_UPEC_metadata_provided!$A$2:$M$826, 12, FALSE)</f>
        <v>0</v>
      </c>
      <c r="N852">
        <f>VLOOKUP($C852, Egli_UPEC_metadata_provided!$A$2:$M$826, 13, FALSE)</f>
        <v>0</v>
      </c>
      <c r="O852" t="str">
        <f>VLOOKUP($C852, Egli_UPEC_metadata_provided!$A$2:$N$826, 14, FALSE)</f>
        <v>NA</v>
      </c>
    </row>
    <row r="853" spans="1:15" x14ac:dyDescent="0.2">
      <c r="A853" t="s">
        <v>408</v>
      </c>
      <c r="B853" t="s">
        <v>3643</v>
      </c>
      <c r="C853" t="s">
        <v>3643</v>
      </c>
      <c r="D853">
        <f>VLOOKUP($C853, Egli_UPEC_metadata_provided!$A$2:$M$826, 3, FALSE)</f>
        <v>2020</v>
      </c>
      <c r="E853" t="str">
        <f>VLOOKUP($C853, Egli_UPEC_metadata_provided!$A$2:$M$826, 4, FALSE)</f>
        <v>B2-1</v>
      </c>
      <c r="F853" t="str">
        <f>VLOOKUP($C853, Egli_UPEC_metadata_provided!$A$2:$M$826, 5, FALSE)</f>
        <v>m</v>
      </c>
      <c r="G853">
        <f>VLOOKUP($C853, Egli_UPEC_metadata_provided!$A$2:$M$826, 6, FALSE)</f>
        <v>0</v>
      </c>
      <c r="H853">
        <f>VLOOKUP($C853, Egli_UPEC_metadata_provided!$A$2:$M$826, 7, FALSE)</f>
        <v>3</v>
      </c>
      <c r="I853">
        <f>VLOOKUP($C853, Egli_UPEC_metadata_provided!$A$2:$M$826, 8, FALSE)</f>
        <v>78.676691729323295</v>
      </c>
      <c r="J853" t="b">
        <f>VLOOKUP($C853, Egli_UPEC_metadata_provided!$A$2:$M$826, 9, FALSE)</f>
        <v>0</v>
      </c>
      <c r="K853">
        <f>VLOOKUP($C853, Egli_UPEC_metadata_provided!$A$2:$M$826, 10, FALSE)</f>
        <v>0</v>
      </c>
      <c r="L853" t="str">
        <f>VLOOKUP($C853, Egli_UPEC_metadata_provided!$A$2:$M$826, 11, FALSE)</f>
        <v>non-invasive</v>
      </c>
      <c r="M853">
        <f>VLOOKUP($C853, Egli_UPEC_metadata_provided!$A$2:$M$826, 12, FALSE)</f>
        <v>0</v>
      </c>
      <c r="N853">
        <f>VLOOKUP($C853, Egli_UPEC_metadata_provided!$A$2:$M$826, 13, FALSE)</f>
        <v>0</v>
      </c>
      <c r="O853">
        <f>VLOOKUP($C853, Egli_UPEC_metadata_provided!$A$2:$N$826, 14, FALSE)</f>
        <v>0</v>
      </c>
    </row>
    <row r="854" spans="1:15" x14ac:dyDescent="0.2">
      <c r="A854" t="s">
        <v>409</v>
      </c>
      <c r="B854" t="s">
        <v>3644</v>
      </c>
      <c r="C854" t="s">
        <v>3644</v>
      </c>
      <c r="D854">
        <f>VLOOKUP($C854, Egli_UPEC_metadata_provided!$A$2:$M$826, 3, FALSE)</f>
        <v>2020</v>
      </c>
      <c r="E854" t="str">
        <f>VLOOKUP($C854, Egli_UPEC_metadata_provided!$A$2:$M$826, 4, FALSE)</f>
        <v>B2-1</v>
      </c>
      <c r="F854" t="str">
        <f>VLOOKUP($C854, Egli_UPEC_metadata_provided!$A$2:$M$826, 5, FALSE)</f>
        <v>m</v>
      </c>
      <c r="G854">
        <f>VLOOKUP($C854, Egli_UPEC_metadata_provided!$A$2:$M$826, 6, FALSE)</f>
        <v>0</v>
      </c>
      <c r="H854">
        <f>VLOOKUP($C854, Egli_UPEC_metadata_provided!$A$2:$M$826, 7, FALSE)</f>
        <v>0</v>
      </c>
      <c r="I854">
        <f>VLOOKUP($C854, Egli_UPEC_metadata_provided!$A$2:$M$826, 8, FALSE)</f>
        <v>33.402597402597401</v>
      </c>
      <c r="J854" t="b">
        <f>VLOOKUP($C854, Egli_UPEC_metadata_provided!$A$2:$M$826, 9, FALSE)</f>
        <v>1</v>
      </c>
      <c r="K854">
        <f>VLOOKUP($C854, Egli_UPEC_metadata_provided!$A$2:$M$826, 10, FALSE)</f>
        <v>1</v>
      </c>
      <c r="L854" t="str">
        <f>VLOOKUP($C854, Egli_UPEC_metadata_provided!$A$2:$M$826, 11, FALSE)</f>
        <v>non-invasive</v>
      </c>
      <c r="M854">
        <f>VLOOKUP($C854, Egli_UPEC_metadata_provided!$A$2:$M$826, 12, FALSE)</f>
        <v>0</v>
      </c>
      <c r="N854">
        <f>VLOOKUP($C854, Egli_UPEC_metadata_provided!$A$2:$M$826, 13, FALSE)</f>
        <v>0</v>
      </c>
      <c r="O854">
        <f>VLOOKUP($C854, Egli_UPEC_metadata_provided!$A$2:$N$826, 14, FALSE)</f>
        <v>1</v>
      </c>
    </row>
    <row r="855" spans="1:15" x14ac:dyDescent="0.2">
      <c r="A855" t="s">
        <v>410</v>
      </c>
      <c r="B855" t="s">
        <v>3645</v>
      </c>
      <c r="C855" t="s">
        <v>3645</v>
      </c>
      <c r="D855">
        <f>VLOOKUP($C855, Egli_UPEC_metadata_provided!$A$2:$M$826, 3, FALSE)</f>
        <v>2020</v>
      </c>
      <c r="E855" t="str">
        <f>VLOOKUP($C855, Egli_UPEC_metadata_provided!$A$2:$M$826, 4, FALSE)</f>
        <v>A</v>
      </c>
      <c r="F855" t="str">
        <f>VLOOKUP($C855, Egli_UPEC_metadata_provided!$A$2:$M$826, 5, FALSE)</f>
        <v>w</v>
      </c>
      <c r="G855">
        <f>VLOOKUP($C855, Egli_UPEC_metadata_provided!$A$2:$M$826, 6, FALSE)</f>
        <v>0</v>
      </c>
      <c r="H855">
        <f>VLOOKUP($C855, Egli_UPEC_metadata_provided!$A$2:$M$826, 7, FALSE)</f>
        <v>0</v>
      </c>
      <c r="I855">
        <f>VLOOKUP($C855, Egli_UPEC_metadata_provided!$A$2:$M$826, 8, FALSE)</f>
        <v>30.963773069036201</v>
      </c>
      <c r="J855" t="b">
        <f>VLOOKUP($C855, Egli_UPEC_metadata_provided!$A$2:$M$826, 9, FALSE)</f>
        <v>0</v>
      </c>
      <c r="K855">
        <f>VLOOKUP($C855, Egli_UPEC_metadata_provided!$A$2:$M$826, 10, FALSE)</f>
        <v>1</v>
      </c>
      <c r="L855" t="str">
        <f>VLOOKUP($C855, Egli_UPEC_metadata_provided!$A$2:$M$826, 11, FALSE)</f>
        <v>non-invasive</v>
      </c>
      <c r="M855">
        <f>VLOOKUP($C855, Egli_UPEC_metadata_provided!$A$2:$M$826, 12, FALSE)</f>
        <v>0</v>
      </c>
      <c r="N855">
        <f>VLOOKUP($C855, Egli_UPEC_metadata_provided!$A$2:$M$826, 13, FALSE)</f>
        <v>0</v>
      </c>
      <c r="O855">
        <f>VLOOKUP($C855, Egli_UPEC_metadata_provided!$A$2:$N$826, 14, FALSE)</f>
        <v>0</v>
      </c>
    </row>
    <row r="856" spans="1:15" x14ac:dyDescent="0.2">
      <c r="A856" t="s">
        <v>411</v>
      </c>
      <c r="B856" t="s">
        <v>3646</v>
      </c>
      <c r="C856" t="s">
        <v>3646</v>
      </c>
      <c r="D856">
        <f>VLOOKUP($C856, Egli_UPEC_metadata_provided!$A$2:$M$826, 3, FALSE)</f>
        <v>2020</v>
      </c>
      <c r="E856" t="str">
        <f>VLOOKUP($C856, Egli_UPEC_metadata_provided!$A$2:$M$826, 4, FALSE)</f>
        <v>B1</v>
      </c>
      <c r="F856" t="str">
        <f>VLOOKUP($C856, Egli_UPEC_metadata_provided!$A$2:$M$826, 5, FALSE)</f>
        <v>w</v>
      </c>
      <c r="G856">
        <f>VLOOKUP($C856, Egli_UPEC_metadata_provided!$A$2:$M$826, 6, FALSE)</f>
        <v>0</v>
      </c>
      <c r="H856">
        <f>VLOOKUP($C856, Egli_UPEC_metadata_provided!$A$2:$M$826, 7, FALSE)</f>
        <v>7</v>
      </c>
      <c r="I856">
        <f>VLOOKUP($C856, Egli_UPEC_metadata_provided!$A$2:$M$826, 8, FALSE)</f>
        <v>76.749145591250894</v>
      </c>
      <c r="J856" t="b">
        <f>VLOOKUP($C856, Egli_UPEC_metadata_provided!$A$2:$M$826, 9, FALSE)</f>
        <v>0</v>
      </c>
      <c r="K856">
        <f>VLOOKUP($C856, Egli_UPEC_metadata_provided!$A$2:$M$826, 10, FALSE)</f>
        <v>0</v>
      </c>
      <c r="L856" t="str">
        <f>VLOOKUP($C856, Egli_UPEC_metadata_provided!$A$2:$M$826, 11, FALSE)</f>
        <v>non-invasive</v>
      </c>
      <c r="M856">
        <f>VLOOKUP($C856, Egli_UPEC_metadata_provided!$A$2:$M$826, 12, FALSE)</f>
        <v>0</v>
      </c>
      <c r="N856">
        <f>VLOOKUP($C856, Egli_UPEC_metadata_provided!$A$2:$M$826, 13, FALSE)</f>
        <v>0</v>
      </c>
      <c r="O856">
        <f>VLOOKUP($C856, Egli_UPEC_metadata_provided!$A$2:$N$826, 14, FALSE)</f>
        <v>1</v>
      </c>
    </row>
    <row r="857" spans="1:15" x14ac:dyDescent="0.2">
      <c r="A857" t="s">
        <v>412</v>
      </c>
      <c r="B857" t="s">
        <v>3647</v>
      </c>
      <c r="C857" t="s">
        <v>3647</v>
      </c>
      <c r="D857">
        <f>VLOOKUP($C857, Egli_UPEC_metadata_provided!$A$2:$M$826, 3, FALSE)</f>
        <v>2020</v>
      </c>
      <c r="E857" t="str">
        <f>VLOOKUP($C857, Egli_UPEC_metadata_provided!$A$2:$M$826, 4, FALSE)</f>
        <v>B1</v>
      </c>
      <c r="F857" t="str">
        <f>VLOOKUP($C857, Egli_UPEC_metadata_provided!$A$2:$M$826, 5, FALSE)</f>
        <v>w</v>
      </c>
      <c r="G857">
        <f>VLOOKUP($C857, Egli_UPEC_metadata_provided!$A$2:$M$826, 6, FALSE)</f>
        <v>0</v>
      </c>
      <c r="H857">
        <f>VLOOKUP($C857, Egli_UPEC_metadata_provided!$A$2:$M$826, 7, FALSE)</f>
        <v>2</v>
      </c>
      <c r="I857">
        <f>VLOOKUP($C857, Egli_UPEC_metadata_provided!$A$2:$M$826, 8, FALSE)</f>
        <v>77.008885850991106</v>
      </c>
      <c r="J857" t="b">
        <f>VLOOKUP($C857, Egli_UPEC_metadata_provided!$A$2:$M$826, 9, FALSE)</f>
        <v>0</v>
      </c>
      <c r="K857">
        <f>VLOOKUP($C857, Egli_UPEC_metadata_provided!$A$2:$M$826, 10, FALSE)</f>
        <v>0</v>
      </c>
      <c r="L857" t="str">
        <f>VLOOKUP($C857, Egli_UPEC_metadata_provided!$A$2:$M$826, 11, FALSE)</f>
        <v>non-invasive</v>
      </c>
      <c r="M857">
        <f>VLOOKUP($C857, Egli_UPEC_metadata_provided!$A$2:$M$826, 12, FALSE)</f>
        <v>0</v>
      </c>
      <c r="N857">
        <f>VLOOKUP($C857, Egli_UPEC_metadata_provided!$A$2:$M$826, 13, FALSE)</f>
        <v>0</v>
      </c>
      <c r="O857">
        <f>VLOOKUP($C857, Egli_UPEC_metadata_provided!$A$2:$N$826, 14, FALSE)</f>
        <v>0</v>
      </c>
    </row>
    <row r="858" spans="1:15" x14ac:dyDescent="0.2">
      <c r="A858" t="s">
        <v>891</v>
      </c>
      <c r="B858" t="s">
        <v>4122</v>
      </c>
      <c r="C858" t="s">
        <v>4122</v>
      </c>
      <c r="D858" t="e">
        <f>VLOOKUP($C858, Egli_UPEC_metadata_provided!$A$2:$M$826, 3, FALSE)</f>
        <v>#N/A</v>
      </c>
      <c r="E858" t="e">
        <f>VLOOKUP($C858, Egli_UPEC_metadata_provided!$A$2:$M$826, 4, FALSE)</f>
        <v>#N/A</v>
      </c>
      <c r="F858" t="e">
        <f>VLOOKUP($C858, Egli_UPEC_metadata_provided!$A$2:$M$826, 5, FALSE)</f>
        <v>#N/A</v>
      </c>
      <c r="G858" t="e">
        <f>VLOOKUP($C858, Egli_UPEC_metadata_provided!$A$2:$M$826, 6, FALSE)</f>
        <v>#N/A</v>
      </c>
      <c r="H858" t="e">
        <f>VLOOKUP($C858, Egli_UPEC_metadata_provided!$A$2:$M$826, 7, FALSE)</f>
        <v>#N/A</v>
      </c>
      <c r="I858" t="e">
        <f>VLOOKUP($C858, Egli_UPEC_metadata_provided!$A$2:$M$826, 8, FALSE)</f>
        <v>#N/A</v>
      </c>
      <c r="J858" t="e">
        <f>VLOOKUP($C858, Egli_UPEC_metadata_provided!$A$2:$M$826, 9, FALSE)</f>
        <v>#N/A</v>
      </c>
      <c r="K858" t="e">
        <f>VLOOKUP($C858, Egli_UPEC_metadata_provided!$A$2:$M$826, 10, FALSE)</f>
        <v>#N/A</v>
      </c>
      <c r="L858" t="e">
        <f>VLOOKUP($C858, Egli_UPEC_metadata_provided!$A$2:$M$826, 11, FALSE)</f>
        <v>#N/A</v>
      </c>
      <c r="M858" t="e">
        <f>VLOOKUP($C858, Egli_UPEC_metadata_provided!$A$2:$M$826, 12, FALSE)</f>
        <v>#N/A</v>
      </c>
      <c r="N858" t="e">
        <f>VLOOKUP($C858, Egli_UPEC_metadata_provided!$A$2:$M$826, 13, FALSE)</f>
        <v>#N/A</v>
      </c>
      <c r="O858" t="e">
        <f>VLOOKUP($C858, Egli_UPEC_metadata_provided!$A$2:$N$826, 14, FALSE)</f>
        <v>#N/A</v>
      </c>
    </row>
    <row r="859" spans="1:15" x14ac:dyDescent="0.2">
      <c r="A859" t="s">
        <v>66</v>
      </c>
      <c r="B859" t="s">
        <v>4123</v>
      </c>
      <c r="C859" t="s">
        <v>4123</v>
      </c>
      <c r="D859" t="e">
        <f>VLOOKUP($C859, Egli_UPEC_metadata_provided!$A$2:$M$826, 3, FALSE)</f>
        <v>#N/A</v>
      </c>
      <c r="E859" t="e">
        <f>VLOOKUP($C859, Egli_UPEC_metadata_provided!$A$2:$M$826, 4, FALSE)</f>
        <v>#N/A</v>
      </c>
      <c r="F859" t="e">
        <f>VLOOKUP($C859, Egli_UPEC_metadata_provided!$A$2:$M$826, 5, FALSE)</f>
        <v>#N/A</v>
      </c>
      <c r="G859" t="e">
        <f>VLOOKUP($C859, Egli_UPEC_metadata_provided!$A$2:$M$826, 6, FALSE)</f>
        <v>#N/A</v>
      </c>
      <c r="H859" t="e">
        <f>VLOOKUP($C859, Egli_UPEC_metadata_provided!$A$2:$M$826, 7, FALSE)</f>
        <v>#N/A</v>
      </c>
      <c r="I859" t="e">
        <f>VLOOKUP($C859, Egli_UPEC_metadata_provided!$A$2:$M$826, 8, FALSE)</f>
        <v>#N/A</v>
      </c>
      <c r="J859" t="e">
        <f>VLOOKUP($C859, Egli_UPEC_metadata_provided!$A$2:$M$826, 9, FALSE)</f>
        <v>#N/A</v>
      </c>
      <c r="K859" t="e">
        <f>VLOOKUP($C859, Egli_UPEC_metadata_provided!$A$2:$M$826, 10, FALSE)</f>
        <v>#N/A</v>
      </c>
      <c r="L859" t="e">
        <f>VLOOKUP($C859, Egli_UPEC_metadata_provided!$A$2:$M$826, 11, FALSE)</f>
        <v>#N/A</v>
      </c>
      <c r="M859" t="e">
        <f>VLOOKUP($C859, Egli_UPEC_metadata_provided!$A$2:$M$826, 12, FALSE)</f>
        <v>#N/A</v>
      </c>
      <c r="N859" t="e">
        <f>VLOOKUP($C859, Egli_UPEC_metadata_provided!$A$2:$M$826, 13, FALSE)</f>
        <v>#N/A</v>
      </c>
      <c r="O859" t="e">
        <f>VLOOKUP($C859, Egli_UPEC_metadata_provided!$A$2:$N$826, 14, FALSE)</f>
        <v>#N/A</v>
      </c>
    </row>
    <row r="860" spans="1:15" x14ac:dyDescent="0.2">
      <c r="A860" t="s">
        <v>960</v>
      </c>
      <c r="B860" t="s">
        <v>4124</v>
      </c>
      <c r="C860" t="s">
        <v>4124</v>
      </c>
      <c r="D860" t="e">
        <f>VLOOKUP($C860, Egli_UPEC_metadata_provided!$A$2:$M$826, 3, FALSE)</f>
        <v>#N/A</v>
      </c>
      <c r="E860" t="e">
        <f>VLOOKUP($C860, Egli_UPEC_metadata_provided!$A$2:$M$826, 4, FALSE)</f>
        <v>#N/A</v>
      </c>
      <c r="F860" t="e">
        <f>VLOOKUP($C860, Egli_UPEC_metadata_provided!$A$2:$M$826, 5, FALSE)</f>
        <v>#N/A</v>
      </c>
      <c r="G860" t="e">
        <f>VLOOKUP($C860, Egli_UPEC_metadata_provided!$A$2:$M$826, 6, FALSE)</f>
        <v>#N/A</v>
      </c>
      <c r="H860" t="e">
        <f>VLOOKUP($C860, Egli_UPEC_metadata_provided!$A$2:$M$826, 7, FALSE)</f>
        <v>#N/A</v>
      </c>
      <c r="I860" t="e">
        <f>VLOOKUP($C860, Egli_UPEC_metadata_provided!$A$2:$M$826, 8, FALSE)</f>
        <v>#N/A</v>
      </c>
      <c r="J860" t="e">
        <f>VLOOKUP($C860, Egli_UPEC_metadata_provided!$A$2:$M$826, 9, FALSE)</f>
        <v>#N/A</v>
      </c>
      <c r="K860" t="e">
        <f>VLOOKUP($C860, Egli_UPEC_metadata_provided!$A$2:$M$826, 10, FALSE)</f>
        <v>#N/A</v>
      </c>
      <c r="L860" t="e">
        <f>VLOOKUP($C860, Egli_UPEC_metadata_provided!$A$2:$M$826, 11, FALSE)</f>
        <v>#N/A</v>
      </c>
      <c r="M860" t="e">
        <f>VLOOKUP($C860, Egli_UPEC_metadata_provided!$A$2:$M$826, 12, FALSE)</f>
        <v>#N/A</v>
      </c>
      <c r="N860" t="e">
        <f>VLOOKUP($C860, Egli_UPEC_metadata_provided!$A$2:$M$826, 13, FALSE)</f>
        <v>#N/A</v>
      </c>
      <c r="O860" t="e">
        <f>VLOOKUP($C860, Egli_UPEC_metadata_provided!$A$2:$N$826, 14, FALSE)</f>
        <v>#N/A</v>
      </c>
    </row>
    <row r="861" spans="1:15" x14ac:dyDescent="0.2">
      <c r="A861" t="s">
        <v>965</v>
      </c>
      <c r="B861" t="s">
        <v>4125</v>
      </c>
      <c r="C861" t="s">
        <v>4125</v>
      </c>
      <c r="D861" t="e">
        <f>VLOOKUP($C861, Egli_UPEC_metadata_provided!$A$2:$M$826, 3, FALSE)</f>
        <v>#N/A</v>
      </c>
      <c r="E861" t="e">
        <f>VLOOKUP($C861, Egli_UPEC_metadata_provided!$A$2:$M$826, 4, FALSE)</f>
        <v>#N/A</v>
      </c>
      <c r="F861" t="e">
        <f>VLOOKUP($C861, Egli_UPEC_metadata_provided!$A$2:$M$826, 5, FALSE)</f>
        <v>#N/A</v>
      </c>
      <c r="G861" t="e">
        <f>VLOOKUP($C861, Egli_UPEC_metadata_provided!$A$2:$M$826, 6, FALSE)</f>
        <v>#N/A</v>
      </c>
      <c r="H861" t="e">
        <f>VLOOKUP($C861, Egli_UPEC_metadata_provided!$A$2:$M$826, 7, FALSE)</f>
        <v>#N/A</v>
      </c>
      <c r="I861" t="e">
        <f>VLOOKUP($C861, Egli_UPEC_metadata_provided!$A$2:$M$826, 8, FALSE)</f>
        <v>#N/A</v>
      </c>
      <c r="J861" t="e">
        <f>VLOOKUP($C861, Egli_UPEC_metadata_provided!$A$2:$M$826, 9, FALSE)</f>
        <v>#N/A</v>
      </c>
      <c r="K861" t="e">
        <f>VLOOKUP($C861, Egli_UPEC_metadata_provided!$A$2:$M$826, 10, FALSE)</f>
        <v>#N/A</v>
      </c>
      <c r="L861" t="e">
        <f>VLOOKUP($C861, Egli_UPEC_metadata_provided!$A$2:$M$826, 11, FALSE)</f>
        <v>#N/A</v>
      </c>
      <c r="M861" t="e">
        <f>VLOOKUP($C861, Egli_UPEC_metadata_provided!$A$2:$M$826, 12, FALSE)</f>
        <v>#N/A</v>
      </c>
      <c r="N861" t="e">
        <f>VLOOKUP($C861, Egli_UPEC_metadata_provided!$A$2:$M$826, 13, FALSE)</f>
        <v>#N/A</v>
      </c>
      <c r="O861" t="e">
        <f>VLOOKUP($C861, Egli_UPEC_metadata_provided!$A$2:$N$826, 14, FALSE)</f>
        <v>#N/A</v>
      </c>
    </row>
    <row r="862" spans="1:15" x14ac:dyDescent="0.2">
      <c r="A862" t="s">
        <v>976</v>
      </c>
      <c r="B862" t="s">
        <v>4151</v>
      </c>
      <c r="C862" t="s">
        <v>4151</v>
      </c>
      <c r="D862" t="e">
        <f>VLOOKUP($C862, Egli_UPEC_metadata_provided!$A$2:$M$826, 3, FALSE)</f>
        <v>#N/A</v>
      </c>
      <c r="E862" t="e">
        <f>VLOOKUP($C862, Egli_UPEC_metadata_provided!$A$2:$M$826, 4, FALSE)</f>
        <v>#N/A</v>
      </c>
      <c r="F862" t="e">
        <f>VLOOKUP($C862, Egli_UPEC_metadata_provided!$A$2:$M$826, 5, FALSE)</f>
        <v>#N/A</v>
      </c>
      <c r="G862" t="e">
        <f>VLOOKUP($C862, Egli_UPEC_metadata_provided!$A$2:$M$826, 6, FALSE)</f>
        <v>#N/A</v>
      </c>
      <c r="H862" t="e">
        <f>VLOOKUP($C862, Egli_UPEC_metadata_provided!$A$2:$M$826, 7, FALSE)</f>
        <v>#N/A</v>
      </c>
      <c r="I862" t="e">
        <f>VLOOKUP($C862, Egli_UPEC_metadata_provided!$A$2:$M$826, 8, FALSE)</f>
        <v>#N/A</v>
      </c>
      <c r="J862" t="e">
        <f>VLOOKUP($C862, Egli_UPEC_metadata_provided!$A$2:$M$826, 9, FALSE)</f>
        <v>#N/A</v>
      </c>
      <c r="K862" t="e">
        <f>VLOOKUP($C862, Egli_UPEC_metadata_provided!$A$2:$M$826, 10, FALSE)</f>
        <v>#N/A</v>
      </c>
      <c r="L862" t="e">
        <f>VLOOKUP($C862, Egli_UPEC_metadata_provided!$A$2:$M$826, 11, FALSE)</f>
        <v>#N/A</v>
      </c>
      <c r="M862" t="e">
        <f>VLOOKUP($C862, Egli_UPEC_metadata_provided!$A$2:$M$826, 12, FALSE)</f>
        <v>#N/A</v>
      </c>
      <c r="N862" t="e">
        <f>VLOOKUP($C862, Egli_UPEC_metadata_provided!$A$2:$M$826, 13, FALSE)</f>
        <v>#N/A</v>
      </c>
      <c r="O862" t="e">
        <f>VLOOKUP($C862, Egli_UPEC_metadata_provided!$A$2:$N$826, 14, FALSE)</f>
        <v>#N/A</v>
      </c>
    </row>
    <row r="863" spans="1:15" x14ac:dyDescent="0.2">
      <c r="A863" t="s">
        <v>981</v>
      </c>
      <c r="B863" t="s">
        <v>4152</v>
      </c>
      <c r="C863" t="s">
        <v>4152</v>
      </c>
      <c r="D863" t="e">
        <f>VLOOKUP($C863, Egli_UPEC_metadata_provided!$A$2:$M$826, 3, FALSE)</f>
        <v>#N/A</v>
      </c>
      <c r="E863" t="e">
        <f>VLOOKUP($C863, Egli_UPEC_metadata_provided!$A$2:$M$826, 4, FALSE)</f>
        <v>#N/A</v>
      </c>
      <c r="F863" t="e">
        <f>VLOOKUP($C863, Egli_UPEC_metadata_provided!$A$2:$M$826, 5, FALSE)</f>
        <v>#N/A</v>
      </c>
      <c r="G863" t="e">
        <f>VLOOKUP($C863, Egli_UPEC_metadata_provided!$A$2:$M$826, 6, FALSE)</f>
        <v>#N/A</v>
      </c>
      <c r="H863" t="e">
        <f>VLOOKUP($C863, Egli_UPEC_metadata_provided!$A$2:$M$826, 7, FALSE)</f>
        <v>#N/A</v>
      </c>
      <c r="I863" t="e">
        <f>VLOOKUP($C863, Egli_UPEC_metadata_provided!$A$2:$M$826, 8, FALSE)</f>
        <v>#N/A</v>
      </c>
      <c r="J863" t="e">
        <f>VLOOKUP($C863, Egli_UPEC_metadata_provided!$A$2:$M$826, 9, FALSE)</f>
        <v>#N/A</v>
      </c>
      <c r="K863" t="e">
        <f>VLOOKUP($C863, Egli_UPEC_metadata_provided!$A$2:$M$826, 10, FALSE)</f>
        <v>#N/A</v>
      </c>
      <c r="L863" t="e">
        <f>VLOOKUP($C863, Egli_UPEC_metadata_provided!$A$2:$M$826, 11, FALSE)</f>
        <v>#N/A</v>
      </c>
      <c r="M863" t="e">
        <f>VLOOKUP($C863, Egli_UPEC_metadata_provided!$A$2:$M$826, 12, FALSE)</f>
        <v>#N/A</v>
      </c>
      <c r="N863" t="e">
        <f>VLOOKUP($C863, Egli_UPEC_metadata_provided!$A$2:$M$826, 13, FALSE)</f>
        <v>#N/A</v>
      </c>
      <c r="O863" t="e">
        <f>VLOOKUP($C863, Egli_UPEC_metadata_provided!$A$2:$N$826, 14, FALSE)</f>
        <v>#N/A</v>
      </c>
    </row>
    <row r="864" spans="1:15" x14ac:dyDescent="0.2">
      <c r="A864" t="s">
        <v>1033</v>
      </c>
      <c r="B864" t="s">
        <v>4154</v>
      </c>
      <c r="C864" t="s">
        <v>4154</v>
      </c>
      <c r="D864" t="e">
        <f>VLOOKUP($C864, Egli_UPEC_metadata_provided!$A$2:$M$826, 3, FALSE)</f>
        <v>#N/A</v>
      </c>
      <c r="E864" t="e">
        <f>VLOOKUP($C864, Egli_UPEC_metadata_provided!$A$2:$M$826, 4, FALSE)</f>
        <v>#N/A</v>
      </c>
      <c r="F864" t="e">
        <f>VLOOKUP($C864, Egli_UPEC_metadata_provided!$A$2:$M$826, 5, FALSE)</f>
        <v>#N/A</v>
      </c>
      <c r="G864" t="e">
        <f>VLOOKUP($C864, Egli_UPEC_metadata_provided!$A$2:$M$826, 6, FALSE)</f>
        <v>#N/A</v>
      </c>
      <c r="H864" t="e">
        <f>VLOOKUP($C864, Egli_UPEC_metadata_provided!$A$2:$M$826, 7, FALSE)</f>
        <v>#N/A</v>
      </c>
      <c r="I864" t="e">
        <f>VLOOKUP($C864, Egli_UPEC_metadata_provided!$A$2:$M$826, 8, FALSE)</f>
        <v>#N/A</v>
      </c>
      <c r="J864" t="e">
        <f>VLOOKUP($C864, Egli_UPEC_metadata_provided!$A$2:$M$826, 9, FALSE)</f>
        <v>#N/A</v>
      </c>
      <c r="K864" t="e">
        <f>VLOOKUP($C864, Egli_UPEC_metadata_provided!$A$2:$M$826, 10, FALSE)</f>
        <v>#N/A</v>
      </c>
      <c r="L864" t="e">
        <f>VLOOKUP($C864, Egli_UPEC_metadata_provided!$A$2:$M$826, 11, FALSE)</f>
        <v>#N/A</v>
      </c>
      <c r="M864" t="e">
        <f>VLOOKUP($C864, Egli_UPEC_metadata_provided!$A$2:$M$826, 12, FALSE)</f>
        <v>#N/A</v>
      </c>
      <c r="N864" t="e">
        <f>VLOOKUP($C864, Egli_UPEC_metadata_provided!$A$2:$M$826, 13, FALSE)</f>
        <v>#N/A</v>
      </c>
      <c r="O864" t="e">
        <f>VLOOKUP($C864, Egli_UPEC_metadata_provided!$A$2:$N$826, 14, FALSE)</f>
        <v>#N/A</v>
      </c>
    </row>
    <row r="865" spans="1:15" x14ac:dyDescent="0.2">
      <c r="A865" t="s">
        <v>1036</v>
      </c>
      <c r="B865" t="s">
        <v>4317</v>
      </c>
      <c r="C865" t="s">
        <v>4317</v>
      </c>
      <c r="D865" t="e">
        <f>VLOOKUP($C865, Egli_UPEC_metadata_provided!$A$2:$M$826, 3, FALSE)</f>
        <v>#N/A</v>
      </c>
      <c r="E865" t="e">
        <f>VLOOKUP($C865, Egli_UPEC_metadata_provided!$A$2:$M$826, 4, FALSE)</f>
        <v>#N/A</v>
      </c>
      <c r="F865" t="e">
        <f>VLOOKUP($C865, Egli_UPEC_metadata_provided!$A$2:$M$826, 5, FALSE)</f>
        <v>#N/A</v>
      </c>
      <c r="G865" t="e">
        <f>VLOOKUP($C865, Egli_UPEC_metadata_provided!$A$2:$M$826, 6, FALSE)</f>
        <v>#N/A</v>
      </c>
      <c r="H865" t="e">
        <f>VLOOKUP($C865, Egli_UPEC_metadata_provided!$A$2:$M$826, 7, FALSE)</f>
        <v>#N/A</v>
      </c>
      <c r="I865" t="e">
        <f>VLOOKUP($C865, Egli_UPEC_metadata_provided!$A$2:$M$826, 8, FALSE)</f>
        <v>#N/A</v>
      </c>
      <c r="J865" t="e">
        <f>VLOOKUP($C865, Egli_UPEC_metadata_provided!$A$2:$M$826, 9, FALSE)</f>
        <v>#N/A</v>
      </c>
      <c r="K865" t="e">
        <f>VLOOKUP($C865, Egli_UPEC_metadata_provided!$A$2:$M$826, 10, FALSE)</f>
        <v>#N/A</v>
      </c>
      <c r="L865" t="e">
        <f>VLOOKUP($C865, Egli_UPEC_metadata_provided!$A$2:$M$826, 11, FALSE)</f>
        <v>#N/A</v>
      </c>
      <c r="M865" t="e">
        <f>VLOOKUP($C865, Egli_UPEC_metadata_provided!$A$2:$M$826, 12, FALSE)</f>
        <v>#N/A</v>
      </c>
      <c r="N865" t="e">
        <f>VLOOKUP($C865, Egli_UPEC_metadata_provided!$A$2:$M$826, 13, FALSE)</f>
        <v>#N/A</v>
      </c>
      <c r="O865" t="e">
        <f>VLOOKUP($C865, Egli_UPEC_metadata_provided!$A$2:$N$826, 14, FALSE)</f>
        <v>#N/A</v>
      </c>
    </row>
    <row r="866" spans="1:15" x14ac:dyDescent="0.2">
      <c r="A866" t="s">
        <v>1039</v>
      </c>
      <c r="B866" t="s">
        <v>4155</v>
      </c>
      <c r="C866" t="s">
        <v>4155</v>
      </c>
      <c r="D866" t="e">
        <f>VLOOKUP($C866, Egli_UPEC_metadata_provided!$A$2:$M$826, 3, FALSE)</f>
        <v>#N/A</v>
      </c>
      <c r="E866" t="e">
        <f>VLOOKUP($C866, Egli_UPEC_metadata_provided!$A$2:$M$826, 4, FALSE)</f>
        <v>#N/A</v>
      </c>
      <c r="F866" t="e">
        <f>VLOOKUP($C866, Egli_UPEC_metadata_provided!$A$2:$M$826, 5, FALSE)</f>
        <v>#N/A</v>
      </c>
      <c r="G866" t="e">
        <f>VLOOKUP($C866, Egli_UPEC_metadata_provided!$A$2:$M$826, 6, FALSE)</f>
        <v>#N/A</v>
      </c>
      <c r="H866" t="e">
        <f>VLOOKUP($C866, Egli_UPEC_metadata_provided!$A$2:$M$826, 7, FALSE)</f>
        <v>#N/A</v>
      </c>
      <c r="I866" t="e">
        <f>VLOOKUP($C866, Egli_UPEC_metadata_provided!$A$2:$M$826, 8, FALSE)</f>
        <v>#N/A</v>
      </c>
      <c r="J866" t="e">
        <f>VLOOKUP($C866, Egli_UPEC_metadata_provided!$A$2:$M$826, 9, FALSE)</f>
        <v>#N/A</v>
      </c>
      <c r="K866" t="e">
        <f>VLOOKUP($C866, Egli_UPEC_metadata_provided!$A$2:$M$826, 10, FALSE)</f>
        <v>#N/A</v>
      </c>
      <c r="L866" t="e">
        <f>VLOOKUP($C866, Egli_UPEC_metadata_provided!$A$2:$M$826, 11, FALSE)</f>
        <v>#N/A</v>
      </c>
      <c r="M866" t="e">
        <f>VLOOKUP($C866, Egli_UPEC_metadata_provided!$A$2:$M$826, 12, FALSE)</f>
        <v>#N/A</v>
      </c>
      <c r="N866" t="e">
        <f>VLOOKUP($C866, Egli_UPEC_metadata_provided!$A$2:$M$826, 13, FALSE)</f>
        <v>#N/A</v>
      </c>
      <c r="O866" t="e">
        <f>VLOOKUP($C866, Egli_UPEC_metadata_provided!$A$2:$N$826, 14, FALSE)</f>
        <v>#N/A</v>
      </c>
    </row>
    <row r="867" spans="1:15" x14ac:dyDescent="0.2">
      <c r="A867" t="s">
        <v>1060</v>
      </c>
      <c r="B867" t="s">
        <v>4158</v>
      </c>
      <c r="C867" t="s">
        <v>4158</v>
      </c>
      <c r="D867" t="e">
        <f>VLOOKUP($C867, Egli_UPEC_metadata_provided!$A$2:$M$826, 3, FALSE)</f>
        <v>#N/A</v>
      </c>
      <c r="E867" t="e">
        <f>VLOOKUP($C867, Egli_UPEC_metadata_provided!$A$2:$M$826, 4, FALSE)</f>
        <v>#N/A</v>
      </c>
      <c r="F867" t="e">
        <f>VLOOKUP($C867, Egli_UPEC_metadata_provided!$A$2:$M$826, 5, FALSE)</f>
        <v>#N/A</v>
      </c>
      <c r="G867" t="e">
        <f>VLOOKUP($C867, Egli_UPEC_metadata_provided!$A$2:$M$826, 6, FALSE)</f>
        <v>#N/A</v>
      </c>
      <c r="H867" t="e">
        <f>VLOOKUP($C867, Egli_UPEC_metadata_provided!$A$2:$M$826, 7, FALSE)</f>
        <v>#N/A</v>
      </c>
      <c r="I867" t="e">
        <f>VLOOKUP($C867, Egli_UPEC_metadata_provided!$A$2:$M$826, 8, FALSE)</f>
        <v>#N/A</v>
      </c>
      <c r="J867" t="e">
        <f>VLOOKUP($C867, Egli_UPEC_metadata_provided!$A$2:$M$826, 9, FALSE)</f>
        <v>#N/A</v>
      </c>
      <c r="K867" t="e">
        <f>VLOOKUP($C867, Egli_UPEC_metadata_provided!$A$2:$M$826, 10, FALSE)</f>
        <v>#N/A</v>
      </c>
      <c r="L867" t="e">
        <f>VLOOKUP($C867, Egli_UPEC_metadata_provided!$A$2:$M$826, 11, FALSE)</f>
        <v>#N/A</v>
      </c>
      <c r="M867" t="e">
        <f>VLOOKUP($C867, Egli_UPEC_metadata_provided!$A$2:$M$826, 12, FALSE)</f>
        <v>#N/A</v>
      </c>
      <c r="N867" t="e">
        <f>VLOOKUP($C867, Egli_UPEC_metadata_provided!$A$2:$M$826, 13, FALSE)</f>
        <v>#N/A</v>
      </c>
      <c r="O867" t="e">
        <f>VLOOKUP($C867, Egli_UPEC_metadata_provided!$A$2:$N$826, 14, FALSE)</f>
        <v>#N/A</v>
      </c>
    </row>
    <row r="868" spans="1:15" x14ac:dyDescent="0.2">
      <c r="A868" t="s">
        <v>1117</v>
      </c>
      <c r="B868" t="s">
        <v>4160</v>
      </c>
      <c r="C868" t="s">
        <v>4160</v>
      </c>
      <c r="D868" t="e">
        <f>VLOOKUP($C868, Egli_UPEC_metadata_provided!$A$2:$M$826, 3, FALSE)</f>
        <v>#N/A</v>
      </c>
      <c r="E868" t="e">
        <f>VLOOKUP($C868, Egli_UPEC_metadata_provided!$A$2:$M$826, 4, FALSE)</f>
        <v>#N/A</v>
      </c>
      <c r="F868" t="e">
        <f>VLOOKUP($C868, Egli_UPEC_metadata_provided!$A$2:$M$826, 5, FALSE)</f>
        <v>#N/A</v>
      </c>
      <c r="G868" t="e">
        <f>VLOOKUP($C868, Egli_UPEC_metadata_provided!$A$2:$M$826, 6, FALSE)</f>
        <v>#N/A</v>
      </c>
      <c r="H868" t="e">
        <f>VLOOKUP($C868, Egli_UPEC_metadata_provided!$A$2:$M$826, 7, FALSE)</f>
        <v>#N/A</v>
      </c>
      <c r="I868" t="e">
        <f>VLOOKUP($C868, Egli_UPEC_metadata_provided!$A$2:$M$826, 8, FALSE)</f>
        <v>#N/A</v>
      </c>
      <c r="J868" t="e">
        <f>VLOOKUP($C868, Egli_UPEC_metadata_provided!$A$2:$M$826, 9, FALSE)</f>
        <v>#N/A</v>
      </c>
      <c r="K868" t="e">
        <f>VLOOKUP($C868, Egli_UPEC_metadata_provided!$A$2:$M$826, 10, FALSE)</f>
        <v>#N/A</v>
      </c>
      <c r="L868" t="e">
        <f>VLOOKUP($C868, Egli_UPEC_metadata_provided!$A$2:$M$826, 11, FALSE)</f>
        <v>#N/A</v>
      </c>
      <c r="M868" t="e">
        <f>VLOOKUP($C868, Egli_UPEC_metadata_provided!$A$2:$M$826, 12, FALSE)</f>
        <v>#N/A</v>
      </c>
      <c r="N868" t="e">
        <f>VLOOKUP($C868, Egli_UPEC_metadata_provided!$A$2:$M$826, 13, FALSE)</f>
        <v>#N/A</v>
      </c>
      <c r="O868" t="e">
        <f>VLOOKUP($C868, Egli_UPEC_metadata_provided!$A$2:$N$826, 14, FALSE)</f>
        <v>#N/A</v>
      </c>
    </row>
    <row r="869" spans="1:15" x14ac:dyDescent="0.2">
      <c r="A869" t="s">
        <v>1188</v>
      </c>
      <c r="B869" t="s">
        <v>4130</v>
      </c>
      <c r="C869" t="s">
        <v>4130</v>
      </c>
      <c r="D869" t="e">
        <f>VLOOKUP($C869, Egli_UPEC_metadata_provided!$A$2:$M$826, 3, FALSE)</f>
        <v>#N/A</v>
      </c>
      <c r="E869" t="e">
        <f>VLOOKUP($C869, Egli_UPEC_metadata_provided!$A$2:$M$826, 4, FALSE)</f>
        <v>#N/A</v>
      </c>
      <c r="F869" t="e">
        <f>VLOOKUP($C869, Egli_UPEC_metadata_provided!$A$2:$M$826, 5, FALSE)</f>
        <v>#N/A</v>
      </c>
      <c r="G869" t="e">
        <f>VLOOKUP($C869, Egli_UPEC_metadata_provided!$A$2:$M$826, 6, FALSE)</f>
        <v>#N/A</v>
      </c>
      <c r="H869" t="e">
        <f>VLOOKUP($C869, Egli_UPEC_metadata_provided!$A$2:$M$826, 7, FALSE)</f>
        <v>#N/A</v>
      </c>
      <c r="I869" t="e">
        <f>VLOOKUP($C869, Egli_UPEC_metadata_provided!$A$2:$M$826, 8, FALSE)</f>
        <v>#N/A</v>
      </c>
      <c r="J869" t="e">
        <f>VLOOKUP($C869, Egli_UPEC_metadata_provided!$A$2:$M$826, 9, FALSE)</f>
        <v>#N/A</v>
      </c>
      <c r="K869" t="e">
        <f>VLOOKUP($C869, Egli_UPEC_metadata_provided!$A$2:$M$826, 10, FALSE)</f>
        <v>#N/A</v>
      </c>
      <c r="L869" t="e">
        <f>VLOOKUP($C869, Egli_UPEC_metadata_provided!$A$2:$M$826, 11, FALSE)</f>
        <v>#N/A</v>
      </c>
      <c r="M869" t="e">
        <f>VLOOKUP($C869, Egli_UPEC_metadata_provided!$A$2:$M$826, 12, FALSE)</f>
        <v>#N/A</v>
      </c>
      <c r="N869" t="e">
        <f>VLOOKUP($C869, Egli_UPEC_metadata_provided!$A$2:$M$826, 13, FALSE)</f>
        <v>#N/A</v>
      </c>
      <c r="O869" t="e">
        <f>VLOOKUP($C869, Egli_UPEC_metadata_provided!$A$2:$N$826, 14, FALSE)</f>
        <v>#N/A</v>
      </c>
    </row>
    <row r="870" spans="1:15" x14ac:dyDescent="0.2">
      <c r="A870" t="s">
        <v>1362</v>
      </c>
      <c r="B870" t="s">
        <v>4147</v>
      </c>
      <c r="C870" t="s">
        <v>4147</v>
      </c>
      <c r="D870" t="e">
        <f>VLOOKUP($C870, Egli_UPEC_metadata_provided!$A$2:$M$826, 3, FALSE)</f>
        <v>#N/A</v>
      </c>
      <c r="E870" t="e">
        <f>VLOOKUP($C870, Egli_UPEC_metadata_provided!$A$2:$M$826, 4, FALSE)</f>
        <v>#N/A</v>
      </c>
      <c r="F870" t="e">
        <f>VLOOKUP($C870, Egli_UPEC_metadata_provided!$A$2:$M$826, 5, FALSE)</f>
        <v>#N/A</v>
      </c>
      <c r="G870" t="e">
        <f>VLOOKUP($C870, Egli_UPEC_metadata_provided!$A$2:$M$826, 6, FALSE)</f>
        <v>#N/A</v>
      </c>
      <c r="H870" t="e">
        <f>VLOOKUP($C870, Egli_UPEC_metadata_provided!$A$2:$M$826, 7, FALSE)</f>
        <v>#N/A</v>
      </c>
      <c r="I870" t="e">
        <f>VLOOKUP($C870, Egli_UPEC_metadata_provided!$A$2:$M$826, 8, FALSE)</f>
        <v>#N/A</v>
      </c>
      <c r="J870" t="e">
        <f>VLOOKUP($C870, Egli_UPEC_metadata_provided!$A$2:$M$826, 9, FALSE)</f>
        <v>#N/A</v>
      </c>
      <c r="K870" t="e">
        <f>VLOOKUP($C870, Egli_UPEC_metadata_provided!$A$2:$M$826, 10, FALSE)</f>
        <v>#N/A</v>
      </c>
      <c r="L870" t="e">
        <f>VLOOKUP($C870, Egli_UPEC_metadata_provided!$A$2:$M$826, 11, FALSE)</f>
        <v>#N/A</v>
      </c>
      <c r="M870" t="e">
        <f>VLOOKUP($C870, Egli_UPEC_metadata_provided!$A$2:$M$826, 12, FALSE)</f>
        <v>#N/A</v>
      </c>
      <c r="N870" t="e">
        <f>VLOOKUP($C870, Egli_UPEC_metadata_provided!$A$2:$M$826, 13, FALSE)</f>
        <v>#N/A</v>
      </c>
      <c r="O870" t="e">
        <f>VLOOKUP($C870, Egli_UPEC_metadata_provided!$A$2:$N$826, 14, FALSE)</f>
        <v>#N/A</v>
      </c>
    </row>
    <row r="871" spans="1:15" x14ac:dyDescent="0.2">
      <c r="A871" t="s">
        <v>1391</v>
      </c>
      <c r="B871" t="s">
        <v>4326</v>
      </c>
      <c r="C871" t="s">
        <v>4326</v>
      </c>
      <c r="D871" t="e">
        <f>VLOOKUP($C871, Egli_UPEC_metadata_provided!$A$2:$M$826, 3, FALSE)</f>
        <v>#N/A</v>
      </c>
      <c r="E871" t="e">
        <f>VLOOKUP($C871, Egli_UPEC_metadata_provided!$A$2:$M$826, 4, FALSE)</f>
        <v>#N/A</v>
      </c>
      <c r="F871" t="e">
        <f>VLOOKUP($C871, Egli_UPEC_metadata_provided!$A$2:$M$826, 5, FALSE)</f>
        <v>#N/A</v>
      </c>
      <c r="G871" t="e">
        <f>VLOOKUP($C871, Egli_UPEC_metadata_provided!$A$2:$M$826, 6, FALSE)</f>
        <v>#N/A</v>
      </c>
      <c r="H871" t="e">
        <f>VLOOKUP($C871, Egli_UPEC_metadata_provided!$A$2:$M$826, 7, FALSE)</f>
        <v>#N/A</v>
      </c>
      <c r="I871" t="e">
        <f>VLOOKUP($C871, Egli_UPEC_metadata_provided!$A$2:$M$826, 8, FALSE)</f>
        <v>#N/A</v>
      </c>
      <c r="J871" t="e">
        <f>VLOOKUP($C871, Egli_UPEC_metadata_provided!$A$2:$M$826, 9, FALSE)</f>
        <v>#N/A</v>
      </c>
      <c r="K871" t="e">
        <f>VLOOKUP($C871, Egli_UPEC_metadata_provided!$A$2:$M$826, 10, FALSE)</f>
        <v>#N/A</v>
      </c>
      <c r="L871" t="e">
        <f>VLOOKUP($C871, Egli_UPEC_metadata_provided!$A$2:$M$826, 11, FALSE)</f>
        <v>#N/A</v>
      </c>
      <c r="M871" t="e">
        <f>VLOOKUP($C871, Egli_UPEC_metadata_provided!$A$2:$M$826, 12, FALSE)</f>
        <v>#N/A</v>
      </c>
      <c r="N871" t="e">
        <f>VLOOKUP($C871, Egli_UPEC_metadata_provided!$A$2:$M$826, 13, FALSE)</f>
        <v>#N/A</v>
      </c>
      <c r="O871" t="e">
        <f>VLOOKUP($C871, Egli_UPEC_metadata_provided!$A$2:$N$826, 14, FALSE)</f>
        <v>#N/A</v>
      </c>
    </row>
    <row r="872" spans="1:15" x14ac:dyDescent="0.2">
      <c r="A872" t="s">
        <v>1491</v>
      </c>
      <c r="B872" t="s">
        <v>4332</v>
      </c>
      <c r="C872" t="s">
        <v>4332</v>
      </c>
      <c r="D872" t="e">
        <f>VLOOKUP($C872, Egli_UPEC_metadata_provided!$A$2:$M$826, 3, FALSE)</f>
        <v>#N/A</v>
      </c>
      <c r="E872" t="e">
        <f>VLOOKUP($C872, Egli_UPEC_metadata_provided!$A$2:$M$826, 4, FALSE)</f>
        <v>#N/A</v>
      </c>
      <c r="F872" t="e">
        <f>VLOOKUP($C872, Egli_UPEC_metadata_provided!$A$2:$M$826, 5, FALSE)</f>
        <v>#N/A</v>
      </c>
      <c r="G872" t="e">
        <f>VLOOKUP($C872, Egli_UPEC_metadata_provided!$A$2:$M$826, 6, FALSE)</f>
        <v>#N/A</v>
      </c>
      <c r="H872" t="e">
        <f>VLOOKUP($C872, Egli_UPEC_metadata_provided!$A$2:$M$826, 7, FALSE)</f>
        <v>#N/A</v>
      </c>
      <c r="I872" t="e">
        <f>VLOOKUP($C872, Egli_UPEC_metadata_provided!$A$2:$M$826, 8, FALSE)</f>
        <v>#N/A</v>
      </c>
      <c r="J872" t="e">
        <f>VLOOKUP($C872, Egli_UPEC_metadata_provided!$A$2:$M$826, 9, FALSE)</f>
        <v>#N/A</v>
      </c>
      <c r="K872" t="e">
        <f>VLOOKUP($C872, Egli_UPEC_metadata_provided!$A$2:$M$826, 10, FALSE)</f>
        <v>#N/A</v>
      </c>
      <c r="L872" t="e">
        <f>VLOOKUP($C872, Egli_UPEC_metadata_provided!$A$2:$M$826, 11, FALSE)</f>
        <v>#N/A</v>
      </c>
      <c r="M872" t="e">
        <f>VLOOKUP($C872, Egli_UPEC_metadata_provided!$A$2:$M$826, 12, FALSE)</f>
        <v>#N/A</v>
      </c>
      <c r="N872" t="e">
        <f>VLOOKUP($C872, Egli_UPEC_metadata_provided!$A$2:$M$826, 13, FALSE)</f>
        <v>#N/A</v>
      </c>
      <c r="O872" t="e">
        <f>VLOOKUP($C872, Egli_UPEC_metadata_provided!$A$2:$N$826, 14, FALSE)</f>
        <v>#N/A</v>
      </c>
    </row>
    <row r="873" spans="1:15" x14ac:dyDescent="0.2">
      <c r="A873" t="s">
        <v>1494</v>
      </c>
      <c r="B873" t="s">
        <v>4111</v>
      </c>
      <c r="C873" t="s">
        <v>4111</v>
      </c>
      <c r="D873" t="e">
        <f>VLOOKUP($C873, Egli_UPEC_metadata_provided!$A$2:$M$826, 3, FALSE)</f>
        <v>#N/A</v>
      </c>
      <c r="E873" t="e">
        <f>VLOOKUP($C873, Egli_UPEC_metadata_provided!$A$2:$M$826, 4, FALSE)</f>
        <v>#N/A</v>
      </c>
      <c r="F873" t="e">
        <f>VLOOKUP($C873, Egli_UPEC_metadata_provided!$A$2:$M$826, 5, FALSE)</f>
        <v>#N/A</v>
      </c>
      <c r="G873" t="e">
        <f>VLOOKUP($C873, Egli_UPEC_metadata_provided!$A$2:$M$826, 6, FALSE)</f>
        <v>#N/A</v>
      </c>
      <c r="H873" t="e">
        <f>VLOOKUP($C873, Egli_UPEC_metadata_provided!$A$2:$M$826, 7, FALSE)</f>
        <v>#N/A</v>
      </c>
      <c r="I873" t="e">
        <f>VLOOKUP($C873, Egli_UPEC_metadata_provided!$A$2:$M$826, 8, FALSE)</f>
        <v>#N/A</v>
      </c>
      <c r="J873" t="e">
        <f>VLOOKUP($C873, Egli_UPEC_metadata_provided!$A$2:$M$826, 9, FALSE)</f>
        <v>#N/A</v>
      </c>
      <c r="K873" t="e">
        <f>VLOOKUP($C873, Egli_UPEC_metadata_provided!$A$2:$M$826, 10, FALSE)</f>
        <v>#N/A</v>
      </c>
      <c r="L873" t="e">
        <f>VLOOKUP($C873, Egli_UPEC_metadata_provided!$A$2:$M$826, 11, FALSE)</f>
        <v>#N/A</v>
      </c>
      <c r="M873" t="e">
        <f>VLOOKUP($C873, Egli_UPEC_metadata_provided!$A$2:$M$826, 12, FALSE)</f>
        <v>#N/A</v>
      </c>
      <c r="N873" t="e">
        <f>VLOOKUP($C873, Egli_UPEC_metadata_provided!$A$2:$M$826, 13, FALSE)</f>
        <v>#N/A</v>
      </c>
      <c r="O873" t="e">
        <f>VLOOKUP($C873, Egli_UPEC_metadata_provided!$A$2:$N$826, 14, FALSE)</f>
        <v>#N/A</v>
      </c>
    </row>
    <row r="874" spans="1:15" x14ac:dyDescent="0.2">
      <c r="A874" t="s">
        <v>1503</v>
      </c>
      <c r="B874" t="s">
        <v>4305</v>
      </c>
      <c r="C874" t="s">
        <v>4305</v>
      </c>
      <c r="D874" t="e">
        <f>VLOOKUP($C874, Egli_UPEC_metadata_provided!$A$2:$M$826, 3, FALSE)</f>
        <v>#N/A</v>
      </c>
      <c r="E874" t="e">
        <f>VLOOKUP($C874, Egli_UPEC_metadata_provided!$A$2:$M$826, 4, FALSE)</f>
        <v>#N/A</v>
      </c>
      <c r="F874" t="e">
        <f>VLOOKUP($C874, Egli_UPEC_metadata_provided!$A$2:$M$826, 5, FALSE)</f>
        <v>#N/A</v>
      </c>
      <c r="G874" t="e">
        <f>VLOOKUP($C874, Egli_UPEC_metadata_provided!$A$2:$M$826, 6, FALSE)</f>
        <v>#N/A</v>
      </c>
      <c r="H874" t="e">
        <f>VLOOKUP($C874, Egli_UPEC_metadata_provided!$A$2:$M$826, 7, FALSE)</f>
        <v>#N/A</v>
      </c>
      <c r="I874" t="e">
        <f>VLOOKUP($C874, Egli_UPEC_metadata_provided!$A$2:$M$826, 8, FALSE)</f>
        <v>#N/A</v>
      </c>
      <c r="J874" t="e">
        <f>VLOOKUP($C874, Egli_UPEC_metadata_provided!$A$2:$M$826, 9, FALSE)</f>
        <v>#N/A</v>
      </c>
      <c r="K874" t="e">
        <f>VLOOKUP($C874, Egli_UPEC_metadata_provided!$A$2:$M$826, 10, FALSE)</f>
        <v>#N/A</v>
      </c>
      <c r="L874" t="e">
        <f>VLOOKUP($C874, Egli_UPEC_metadata_provided!$A$2:$M$826, 11, FALSE)</f>
        <v>#N/A</v>
      </c>
      <c r="M874" t="e">
        <f>VLOOKUP($C874, Egli_UPEC_metadata_provided!$A$2:$M$826, 12, FALSE)</f>
        <v>#N/A</v>
      </c>
      <c r="N874" t="e">
        <f>VLOOKUP($C874, Egli_UPEC_metadata_provided!$A$2:$M$826, 13, FALSE)</f>
        <v>#N/A</v>
      </c>
      <c r="O874" t="e">
        <f>VLOOKUP($C874, Egli_UPEC_metadata_provided!$A$2:$N$826, 14, FALSE)</f>
        <v>#N/A</v>
      </c>
    </row>
    <row r="875" spans="1:15" x14ac:dyDescent="0.2">
      <c r="A875" t="s">
        <v>1514</v>
      </c>
      <c r="B875" t="s">
        <v>4306</v>
      </c>
      <c r="C875" t="s">
        <v>4306</v>
      </c>
      <c r="D875" t="e">
        <f>VLOOKUP($C875, Egli_UPEC_metadata_provided!$A$2:$M$826, 3, FALSE)</f>
        <v>#N/A</v>
      </c>
      <c r="E875" t="e">
        <f>VLOOKUP($C875, Egli_UPEC_metadata_provided!$A$2:$M$826, 4, FALSE)</f>
        <v>#N/A</v>
      </c>
      <c r="F875" t="e">
        <f>VLOOKUP($C875, Egli_UPEC_metadata_provided!$A$2:$M$826, 5, FALSE)</f>
        <v>#N/A</v>
      </c>
      <c r="G875" t="e">
        <f>VLOOKUP($C875, Egli_UPEC_metadata_provided!$A$2:$M$826, 6, FALSE)</f>
        <v>#N/A</v>
      </c>
      <c r="H875" t="e">
        <f>VLOOKUP($C875, Egli_UPEC_metadata_provided!$A$2:$M$826, 7, FALSE)</f>
        <v>#N/A</v>
      </c>
      <c r="I875" t="e">
        <f>VLOOKUP($C875, Egli_UPEC_metadata_provided!$A$2:$M$826, 8, FALSE)</f>
        <v>#N/A</v>
      </c>
      <c r="J875" t="e">
        <f>VLOOKUP($C875, Egli_UPEC_metadata_provided!$A$2:$M$826, 9, FALSE)</f>
        <v>#N/A</v>
      </c>
      <c r="K875" t="e">
        <f>VLOOKUP($C875, Egli_UPEC_metadata_provided!$A$2:$M$826, 10, FALSE)</f>
        <v>#N/A</v>
      </c>
      <c r="L875" t="e">
        <f>VLOOKUP($C875, Egli_UPEC_metadata_provided!$A$2:$M$826, 11, FALSE)</f>
        <v>#N/A</v>
      </c>
      <c r="M875" t="e">
        <f>VLOOKUP($C875, Egli_UPEC_metadata_provided!$A$2:$M$826, 12, FALSE)</f>
        <v>#N/A</v>
      </c>
      <c r="N875" t="e">
        <f>VLOOKUP($C875, Egli_UPEC_metadata_provided!$A$2:$M$826, 13, FALSE)</f>
        <v>#N/A</v>
      </c>
      <c r="O875" t="e">
        <f>VLOOKUP($C875, Egli_UPEC_metadata_provided!$A$2:$N$826, 14, FALSE)</f>
        <v>#N/A</v>
      </c>
    </row>
    <row r="876" spans="1:15" x14ac:dyDescent="0.2">
      <c r="A876" t="s">
        <v>1517</v>
      </c>
      <c r="B876" t="s">
        <v>4128</v>
      </c>
      <c r="C876" t="s">
        <v>4128</v>
      </c>
      <c r="D876" t="e">
        <f>VLOOKUP($C876, Egli_UPEC_metadata_provided!$A$2:$M$826, 3, FALSE)</f>
        <v>#N/A</v>
      </c>
      <c r="E876" t="e">
        <f>VLOOKUP($C876, Egli_UPEC_metadata_provided!$A$2:$M$826, 4, FALSE)</f>
        <v>#N/A</v>
      </c>
      <c r="F876" t="e">
        <f>VLOOKUP($C876, Egli_UPEC_metadata_provided!$A$2:$M$826, 5, FALSE)</f>
        <v>#N/A</v>
      </c>
      <c r="G876" t="e">
        <f>VLOOKUP($C876, Egli_UPEC_metadata_provided!$A$2:$M$826, 6, FALSE)</f>
        <v>#N/A</v>
      </c>
      <c r="H876" t="e">
        <f>VLOOKUP($C876, Egli_UPEC_metadata_provided!$A$2:$M$826, 7, FALSE)</f>
        <v>#N/A</v>
      </c>
      <c r="I876" t="e">
        <f>VLOOKUP($C876, Egli_UPEC_metadata_provided!$A$2:$M$826, 8, FALSE)</f>
        <v>#N/A</v>
      </c>
      <c r="J876" t="e">
        <f>VLOOKUP($C876, Egli_UPEC_metadata_provided!$A$2:$M$826, 9, FALSE)</f>
        <v>#N/A</v>
      </c>
      <c r="K876" t="e">
        <f>VLOOKUP($C876, Egli_UPEC_metadata_provided!$A$2:$M$826, 10, FALSE)</f>
        <v>#N/A</v>
      </c>
      <c r="L876" t="e">
        <f>VLOOKUP($C876, Egli_UPEC_metadata_provided!$A$2:$M$826, 11, FALSE)</f>
        <v>#N/A</v>
      </c>
      <c r="M876" t="e">
        <f>VLOOKUP($C876, Egli_UPEC_metadata_provided!$A$2:$M$826, 12, FALSE)</f>
        <v>#N/A</v>
      </c>
      <c r="N876" t="e">
        <f>VLOOKUP($C876, Egli_UPEC_metadata_provided!$A$2:$M$826, 13, FALSE)</f>
        <v>#N/A</v>
      </c>
      <c r="O876" t="e">
        <f>VLOOKUP($C876, Egli_UPEC_metadata_provided!$A$2:$N$826, 14, FALSE)</f>
        <v>#N/A</v>
      </c>
    </row>
    <row r="877" spans="1:15" x14ac:dyDescent="0.2">
      <c r="A877" t="s">
        <v>1522</v>
      </c>
      <c r="B877" t="s">
        <v>4129</v>
      </c>
      <c r="C877" t="s">
        <v>4129</v>
      </c>
      <c r="D877" t="e">
        <f>VLOOKUP($C877, Egli_UPEC_metadata_provided!$A$2:$M$826, 3, FALSE)</f>
        <v>#N/A</v>
      </c>
      <c r="E877" t="e">
        <f>VLOOKUP($C877, Egli_UPEC_metadata_provided!$A$2:$M$826, 4, FALSE)</f>
        <v>#N/A</v>
      </c>
      <c r="F877" t="e">
        <f>VLOOKUP($C877, Egli_UPEC_metadata_provided!$A$2:$M$826, 5, FALSE)</f>
        <v>#N/A</v>
      </c>
      <c r="G877" t="e">
        <f>VLOOKUP($C877, Egli_UPEC_metadata_provided!$A$2:$M$826, 6, FALSE)</f>
        <v>#N/A</v>
      </c>
      <c r="H877" t="e">
        <f>VLOOKUP($C877, Egli_UPEC_metadata_provided!$A$2:$M$826, 7, FALSE)</f>
        <v>#N/A</v>
      </c>
      <c r="I877" t="e">
        <f>VLOOKUP($C877, Egli_UPEC_metadata_provided!$A$2:$M$826, 8, FALSE)</f>
        <v>#N/A</v>
      </c>
      <c r="J877" t="e">
        <f>VLOOKUP($C877, Egli_UPEC_metadata_provided!$A$2:$M$826, 9, FALSE)</f>
        <v>#N/A</v>
      </c>
      <c r="K877" t="e">
        <f>VLOOKUP($C877, Egli_UPEC_metadata_provided!$A$2:$M$826, 10, FALSE)</f>
        <v>#N/A</v>
      </c>
      <c r="L877" t="e">
        <f>VLOOKUP($C877, Egli_UPEC_metadata_provided!$A$2:$M$826, 11, FALSE)</f>
        <v>#N/A</v>
      </c>
      <c r="M877" t="e">
        <f>VLOOKUP($C877, Egli_UPEC_metadata_provided!$A$2:$M$826, 12, FALSE)</f>
        <v>#N/A</v>
      </c>
      <c r="N877" t="e">
        <f>VLOOKUP($C877, Egli_UPEC_metadata_provided!$A$2:$M$826, 13, FALSE)</f>
        <v>#N/A</v>
      </c>
      <c r="O877" t="e">
        <f>VLOOKUP($C877, Egli_UPEC_metadata_provided!$A$2:$N$826, 14, FALSE)</f>
        <v>#N/A</v>
      </c>
    </row>
    <row r="878" spans="1:15" x14ac:dyDescent="0.2">
      <c r="A878" t="s">
        <v>1529</v>
      </c>
      <c r="B878" t="s">
        <v>4112</v>
      </c>
      <c r="C878" t="s">
        <v>4112</v>
      </c>
      <c r="D878" t="e">
        <f>VLOOKUP($C878, Egli_UPEC_metadata_provided!$A$2:$M$826, 3, FALSE)</f>
        <v>#N/A</v>
      </c>
      <c r="E878" t="e">
        <f>VLOOKUP($C878, Egli_UPEC_metadata_provided!$A$2:$M$826, 4, FALSE)</f>
        <v>#N/A</v>
      </c>
      <c r="F878" t="e">
        <f>VLOOKUP($C878, Egli_UPEC_metadata_provided!$A$2:$M$826, 5, FALSE)</f>
        <v>#N/A</v>
      </c>
      <c r="G878" t="e">
        <f>VLOOKUP($C878, Egli_UPEC_metadata_provided!$A$2:$M$826, 6, FALSE)</f>
        <v>#N/A</v>
      </c>
      <c r="H878" t="e">
        <f>VLOOKUP($C878, Egli_UPEC_metadata_provided!$A$2:$M$826, 7, FALSE)</f>
        <v>#N/A</v>
      </c>
      <c r="I878" t="e">
        <f>VLOOKUP($C878, Egli_UPEC_metadata_provided!$A$2:$M$826, 8, FALSE)</f>
        <v>#N/A</v>
      </c>
      <c r="J878" t="e">
        <f>VLOOKUP($C878, Egli_UPEC_metadata_provided!$A$2:$M$826, 9, FALSE)</f>
        <v>#N/A</v>
      </c>
      <c r="K878" t="e">
        <f>VLOOKUP($C878, Egli_UPEC_metadata_provided!$A$2:$M$826, 10, FALSE)</f>
        <v>#N/A</v>
      </c>
      <c r="L878" t="e">
        <f>VLOOKUP($C878, Egli_UPEC_metadata_provided!$A$2:$M$826, 11, FALSE)</f>
        <v>#N/A</v>
      </c>
      <c r="M878" t="e">
        <f>VLOOKUP($C878, Egli_UPEC_metadata_provided!$A$2:$M$826, 12, FALSE)</f>
        <v>#N/A</v>
      </c>
      <c r="N878" t="e">
        <f>VLOOKUP($C878, Egli_UPEC_metadata_provided!$A$2:$M$826, 13, FALSE)</f>
        <v>#N/A</v>
      </c>
      <c r="O878" t="e">
        <f>VLOOKUP($C878, Egli_UPEC_metadata_provided!$A$2:$N$826, 14, FALSE)</f>
        <v>#N/A</v>
      </c>
    </row>
    <row r="879" spans="1:15" x14ac:dyDescent="0.2">
      <c r="A879" t="s">
        <v>1550</v>
      </c>
      <c r="B879" t="s">
        <v>4333</v>
      </c>
      <c r="C879" t="s">
        <v>4333</v>
      </c>
      <c r="D879" t="e">
        <f>VLOOKUP($C879, Egli_UPEC_metadata_provided!$A$2:$M$826, 3, FALSE)</f>
        <v>#N/A</v>
      </c>
      <c r="E879" t="e">
        <f>VLOOKUP($C879, Egli_UPEC_metadata_provided!$A$2:$M$826, 4, FALSE)</f>
        <v>#N/A</v>
      </c>
      <c r="F879" t="e">
        <f>VLOOKUP($C879, Egli_UPEC_metadata_provided!$A$2:$M$826, 5, FALSE)</f>
        <v>#N/A</v>
      </c>
      <c r="G879" t="e">
        <f>VLOOKUP($C879, Egli_UPEC_metadata_provided!$A$2:$M$826, 6, FALSE)</f>
        <v>#N/A</v>
      </c>
      <c r="H879" t="e">
        <f>VLOOKUP($C879, Egli_UPEC_metadata_provided!$A$2:$M$826, 7, FALSE)</f>
        <v>#N/A</v>
      </c>
      <c r="I879" t="e">
        <f>VLOOKUP($C879, Egli_UPEC_metadata_provided!$A$2:$M$826, 8, FALSE)</f>
        <v>#N/A</v>
      </c>
      <c r="J879" t="e">
        <f>VLOOKUP($C879, Egli_UPEC_metadata_provided!$A$2:$M$826, 9, FALSE)</f>
        <v>#N/A</v>
      </c>
      <c r="K879" t="e">
        <f>VLOOKUP($C879, Egli_UPEC_metadata_provided!$A$2:$M$826, 10, FALSE)</f>
        <v>#N/A</v>
      </c>
      <c r="L879" t="e">
        <f>VLOOKUP($C879, Egli_UPEC_metadata_provided!$A$2:$M$826, 11, FALSE)</f>
        <v>#N/A</v>
      </c>
      <c r="M879" t="e">
        <f>VLOOKUP($C879, Egli_UPEC_metadata_provided!$A$2:$M$826, 12, FALSE)</f>
        <v>#N/A</v>
      </c>
      <c r="N879" t="e">
        <f>VLOOKUP($C879, Egli_UPEC_metadata_provided!$A$2:$M$826, 13, FALSE)</f>
        <v>#N/A</v>
      </c>
      <c r="O879" t="e">
        <f>VLOOKUP($C879, Egli_UPEC_metadata_provided!$A$2:$N$826, 14, FALSE)</f>
        <v>#N/A</v>
      </c>
    </row>
    <row r="880" spans="1:15" x14ac:dyDescent="0.2">
      <c r="A880" t="s">
        <v>1565</v>
      </c>
      <c r="B880" t="s">
        <v>4334</v>
      </c>
      <c r="C880" t="s">
        <v>4334</v>
      </c>
      <c r="D880" t="e">
        <f>VLOOKUP($C880, Egli_UPEC_metadata_provided!$A$2:$M$826, 3, FALSE)</f>
        <v>#N/A</v>
      </c>
      <c r="E880" t="e">
        <f>VLOOKUP($C880, Egli_UPEC_metadata_provided!$A$2:$M$826, 4, FALSE)</f>
        <v>#N/A</v>
      </c>
      <c r="F880" t="e">
        <f>VLOOKUP($C880, Egli_UPEC_metadata_provided!$A$2:$M$826, 5, FALSE)</f>
        <v>#N/A</v>
      </c>
      <c r="G880" t="e">
        <f>VLOOKUP($C880, Egli_UPEC_metadata_provided!$A$2:$M$826, 6, FALSE)</f>
        <v>#N/A</v>
      </c>
      <c r="H880" t="e">
        <f>VLOOKUP($C880, Egli_UPEC_metadata_provided!$A$2:$M$826, 7, FALSE)</f>
        <v>#N/A</v>
      </c>
      <c r="I880" t="e">
        <f>VLOOKUP($C880, Egli_UPEC_metadata_provided!$A$2:$M$826, 8, FALSE)</f>
        <v>#N/A</v>
      </c>
      <c r="J880" t="e">
        <f>VLOOKUP($C880, Egli_UPEC_metadata_provided!$A$2:$M$826, 9, FALSE)</f>
        <v>#N/A</v>
      </c>
      <c r="K880" t="e">
        <f>VLOOKUP($C880, Egli_UPEC_metadata_provided!$A$2:$M$826, 10, FALSE)</f>
        <v>#N/A</v>
      </c>
      <c r="L880" t="e">
        <f>VLOOKUP($C880, Egli_UPEC_metadata_provided!$A$2:$M$826, 11, FALSE)</f>
        <v>#N/A</v>
      </c>
      <c r="M880" t="e">
        <f>VLOOKUP($C880, Egli_UPEC_metadata_provided!$A$2:$M$826, 12, FALSE)</f>
        <v>#N/A</v>
      </c>
      <c r="N880" t="e">
        <f>VLOOKUP($C880, Egli_UPEC_metadata_provided!$A$2:$M$826, 13, FALSE)</f>
        <v>#N/A</v>
      </c>
      <c r="O880" t="e">
        <f>VLOOKUP($C880, Egli_UPEC_metadata_provided!$A$2:$N$826, 14, FALSE)</f>
        <v>#N/A</v>
      </c>
    </row>
    <row r="881" spans="1:15" x14ac:dyDescent="0.2">
      <c r="A881" t="s">
        <v>1582</v>
      </c>
      <c r="B881" t="s">
        <v>4153</v>
      </c>
      <c r="C881" t="s">
        <v>4153</v>
      </c>
      <c r="D881" t="e">
        <f>VLOOKUP($C881, Egli_UPEC_metadata_provided!$A$2:$M$826, 3, FALSE)</f>
        <v>#N/A</v>
      </c>
      <c r="E881" t="e">
        <f>VLOOKUP($C881, Egli_UPEC_metadata_provided!$A$2:$M$826, 4, FALSE)</f>
        <v>#N/A</v>
      </c>
      <c r="F881" t="e">
        <f>VLOOKUP($C881, Egli_UPEC_metadata_provided!$A$2:$M$826, 5, FALSE)</f>
        <v>#N/A</v>
      </c>
      <c r="G881" t="e">
        <f>VLOOKUP($C881, Egli_UPEC_metadata_provided!$A$2:$M$826, 6, FALSE)</f>
        <v>#N/A</v>
      </c>
      <c r="H881" t="e">
        <f>VLOOKUP($C881, Egli_UPEC_metadata_provided!$A$2:$M$826, 7, FALSE)</f>
        <v>#N/A</v>
      </c>
      <c r="I881" t="e">
        <f>VLOOKUP($C881, Egli_UPEC_metadata_provided!$A$2:$M$826, 8, FALSE)</f>
        <v>#N/A</v>
      </c>
      <c r="J881" t="e">
        <f>VLOOKUP($C881, Egli_UPEC_metadata_provided!$A$2:$M$826, 9, FALSE)</f>
        <v>#N/A</v>
      </c>
      <c r="K881" t="e">
        <f>VLOOKUP($C881, Egli_UPEC_metadata_provided!$A$2:$M$826, 10, FALSE)</f>
        <v>#N/A</v>
      </c>
      <c r="L881" t="e">
        <f>VLOOKUP($C881, Egli_UPEC_metadata_provided!$A$2:$M$826, 11, FALSE)</f>
        <v>#N/A</v>
      </c>
      <c r="M881" t="e">
        <f>VLOOKUP($C881, Egli_UPEC_metadata_provided!$A$2:$M$826, 12, FALSE)</f>
        <v>#N/A</v>
      </c>
      <c r="N881" t="e">
        <f>VLOOKUP($C881, Egli_UPEC_metadata_provided!$A$2:$M$826, 13, FALSE)</f>
        <v>#N/A</v>
      </c>
      <c r="O881" t="e">
        <f>VLOOKUP($C881, Egli_UPEC_metadata_provided!$A$2:$N$826, 14, FALSE)</f>
        <v>#N/A</v>
      </c>
    </row>
    <row r="882" spans="1:15" x14ac:dyDescent="0.2">
      <c r="A882" t="s">
        <v>1589</v>
      </c>
      <c r="B882" t="s">
        <v>4195</v>
      </c>
      <c r="C882" t="s">
        <v>4195</v>
      </c>
      <c r="D882" t="e">
        <f>VLOOKUP($C882, Egli_UPEC_metadata_provided!$A$2:$M$826, 3, FALSE)</f>
        <v>#N/A</v>
      </c>
      <c r="E882" t="e">
        <f>VLOOKUP($C882, Egli_UPEC_metadata_provided!$A$2:$M$826, 4, FALSE)</f>
        <v>#N/A</v>
      </c>
      <c r="F882" t="e">
        <f>VLOOKUP($C882, Egli_UPEC_metadata_provided!$A$2:$M$826, 5, FALSE)</f>
        <v>#N/A</v>
      </c>
      <c r="G882" t="e">
        <f>VLOOKUP($C882, Egli_UPEC_metadata_provided!$A$2:$M$826, 6, FALSE)</f>
        <v>#N/A</v>
      </c>
      <c r="H882" t="e">
        <f>VLOOKUP($C882, Egli_UPEC_metadata_provided!$A$2:$M$826, 7, FALSE)</f>
        <v>#N/A</v>
      </c>
      <c r="I882" t="e">
        <f>VLOOKUP($C882, Egli_UPEC_metadata_provided!$A$2:$M$826, 8, FALSE)</f>
        <v>#N/A</v>
      </c>
      <c r="J882" t="e">
        <f>VLOOKUP($C882, Egli_UPEC_metadata_provided!$A$2:$M$826, 9, FALSE)</f>
        <v>#N/A</v>
      </c>
      <c r="K882" t="e">
        <f>VLOOKUP($C882, Egli_UPEC_metadata_provided!$A$2:$M$826, 10, FALSE)</f>
        <v>#N/A</v>
      </c>
      <c r="L882" t="e">
        <f>VLOOKUP($C882, Egli_UPEC_metadata_provided!$A$2:$M$826, 11, FALSE)</f>
        <v>#N/A</v>
      </c>
      <c r="M882" t="e">
        <f>VLOOKUP($C882, Egli_UPEC_metadata_provided!$A$2:$M$826, 12, FALSE)</f>
        <v>#N/A</v>
      </c>
      <c r="N882" t="e">
        <f>VLOOKUP($C882, Egli_UPEC_metadata_provided!$A$2:$M$826, 13, FALSE)</f>
        <v>#N/A</v>
      </c>
      <c r="O882" t="e">
        <f>VLOOKUP($C882, Egli_UPEC_metadata_provided!$A$2:$N$826, 14, FALSE)</f>
        <v>#N/A</v>
      </c>
    </row>
    <row r="883" spans="1:15" x14ac:dyDescent="0.2">
      <c r="A883" t="s">
        <v>1594</v>
      </c>
      <c r="B883" t="s">
        <v>4196</v>
      </c>
      <c r="C883" t="s">
        <v>4196</v>
      </c>
      <c r="D883" t="e">
        <f>VLOOKUP($C883, Egli_UPEC_metadata_provided!$A$2:$M$826, 3, FALSE)</f>
        <v>#N/A</v>
      </c>
      <c r="E883" t="e">
        <f>VLOOKUP($C883, Egli_UPEC_metadata_provided!$A$2:$M$826, 4, FALSE)</f>
        <v>#N/A</v>
      </c>
      <c r="F883" t="e">
        <f>VLOOKUP($C883, Egli_UPEC_metadata_provided!$A$2:$M$826, 5, FALSE)</f>
        <v>#N/A</v>
      </c>
      <c r="G883" t="e">
        <f>VLOOKUP($C883, Egli_UPEC_metadata_provided!$A$2:$M$826, 6, FALSE)</f>
        <v>#N/A</v>
      </c>
      <c r="H883" t="e">
        <f>VLOOKUP($C883, Egli_UPEC_metadata_provided!$A$2:$M$826, 7, FALSE)</f>
        <v>#N/A</v>
      </c>
      <c r="I883" t="e">
        <f>VLOOKUP($C883, Egli_UPEC_metadata_provided!$A$2:$M$826, 8, FALSE)</f>
        <v>#N/A</v>
      </c>
      <c r="J883" t="e">
        <f>VLOOKUP($C883, Egli_UPEC_metadata_provided!$A$2:$M$826, 9, FALSE)</f>
        <v>#N/A</v>
      </c>
      <c r="K883" t="e">
        <f>VLOOKUP($C883, Egli_UPEC_metadata_provided!$A$2:$M$826, 10, FALSE)</f>
        <v>#N/A</v>
      </c>
      <c r="L883" t="e">
        <f>VLOOKUP($C883, Egli_UPEC_metadata_provided!$A$2:$M$826, 11, FALSE)</f>
        <v>#N/A</v>
      </c>
      <c r="M883" t="e">
        <f>VLOOKUP($C883, Egli_UPEC_metadata_provided!$A$2:$M$826, 12, FALSE)</f>
        <v>#N/A</v>
      </c>
      <c r="N883" t="e">
        <f>VLOOKUP($C883, Egli_UPEC_metadata_provided!$A$2:$M$826, 13, FALSE)</f>
        <v>#N/A</v>
      </c>
      <c r="O883" t="e">
        <f>VLOOKUP($C883, Egli_UPEC_metadata_provided!$A$2:$N$826, 14, FALSE)</f>
        <v>#N/A</v>
      </c>
    </row>
    <row r="884" spans="1:15" x14ac:dyDescent="0.2">
      <c r="A884" t="s">
        <v>1599</v>
      </c>
      <c r="B884" t="s">
        <v>4156</v>
      </c>
      <c r="C884" t="s">
        <v>4156</v>
      </c>
      <c r="D884" t="e">
        <f>VLOOKUP($C884, Egli_UPEC_metadata_provided!$A$2:$M$826, 3, FALSE)</f>
        <v>#N/A</v>
      </c>
      <c r="E884" t="e">
        <f>VLOOKUP($C884, Egli_UPEC_metadata_provided!$A$2:$M$826, 4, FALSE)</f>
        <v>#N/A</v>
      </c>
      <c r="F884" t="e">
        <f>VLOOKUP($C884, Egli_UPEC_metadata_provided!$A$2:$M$826, 5, FALSE)</f>
        <v>#N/A</v>
      </c>
      <c r="G884" t="e">
        <f>VLOOKUP($C884, Egli_UPEC_metadata_provided!$A$2:$M$826, 6, FALSE)</f>
        <v>#N/A</v>
      </c>
      <c r="H884" t="e">
        <f>VLOOKUP($C884, Egli_UPEC_metadata_provided!$A$2:$M$826, 7, FALSE)</f>
        <v>#N/A</v>
      </c>
      <c r="I884" t="e">
        <f>VLOOKUP($C884, Egli_UPEC_metadata_provided!$A$2:$M$826, 8, FALSE)</f>
        <v>#N/A</v>
      </c>
      <c r="J884" t="e">
        <f>VLOOKUP($C884, Egli_UPEC_metadata_provided!$A$2:$M$826, 9, FALSE)</f>
        <v>#N/A</v>
      </c>
      <c r="K884" t="e">
        <f>VLOOKUP($C884, Egli_UPEC_metadata_provided!$A$2:$M$826, 10, FALSE)</f>
        <v>#N/A</v>
      </c>
      <c r="L884" t="e">
        <f>VLOOKUP($C884, Egli_UPEC_metadata_provided!$A$2:$M$826, 11, FALSE)</f>
        <v>#N/A</v>
      </c>
      <c r="M884" t="e">
        <f>VLOOKUP($C884, Egli_UPEC_metadata_provided!$A$2:$M$826, 12, FALSE)</f>
        <v>#N/A</v>
      </c>
      <c r="N884" t="e">
        <f>VLOOKUP($C884, Egli_UPEC_metadata_provided!$A$2:$M$826, 13, FALSE)</f>
        <v>#N/A</v>
      </c>
      <c r="O884" t="e">
        <f>VLOOKUP($C884, Egli_UPEC_metadata_provided!$A$2:$N$826, 14, FALSE)</f>
        <v>#N/A</v>
      </c>
    </row>
    <row r="885" spans="1:15" x14ac:dyDescent="0.2">
      <c r="A885" t="s">
        <v>1608</v>
      </c>
      <c r="B885" t="s">
        <v>4335</v>
      </c>
      <c r="C885" t="s">
        <v>4335</v>
      </c>
      <c r="D885" t="e">
        <f>VLOOKUP($C885, Egli_UPEC_metadata_provided!$A$2:$M$826, 3, FALSE)</f>
        <v>#N/A</v>
      </c>
      <c r="E885" t="e">
        <f>VLOOKUP($C885, Egli_UPEC_metadata_provided!$A$2:$M$826, 4, FALSE)</f>
        <v>#N/A</v>
      </c>
      <c r="F885" t="e">
        <f>VLOOKUP($C885, Egli_UPEC_metadata_provided!$A$2:$M$826, 5, FALSE)</f>
        <v>#N/A</v>
      </c>
      <c r="G885" t="e">
        <f>VLOOKUP($C885, Egli_UPEC_metadata_provided!$A$2:$M$826, 6, FALSE)</f>
        <v>#N/A</v>
      </c>
      <c r="H885" t="e">
        <f>VLOOKUP($C885, Egli_UPEC_metadata_provided!$A$2:$M$826, 7, FALSE)</f>
        <v>#N/A</v>
      </c>
      <c r="I885" t="e">
        <f>VLOOKUP($C885, Egli_UPEC_metadata_provided!$A$2:$M$826, 8, FALSE)</f>
        <v>#N/A</v>
      </c>
      <c r="J885" t="e">
        <f>VLOOKUP($C885, Egli_UPEC_metadata_provided!$A$2:$M$826, 9, FALSE)</f>
        <v>#N/A</v>
      </c>
      <c r="K885" t="e">
        <f>VLOOKUP($C885, Egli_UPEC_metadata_provided!$A$2:$M$826, 10, FALSE)</f>
        <v>#N/A</v>
      </c>
      <c r="L885" t="e">
        <f>VLOOKUP($C885, Egli_UPEC_metadata_provided!$A$2:$M$826, 11, FALSE)</f>
        <v>#N/A</v>
      </c>
      <c r="M885" t="e">
        <f>VLOOKUP($C885, Egli_UPEC_metadata_provided!$A$2:$M$826, 12, FALSE)</f>
        <v>#N/A</v>
      </c>
      <c r="N885" t="e">
        <f>VLOOKUP($C885, Egli_UPEC_metadata_provided!$A$2:$M$826, 13, FALSE)</f>
        <v>#N/A</v>
      </c>
      <c r="O885" t="e">
        <f>VLOOKUP($C885, Egli_UPEC_metadata_provided!$A$2:$N$826, 14, FALSE)</f>
        <v>#N/A</v>
      </c>
    </row>
    <row r="886" spans="1:15" x14ac:dyDescent="0.2">
      <c r="A886" t="s">
        <v>1615</v>
      </c>
      <c r="B886" t="s">
        <v>4157</v>
      </c>
      <c r="C886" t="s">
        <v>4157</v>
      </c>
      <c r="D886" t="e">
        <f>VLOOKUP($C886, Egli_UPEC_metadata_provided!$A$2:$M$826, 3, FALSE)</f>
        <v>#N/A</v>
      </c>
      <c r="E886" t="e">
        <f>VLOOKUP($C886, Egli_UPEC_metadata_provided!$A$2:$M$826, 4, FALSE)</f>
        <v>#N/A</v>
      </c>
      <c r="F886" t="e">
        <f>VLOOKUP($C886, Egli_UPEC_metadata_provided!$A$2:$M$826, 5, FALSE)</f>
        <v>#N/A</v>
      </c>
      <c r="G886" t="e">
        <f>VLOOKUP($C886, Egli_UPEC_metadata_provided!$A$2:$M$826, 6, FALSE)</f>
        <v>#N/A</v>
      </c>
      <c r="H886" t="e">
        <f>VLOOKUP($C886, Egli_UPEC_metadata_provided!$A$2:$M$826, 7, FALSE)</f>
        <v>#N/A</v>
      </c>
      <c r="I886" t="e">
        <f>VLOOKUP($C886, Egli_UPEC_metadata_provided!$A$2:$M$826, 8, FALSE)</f>
        <v>#N/A</v>
      </c>
      <c r="J886" t="e">
        <f>VLOOKUP($C886, Egli_UPEC_metadata_provided!$A$2:$M$826, 9, FALSE)</f>
        <v>#N/A</v>
      </c>
      <c r="K886" t="e">
        <f>VLOOKUP($C886, Egli_UPEC_metadata_provided!$A$2:$M$826, 10, FALSE)</f>
        <v>#N/A</v>
      </c>
      <c r="L886" t="e">
        <f>VLOOKUP($C886, Egli_UPEC_metadata_provided!$A$2:$M$826, 11, FALSE)</f>
        <v>#N/A</v>
      </c>
      <c r="M886" t="e">
        <f>VLOOKUP($C886, Egli_UPEC_metadata_provided!$A$2:$M$826, 12, FALSE)</f>
        <v>#N/A</v>
      </c>
      <c r="N886" t="e">
        <f>VLOOKUP($C886, Egli_UPEC_metadata_provided!$A$2:$M$826, 13, FALSE)</f>
        <v>#N/A</v>
      </c>
      <c r="O886" t="e">
        <f>VLOOKUP($C886, Egli_UPEC_metadata_provided!$A$2:$N$826, 14, FALSE)</f>
        <v>#N/A</v>
      </c>
    </row>
    <row r="887" spans="1:15" x14ac:dyDescent="0.2">
      <c r="A887" t="s">
        <v>1618</v>
      </c>
      <c r="B887" t="s">
        <v>4336</v>
      </c>
      <c r="C887" t="s">
        <v>4336</v>
      </c>
      <c r="D887" t="e">
        <f>VLOOKUP($C887, Egli_UPEC_metadata_provided!$A$2:$M$826, 3, FALSE)</f>
        <v>#N/A</v>
      </c>
      <c r="E887" t="e">
        <f>VLOOKUP($C887, Egli_UPEC_metadata_provided!$A$2:$M$826, 4, FALSE)</f>
        <v>#N/A</v>
      </c>
      <c r="F887" t="e">
        <f>VLOOKUP($C887, Egli_UPEC_metadata_provided!$A$2:$M$826, 5, FALSE)</f>
        <v>#N/A</v>
      </c>
      <c r="G887" t="e">
        <f>VLOOKUP($C887, Egli_UPEC_metadata_provided!$A$2:$M$826, 6, FALSE)</f>
        <v>#N/A</v>
      </c>
      <c r="H887" t="e">
        <f>VLOOKUP($C887, Egli_UPEC_metadata_provided!$A$2:$M$826, 7, FALSE)</f>
        <v>#N/A</v>
      </c>
      <c r="I887" t="e">
        <f>VLOOKUP($C887, Egli_UPEC_metadata_provided!$A$2:$M$826, 8, FALSE)</f>
        <v>#N/A</v>
      </c>
      <c r="J887" t="e">
        <f>VLOOKUP($C887, Egli_UPEC_metadata_provided!$A$2:$M$826, 9, FALSE)</f>
        <v>#N/A</v>
      </c>
      <c r="K887" t="e">
        <f>VLOOKUP($C887, Egli_UPEC_metadata_provided!$A$2:$M$826, 10, FALSE)</f>
        <v>#N/A</v>
      </c>
      <c r="L887" t="e">
        <f>VLOOKUP($C887, Egli_UPEC_metadata_provided!$A$2:$M$826, 11, FALSE)</f>
        <v>#N/A</v>
      </c>
      <c r="M887" t="e">
        <f>VLOOKUP($C887, Egli_UPEC_metadata_provided!$A$2:$M$826, 12, FALSE)</f>
        <v>#N/A</v>
      </c>
      <c r="N887" t="e">
        <f>VLOOKUP($C887, Egli_UPEC_metadata_provided!$A$2:$M$826, 13, FALSE)</f>
        <v>#N/A</v>
      </c>
      <c r="O887" t="e">
        <f>VLOOKUP($C887, Egli_UPEC_metadata_provided!$A$2:$N$826, 14, FALSE)</f>
        <v>#N/A</v>
      </c>
    </row>
    <row r="888" spans="1:15" x14ac:dyDescent="0.2">
      <c r="A888" t="s">
        <v>1635</v>
      </c>
      <c r="B888" t="s">
        <v>4197</v>
      </c>
      <c r="C888" t="s">
        <v>4197</v>
      </c>
      <c r="D888" t="e">
        <f>VLOOKUP($C888, Egli_UPEC_metadata_provided!$A$2:$M$826, 3, FALSE)</f>
        <v>#N/A</v>
      </c>
      <c r="E888" t="e">
        <f>VLOOKUP($C888, Egli_UPEC_metadata_provided!$A$2:$M$826, 4, FALSE)</f>
        <v>#N/A</v>
      </c>
      <c r="F888" t="e">
        <f>VLOOKUP($C888, Egli_UPEC_metadata_provided!$A$2:$M$826, 5, FALSE)</f>
        <v>#N/A</v>
      </c>
      <c r="G888" t="e">
        <f>VLOOKUP($C888, Egli_UPEC_metadata_provided!$A$2:$M$826, 6, FALSE)</f>
        <v>#N/A</v>
      </c>
      <c r="H888" t="e">
        <f>VLOOKUP($C888, Egli_UPEC_metadata_provided!$A$2:$M$826, 7, FALSE)</f>
        <v>#N/A</v>
      </c>
      <c r="I888" t="e">
        <f>VLOOKUP($C888, Egli_UPEC_metadata_provided!$A$2:$M$826, 8, FALSE)</f>
        <v>#N/A</v>
      </c>
      <c r="J888" t="e">
        <f>VLOOKUP($C888, Egli_UPEC_metadata_provided!$A$2:$M$826, 9, FALSE)</f>
        <v>#N/A</v>
      </c>
      <c r="K888" t="e">
        <f>VLOOKUP($C888, Egli_UPEC_metadata_provided!$A$2:$M$826, 10, FALSE)</f>
        <v>#N/A</v>
      </c>
      <c r="L888" t="e">
        <f>VLOOKUP($C888, Egli_UPEC_metadata_provided!$A$2:$M$826, 11, FALSE)</f>
        <v>#N/A</v>
      </c>
      <c r="M888" t="e">
        <f>VLOOKUP($C888, Egli_UPEC_metadata_provided!$A$2:$M$826, 12, FALSE)</f>
        <v>#N/A</v>
      </c>
      <c r="N888" t="e">
        <f>VLOOKUP($C888, Egli_UPEC_metadata_provided!$A$2:$M$826, 13, FALSE)</f>
        <v>#N/A</v>
      </c>
      <c r="O888" t="e">
        <f>VLOOKUP($C888, Egli_UPEC_metadata_provided!$A$2:$N$826, 14, FALSE)</f>
        <v>#N/A</v>
      </c>
    </row>
    <row r="889" spans="1:15" x14ac:dyDescent="0.2">
      <c r="A889" t="s">
        <v>1644</v>
      </c>
      <c r="B889" t="s">
        <v>4199</v>
      </c>
      <c r="C889" t="s">
        <v>4199</v>
      </c>
      <c r="D889" t="e">
        <f>VLOOKUP($C889, Egli_UPEC_metadata_provided!$A$2:$M$826, 3, FALSE)</f>
        <v>#N/A</v>
      </c>
      <c r="E889" t="e">
        <f>VLOOKUP($C889, Egli_UPEC_metadata_provided!$A$2:$M$826, 4, FALSE)</f>
        <v>#N/A</v>
      </c>
      <c r="F889" t="e">
        <f>VLOOKUP($C889, Egli_UPEC_metadata_provided!$A$2:$M$826, 5, FALSE)</f>
        <v>#N/A</v>
      </c>
      <c r="G889" t="e">
        <f>VLOOKUP($C889, Egli_UPEC_metadata_provided!$A$2:$M$826, 6, FALSE)</f>
        <v>#N/A</v>
      </c>
      <c r="H889" t="e">
        <f>VLOOKUP($C889, Egli_UPEC_metadata_provided!$A$2:$M$826, 7, FALSE)</f>
        <v>#N/A</v>
      </c>
      <c r="I889" t="e">
        <f>VLOOKUP($C889, Egli_UPEC_metadata_provided!$A$2:$M$826, 8, FALSE)</f>
        <v>#N/A</v>
      </c>
      <c r="J889" t="e">
        <f>VLOOKUP($C889, Egli_UPEC_metadata_provided!$A$2:$M$826, 9, FALSE)</f>
        <v>#N/A</v>
      </c>
      <c r="K889" t="e">
        <f>VLOOKUP($C889, Egli_UPEC_metadata_provided!$A$2:$M$826, 10, FALSE)</f>
        <v>#N/A</v>
      </c>
      <c r="L889" t="e">
        <f>VLOOKUP($C889, Egli_UPEC_metadata_provided!$A$2:$M$826, 11, FALSE)</f>
        <v>#N/A</v>
      </c>
      <c r="M889" t="e">
        <f>VLOOKUP($C889, Egli_UPEC_metadata_provided!$A$2:$M$826, 12, FALSE)</f>
        <v>#N/A</v>
      </c>
      <c r="N889" t="e">
        <f>VLOOKUP($C889, Egli_UPEC_metadata_provided!$A$2:$M$826, 13, FALSE)</f>
        <v>#N/A</v>
      </c>
      <c r="O889" t="e">
        <f>VLOOKUP($C889, Egli_UPEC_metadata_provided!$A$2:$N$826, 14, FALSE)</f>
        <v>#N/A</v>
      </c>
    </row>
    <row r="890" spans="1:15" x14ac:dyDescent="0.2">
      <c r="A890" t="s">
        <v>1651</v>
      </c>
      <c r="B890" t="s">
        <v>4201</v>
      </c>
      <c r="C890" t="s">
        <v>4201</v>
      </c>
      <c r="D890" t="e">
        <f>VLOOKUP($C890, Egli_UPEC_metadata_provided!$A$2:$M$826, 3, FALSE)</f>
        <v>#N/A</v>
      </c>
      <c r="E890" t="e">
        <f>VLOOKUP($C890, Egli_UPEC_metadata_provided!$A$2:$M$826, 4, FALSE)</f>
        <v>#N/A</v>
      </c>
      <c r="F890" t="e">
        <f>VLOOKUP($C890, Egli_UPEC_metadata_provided!$A$2:$M$826, 5, FALSE)</f>
        <v>#N/A</v>
      </c>
      <c r="G890" t="e">
        <f>VLOOKUP($C890, Egli_UPEC_metadata_provided!$A$2:$M$826, 6, FALSE)</f>
        <v>#N/A</v>
      </c>
      <c r="H890" t="e">
        <f>VLOOKUP($C890, Egli_UPEC_metadata_provided!$A$2:$M$826, 7, FALSE)</f>
        <v>#N/A</v>
      </c>
      <c r="I890" t="e">
        <f>VLOOKUP($C890, Egli_UPEC_metadata_provided!$A$2:$M$826, 8, FALSE)</f>
        <v>#N/A</v>
      </c>
      <c r="J890" t="e">
        <f>VLOOKUP($C890, Egli_UPEC_metadata_provided!$A$2:$M$826, 9, FALSE)</f>
        <v>#N/A</v>
      </c>
      <c r="K890" t="e">
        <f>VLOOKUP($C890, Egli_UPEC_metadata_provided!$A$2:$M$826, 10, FALSE)</f>
        <v>#N/A</v>
      </c>
      <c r="L890" t="e">
        <f>VLOOKUP($C890, Egli_UPEC_metadata_provided!$A$2:$M$826, 11, FALSE)</f>
        <v>#N/A</v>
      </c>
      <c r="M890" t="e">
        <f>VLOOKUP($C890, Egli_UPEC_metadata_provided!$A$2:$M$826, 12, FALSE)</f>
        <v>#N/A</v>
      </c>
      <c r="N890" t="e">
        <f>VLOOKUP($C890, Egli_UPEC_metadata_provided!$A$2:$M$826, 13, FALSE)</f>
        <v>#N/A</v>
      </c>
      <c r="O890" t="e">
        <f>VLOOKUP($C890, Egli_UPEC_metadata_provided!$A$2:$N$826, 14, FALSE)</f>
        <v>#N/A</v>
      </c>
    </row>
    <row r="891" spans="1:15" x14ac:dyDescent="0.2">
      <c r="A891" t="s">
        <v>1712</v>
      </c>
      <c r="B891" t="s">
        <v>4409</v>
      </c>
      <c r="C891" t="s">
        <v>4409</v>
      </c>
      <c r="D891" t="e">
        <f>VLOOKUP($C891, Egli_UPEC_metadata_provided!$A$2:$M$826, 3, FALSE)</f>
        <v>#N/A</v>
      </c>
      <c r="E891" t="e">
        <f>VLOOKUP($C891, Egli_UPEC_metadata_provided!$A$2:$M$826, 4, FALSE)</f>
        <v>#N/A</v>
      </c>
      <c r="F891" t="e">
        <f>VLOOKUP($C891, Egli_UPEC_metadata_provided!$A$2:$M$826, 5, FALSE)</f>
        <v>#N/A</v>
      </c>
      <c r="G891" t="e">
        <f>VLOOKUP($C891, Egli_UPEC_metadata_provided!$A$2:$M$826, 6, FALSE)</f>
        <v>#N/A</v>
      </c>
      <c r="H891" t="e">
        <f>VLOOKUP($C891, Egli_UPEC_metadata_provided!$A$2:$M$826, 7, FALSE)</f>
        <v>#N/A</v>
      </c>
      <c r="I891" t="e">
        <f>VLOOKUP($C891, Egli_UPEC_metadata_provided!$A$2:$M$826, 8, FALSE)</f>
        <v>#N/A</v>
      </c>
      <c r="J891" t="e">
        <f>VLOOKUP($C891, Egli_UPEC_metadata_provided!$A$2:$M$826, 9, FALSE)</f>
        <v>#N/A</v>
      </c>
      <c r="K891" t="e">
        <f>VLOOKUP($C891, Egli_UPEC_metadata_provided!$A$2:$M$826, 10, FALSE)</f>
        <v>#N/A</v>
      </c>
      <c r="L891" t="e">
        <f>VLOOKUP($C891, Egli_UPEC_metadata_provided!$A$2:$M$826, 11, FALSE)</f>
        <v>#N/A</v>
      </c>
      <c r="M891" t="e">
        <f>VLOOKUP($C891, Egli_UPEC_metadata_provided!$A$2:$M$826, 12, FALSE)</f>
        <v>#N/A</v>
      </c>
      <c r="N891" t="e">
        <f>VLOOKUP($C891, Egli_UPEC_metadata_provided!$A$2:$M$826, 13, FALSE)</f>
        <v>#N/A</v>
      </c>
      <c r="O891" t="e">
        <f>VLOOKUP($C891, Egli_UPEC_metadata_provided!$A$2:$N$826, 14, FALSE)</f>
        <v>#N/A</v>
      </c>
    </row>
    <row r="892" spans="1:15" x14ac:dyDescent="0.2">
      <c r="A892" t="s">
        <v>1721</v>
      </c>
      <c r="B892" t="s">
        <v>4339</v>
      </c>
      <c r="C892" t="s">
        <v>4339</v>
      </c>
      <c r="D892" t="e">
        <f>VLOOKUP($C892, Egli_UPEC_metadata_provided!$A$2:$M$826, 3, FALSE)</f>
        <v>#N/A</v>
      </c>
      <c r="E892" t="e">
        <f>VLOOKUP($C892, Egli_UPEC_metadata_provided!$A$2:$M$826, 4, FALSE)</f>
        <v>#N/A</v>
      </c>
      <c r="F892" t="e">
        <f>VLOOKUP($C892, Egli_UPEC_metadata_provided!$A$2:$M$826, 5, FALSE)</f>
        <v>#N/A</v>
      </c>
      <c r="G892" t="e">
        <f>VLOOKUP($C892, Egli_UPEC_metadata_provided!$A$2:$M$826, 6, FALSE)</f>
        <v>#N/A</v>
      </c>
      <c r="H892" t="e">
        <f>VLOOKUP($C892, Egli_UPEC_metadata_provided!$A$2:$M$826, 7, FALSE)</f>
        <v>#N/A</v>
      </c>
      <c r="I892" t="e">
        <f>VLOOKUP($C892, Egli_UPEC_metadata_provided!$A$2:$M$826, 8, FALSE)</f>
        <v>#N/A</v>
      </c>
      <c r="J892" t="e">
        <f>VLOOKUP($C892, Egli_UPEC_metadata_provided!$A$2:$M$826, 9, FALSE)</f>
        <v>#N/A</v>
      </c>
      <c r="K892" t="e">
        <f>VLOOKUP($C892, Egli_UPEC_metadata_provided!$A$2:$M$826, 10, FALSE)</f>
        <v>#N/A</v>
      </c>
      <c r="L892" t="e">
        <f>VLOOKUP($C892, Egli_UPEC_metadata_provided!$A$2:$M$826, 11, FALSE)</f>
        <v>#N/A</v>
      </c>
      <c r="M892" t="e">
        <f>VLOOKUP($C892, Egli_UPEC_metadata_provided!$A$2:$M$826, 12, FALSE)</f>
        <v>#N/A</v>
      </c>
      <c r="N892" t="e">
        <f>VLOOKUP($C892, Egli_UPEC_metadata_provided!$A$2:$M$826, 13, FALSE)</f>
        <v>#N/A</v>
      </c>
      <c r="O892" t="e">
        <f>VLOOKUP($C892, Egli_UPEC_metadata_provided!$A$2:$N$826, 14, FALSE)</f>
        <v>#N/A</v>
      </c>
    </row>
    <row r="893" spans="1:15" x14ac:dyDescent="0.2">
      <c r="A893" t="s">
        <v>1728</v>
      </c>
      <c r="B893" t="s">
        <v>4340</v>
      </c>
      <c r="C893" t="s">
        <v>4340</v>
      </c>
      <c r="D893" t="e">
        <f>VLOOKUP($C893, Egli_UPEC_metadata_provided!$A$2:$M$826, 3, FALSE)</f>
        <v>#N/A</v>
      </c>
      <c r="E893" t="e">
        <f>VLOOKUP($C893, Egli_UPEC_metadata_provided!$A$2:$M$826, 4, FALSE)</f>
        <v>#N/A</v>
      </c>
      <c r="F893" t="e">
        <f>VLOOKUP($C893, Egli_UPEC_metadata_provided!$A$2:$M$826, 5, FALSE)</f>
        <v>#N/A</v>
      </c>
      <c r="G893" t="e">
        <f>VLOOKUP($C893, Egli_UPEC_metadata_provided!$A$2:$M$826, 6, FALSE)</f>
        <v>#N/A</v>
      </c>
      <c r="H893" t="e">
        <f>VLOOKUP($C893, Egli_UPEC_metadata_provided!$A$2:$M$826, 7, FALSE)</f>
        <v>#N/A</v>
      </c>
      <c r="I893" t="e">
        <f>VLOOKUP($C893, Egli_UPEC_metadata_provided!$A$2:$M$826, 8, FALSE)</f>
        <v>#N/A</v>
      </c>
      <c r="J893" t="e">
        <f>VLOOKUP($C893, Egli_UPEC_metadata_provided!$A$2:$M$826, 9, FALSE)</f>
        <v>#N/A</v>
      </c>
      <c r="K893" t="e">
        <f>VLOOKUP($C893, Egli_UPEC_metadata_provided!$A$2:$M$826, 10, FALSE)</f>
        <v>#N/A</v>
      </c>
      <c r="L893" t="e">
        <f>VLOOKUP($C893, Egli_UPEC_metadata_provided!$A$2:$M$826, 11, FALSE)</f>
        <v>#N/A</v>
      </c>
      <c r="M893" t="e">
        <f>VLOOKUP($C893, Egli_UPEC_metadata_provided!$A$2:$M$826, 12, FALSE)</f>
        <v>#N/A</v>
      </c>
      <c r="N893" t="e">
        <f>VLOOKUP($C893, Egli_UPEC_metadata_provided!$A$2:$M$826, 13, FALSE)</f>
        <v>#N/A</v>
      </c>
      <c r="O893" t="e">
        <f>VLOOKUP($C893, Egli_UPEC_metadata_provided!$A$2:$N$826, 14, FALSE)</f>
        <v>#N/A</v>
      </c>
    </row>
    <row r="894" spans="1:15" x14ac:dyDescent="0.2">
      <c r="A894" t="s">
        <v>381</v>
      </c>
      <c r="B894" t="s">
        <v>4408</v>
      </c>
      <c r="C894" t="s">
        <v>4408</v>
      </c>
      <c r="D894" t="e">
        <f>VLOOKUP($C894, Egli_UPEC_metadata_provided!$A$2:$M$826, 3, FALSE)</f>
        <v>#N/A</v>
      </c>
      <c r="E894" t="e">
        <f>VLOOKUP($C894, Egli_UPEC_metadata_provided!$A$2:$M$826, 4, FALSE)</f>
        <v>#N/A</v>
      </c>
      <c r="F894" t="e">
        <f>VLOOKUP($C894, Egli_UPEC_metadata_provided!$A$2:$M$826, 5, FALSE)</f>
        <v>#N/A</v>
      </c>
      <c r="G894" t="e">
        <f>VLOOKUP($C894, Egli_UPEC_metadata_provided!$A$2:$M$826, 6, FALSE)</f>
        <v>#N/A</v>
      </c>
      <c r="H894" t="e">
        <f>VLOOKUP($C894, Egli_UPEC_metadata_provided!$A$2:$M$826, 7, FALSE)</f>
        <v>#N/A</v>
      </c>
      <c r="I894" t="e">
        <f>VLOOKUP($C894, Egli_UPEC_metadata_provided!$A$2:$M$826, 8, FALSE)</f>
        <v>#N/A</v>
      </c>
      <c r="J894" t="e">
        <f>VLOOKUP($C894, Egli_UPEC_metadata_provided!$A$2:$M$826, 9, FALSE)</f>
        <v>#N/A</v>
      </c>
      <c r="K894" t="e">
        <f>VLOOKUP($C894, Egli_UPEC_metadata_provided!$A$2:$M$826, 10, FALSE)</f>
        <v>#N/A</v>
      </c>
      <c r="L894" t="e">
        <f>VLOOKUP($C894, Egli_UPEC_metadata_provided!$A$2:$M$826, 11, FALSE)</f>
        <v>#N/A</v>
      </c>
      <c r="M894" t="e">
        <f>VLOOKUP($C894, Egli_UPEC_metadata_provided!$A$2:$M$826, 12, FALSE)</f>
        <v>#N/A</v>
      </c>
      <c r="N894" t="e">
        <f>VLOOKUP($C894, Egli_UPEC_metadata_provided!$A$2:$M$826, 13, FALSE)</f>
        <v>#N/A</v>
      </c>
      <c r="O894" t="e">
        <f>VLOOKUP($C894, Egli_UPEC_metadata_provided!$A$2:$N$826, 14, FALSE)</f>
        <v>#N/A</v>
      </c>
    </row>
    <row r="895" spans="1:15" x14ac:dyDescent="0.2">
      <c r="A895" t="s">
        <v>1749</v>
      </c>
      <c r="B895" t="s">
        <v>4342</v>
      </c>
      <c r="C895" t="s">
        <v>4342</v>
      </c>
      <c r="D895" t="e">
        <f>VLOOKUP($C895, Egli_UPEC_metadata_provided!$A$2:$M$826, 3, FALSE)</f>
        <v>#N/A</v>
      </c>
      <c r="E895" t="e">
        <f>VLOOKUP($C895, Egli_UPEC_metadata_provided!$A$2:$M$826, 4, FALSE)</f>
        <v>#N/A</v>
      </c>
      <c r="F895" t="e">
        <f>VLOOKUP($C895, Egli_UPEC_metadata_provided!$A$2:$M$826, 5, FALSE)</f>
        <v>#N/A</v>
      </c>
      <c r="G895" t="e">
        <f>VLOOKUP($C895, Egli_UPEC_metadata_provided!$A$2:$M$826, 6, FALSE)</f>
        <v>#N/A</v>
      </c>
      <c r="H895" t="e">
        <f>VLOOKUP($C895, Egli_UPEC_metadata_provided!$A$2:$M$826, 7, FALSE)</f>
        <v>#N/A</v>
      </c>
      <c r="I895" t="e">
        <f>VLOOKUP($C895, Egli_UPEC_metadata_provided!$A$2:$M$826, 8, FALSE)</f>
        <v>#N/A</v>
      </c>
      <c r="J895" t="e">
        <f>VLOOKUP($C895, Egli_UPEC_metadata_provided!$A$2:$M$826, 9, FALSE)</f>
        <v>#N/A</v>
      </c>
      <c r="K895" t="e">
        <f>VLOOKUP($C895, Egli_UPEC_metadata_provided!$A$2:$M$826, 10, FALSE)</f>
        <v>#N/A</v>
      </c>
      <c r="L895" t="e">
        <f>VLOOKUP($C895, Egli_UPEC_metadata_provided!$A$2:$M$826, 11, FALSE)</f>
        <v>#N/A</v>
      </c>
      <c r="M895" t="e">
        <f>VLOOKUP($C895, Egli_UPEC_metadata_provided!$A$2:$M$826, 12, FALSE)</f>
        <v>#N/A</v>
      </c>
      <c r="N895" t="e">
        <f>VLOOKUP($C895, Egli_UPEC_metadata_provided!$A$2:$M$826, 13, FALSE)</f>
        <v>#N/A</v>
      </c>
      <c r="O895" t="e">
        <f>VLOOKUP($C895, Egli_UPEC_metadata_provided!$A$2:$N$826, 14, FALSE)</f>
        <v>#N/A</v>
      </c>
    </row>
    <row r="896" spans="1:15" x14ac:dyDescent="0.2">
      <c r="A896" t="s">
        <v>1766</v>
      </c>
      <c r="B896" t="s">
        <v>4344</v>
      </c>
      <c r="C896" t="s">
        <v>4344</v>
      </c>
      <c r="D896" t="e">
        <f>VLOOKUP($C896, Egli_UPEC_metadata_provided!$A$2:$M$826, 3, FALSE)</f>
        <v>#N/A</v>
      </c>
      <c r="E896" t="e">
        <f>VLOOKUP($C896, Egli_UPEC_metadata_provided!$A$2:$M$826, 4, FALSE)</f>
        <v>#N/A</v>
      </c>
      <c r="F896" t="e">
        <f>VLOOKUP($C896, Egli_UPEC_metadata_provided!$A$2:$M$826, 5, FALSE)</f>
        <v>#N/A</v>
      </c>
      <c r="G896" t="e">
        <f>VLOOKUP($C896, Egli_UPEC_metadata_provided!$A$2:$M$826, 6, FALSE)</f>
        <v>#N/A</v>
      </c>
      <c r="H896" t="e">
        <f>VLOOKUP($C896, Egli_UPEC_metadata_provided!$A$2:$M$826, 7, FALSE)</f>
        <v>#N/A</v>
      </c>
      <c r="I896" t="e">
        <f>VLOOKUP($C896, Egli_UPEC_metadata_provided!$A$2:$M$826, 8, FALSE)</f>
        <v>#N/A</v>
      </c>
      <c r="J896" t="e">
        <f>VLOOKUP($C896, Egli_UPEC_metadata_provided!$A$2:$M$826, 9, FALSE)</f>
        <v>#N/A</v>
      </c>
      <c r="K896" t="e">
        <f>VLOOKUP($C896, Egli_UPEC_metadata_provided!$A$2:$M$826, 10, FALSE)</f>
        <v>#N/A</v>
      </c>
      <c r="L896" t="e">
        <f>VLOOKUP($C896, Egli_UPEC_metadata_provided!$A$2:$M$826, 11, FALSE)</f>
        <v>#N/A</v>
      </c>
      <c r="M896" t="e">
        <f>VLOOKUP($C896, Egli_UPEC_metadata_provided!$A$2:$M$826, 12, FALSE)</f>
        <v>#N/A</v>
      </c>
      <c r="N896" t="e">
        <f>VLOOKUP($C896, Egli_UPEC_metadata_provided!$A$2:$M$826, 13, FALSE)</f>
        <v>#N/A</v>
      </c>
      <c r="O896" t="e">
        <f>VLOOKUP($C896, Egli_UPEC_metadata_provided!$A$2:$N$826, 14, FALSE)</f>
        <v>#N/A</v>
      </c>
    </row>
    <row r="897" spans="1:15" x14ac:dyDescent="0.2">
      <c r="A897" t="s">
        <v>1795</v>
      </c>
      <c r="B897" t="s">
        <v>4208</v>
      </c>
      <c r="C897" t="s">
        <v>4208</v>
      </c>
      <c r="D897" t="e">
        <f>VLOOKUP($C897, Egli_UPEC_metadata_provided!$A$2:$M$826, 3, FALSE)</f>
        <v>#N/A</v>
      </c>
      <c r="E897" t="e">
        <f>VLOOKUP($C897, Egli_UPEC_metadata_provided!$A$2:$M$826, 4, FALSE)</f>
        <v>#N/A</v>
      </c>
      <c r="F897" t="e">
        <f>VLOOKUP($C897, Egli_UPEC_metadata_provided!$A$2:$M$826, 5, FALSE)</f>
        <v>#N/A</v>
      </c>
      <c r="G897" t="e">
        <f>VLOOKUP($C897, Egli_UPEC_metadata_provided!$A$2:$M$826, 6, FALSE)</f>
        <v>#N/A</v>
      </c>
      <c r="H897" t="e">
        <f>VLOOKUP($C897, Egli_UPEC_metadata_provided!$A$2:$M$826, 7, FALSE)</f>
        <v>#N/A</v>
      </c>
      <c r="I897" t="e">
        <f>VLOOKUP($C897, Egli_UPEC_metadata_provided!$A$2:$M$826, 8, FALSE)</f>
        <v>#N/A</v>
      </c>
      <c r="J897" t="e">
        <f>VLOOKUP($C897, Egli_UPEC_metadata_provided!$A$2:$M$826, 9, FALSE)</f>
        <v>#N/A</v>
      </c>
      <c r="K897" t="e">
        <f>VLOOKUP($C897, Egli_UPEC_metadata_provided!$A$2:$M$826, 10, FALSE)</f>
        <v>#N/A</v>
      </c>
      <c r="L897" t="e">
        <f>VLOOKUP($C897, Egli_UPEC_metadata_provided!$A$2:$M$826, 11, FALSE)</f>
        <v>#N/A</v>
      </c>
      <c r="M897" t="e">
        <f>VLOOKUP($C897, Egli_UPEC_metadata_provided!$A$2:$M$826, 12, FALSE)</f>
        <v>#N/A</v>
      </c>
      <c r="N897" t="e">
        <f>VLOOKUP($C897, Egli_UPEC_metadata_provided!$A$2:$M$826, 13, FALSE)</f>
        <v>#N/A</v>
      </c>
      <c r="O897" t="e">
        <f>VLOOKUP($C897, Egli_UPEC_metadata_provided!$A$2:$N$826, 14, FALSE)</f>
        <v>#N/A</v>
      </c>
    </row>
    <row r="898" spans="1:15" x14ac:dyDescent="0.2">
      <c r="A898" t="s">
        <v>1798</v>
      </c>
      <c r="B898" t="s">
        <v>4162</v>
      </c>
      <c r="C898" t="s">
        <v>4162</v>
      </c>
      <c r="D898" t="e">
        <f>VLOOKUP($C898, Egli_UPEC_metadata_provided!$A$2:$M$826, 3, FALSE)</f>
        <v>#N/A</v>
      </c>
      <c r="E898" t="e">
        <f>VLOOKUP($C898, Egli_UPEC_metadata_provided!$A$2:$M$826, 4, FALSE)</f>
        <v>#N/A</v>
      </c>
      <c r="F898" t="e">
        <f>VLOOKUP($C898, Egli_UPEC_metadata_provided!$A$2:$M$826, 5, FALSE)</f>
        <v>#N/A</v>
      </c>
      <c r="G898" t="e">
        <f>VLOOKUP($C898, Egli_UPEC_metadata_provided!$A$2:$M$826, 6, FALSE)</f>
        <v>#N/A</v>
      </c>
      <c r="H898" t="e">
        <f>VLOOKUP($C898, Egli_UPEC_metadata_provided!$A$2:$M$826, 7, FALSE)</f>
        <v>#N/A</v>
      </c>
      <c r="I898" t="e">
        <f>VLOOKUP($C898, Egli_UPEC_metadata_provided!$A$2:$M$826, 8, FALSE)</f>
        <v>#N/A</v>
      </c>
      <c r="J898" t="e">
        <f>VLOOKUP($C898, Egli_UPEC_metadata_provided!$A$2:$M$826, 9, FALSE)</f>
        <v>#N/A</v>
      </c>
      <c r="K898" t="e">
        <f>VLOOKUP($C898, Egli_UPEC_metadata_provided!$A$2:$M$826, 10, FALSE)</f>
        <v>#N/A</v>
      </c>
      <c r="L898" t="e">
        <f>VLOOKUP($C898, Egli_UPEC_metadata_provided!$A$2:$M$826, 11, FALSE)</f>
        <v>#N/A</v>
      </c>
      <c r="M898" t="e">
        <f>VLOOKUP($C898, Egli_UPEC_metadata_provided!$A$2:$M$826, 12, FALSE)</f>
        <v>#N/A</v>
      </c>
      <c r="N898" t="e">
        <f>VLOOKUP($C898, Egli_UPEC_metadata_provided!$A$2:$M$826, 13, FALSE)</f>
        <v>#N/A</v>
      </c>
      <c r="O898" t="e">
        <f>VLOOKUP($C898, Egli_UPEC_metadata_provided!$A$2:$N$826, 14, FALSE)</f>
        <v>#N/A</v>
      </c>
    </row>
    <row r="899" spans="1:15" x14ac:dyDescent="0.2">
      <c r="A899" t="s">
        <v>1809</v>
      </c>
      <c r="B899" t="s">
        <v>4211</v>
      </c>
      <c r="C899" t="s">
        <v>4211</v>
      </c>
      <c r="D899" t="e">
        <f>VLOOKUP($C899, Egli_UPEC_metadata_provided!$A$2:$M$826, 3, FALSE)</f>
        <v>#N/A</v>
      </c>
      <c r="E899" t="e">
        <f>VLOOKUP($C899, Egli_UPEC_metadata_provided!$A$2:$M$826, 4, FALSE)</f>
        <v>#N/A</v>
      </c>
      <c r="F899" t="e">
        <f>VLOOKUP($C899, Egli_UPEC_metadata_provided!$A$2:$M$826, 5, FALSE)</f>
        <v>#N/A</v>
      </c>
      <c r="G899" t="e">
        <f>VLOOKUP($C899, Egli_UPEC_metadata_provided!$A$2:$M$826, 6, FALSE)</f>
        <v>#N/A</v>
      </c>
      <c r="H899" t="e">
        <f>VLOOKUP($C899, Egli_UPEC_metadata_provided!$A$2:$M$826, 7, FALSE)</f>
        <v>#N/A</v>
      </c>
      <c r="I899" t="e">
        <f>VLOOKUP($C899, Egli_UPEC_metadata_provided!$A$2:$M$826, 8, FALSE)</f>
        <v>#N/A</v>
      </c>
      <c r="J899" t="e">
        <f>VLOOKUP($C899, Egli_UPEC_metadata_provided!$A$2:$M$826, 9, FALSE)</f>
        <v>#N/A</v>
      </c>
      <c r="K899" t="e">
        <f>VLOOKUP($C899, Egli_UPEC_metadata_provided!$A$2:$M$826, 10, FALSE)</f>
        <v>#N/A</v>
      </c>
      <c r="L899" t="e">
        <f>VLOOKUP($C899, Egli_UPEC_metadata_provided!$A$2:$M$826, 11, FALSE)</f>
        <v>#N/A</v>
      </c>
      <c r="M899" t="e">
        <f>VLOOKUP($C899, Egli_UPEC_metadata_provided!$A$2:$M$826, 12, FALSE)</f>
        <v>#N/A</v>
      </c>
      <c r="N899" t="e">
        <f>VLOOKUP($C899, Egli_UPEC_metadata_provided!$A$2:$M$826, 13, FALSE)</f>
        <v>#N/A</v>
      </c>
      <c r="O899" t="e">
        <f>VLOOKUP($C899, Egli_UPEC_metadata_provided!$A$2:$N$826, 14, FALSE)</f>
        <v>#N/A</v>
      </c>
    </row>
    <row r="900" spans="1:15" x14ac:dyDescent="0.2">
      <c r="A900" t="s">
        <v>1812</v>
      </c>
      <c r="B900" t="s">
        <v>4212</v>
      </c>
      <c r="C900" t="s">
        <v>4212</v>
      </c>
      <c r="D900" t="e">
        <f>VLOOKUP($C900, Egli_UPEC_metadata_provided!$A$2:$M$826, 3, FALSE)</f>
        <v>#N/A</v>
      </c>
      <c r="E900" t="e">
        <f>VLOOKUP($C900, Egli_UPEC_metadata_provided!$A$2:$M$826, 4, FALSE)</f>
        <v>#N/A</v>
      </c>
      <c r="F900" t="e">
        <f>VLOOKUP($C900, Egli_UPEC_metadata_provided!$A$2:$M$826, 5, FALSE)</f>
        <v>#N/A</v>
      </c>
      <c r="G900" t="e">
        <f>VLOOKUP($C900, Egli_UPEC_metadata_provided!$A$2:$M$826, 6, FALSE)</f>
        <v>#N/A</v>
      </c>
      <c r="H900" t="e">
        <f>VLOOKUP($C900, Egli_UPEC_metadata_provided!$A$2:$M$826, 7, FALSE)</f>
        <v>#N/A</v>
      </c>
      <c r="I900" t="e">
        <f>VLOOKUP($C900, Egli_UPEC_metadata_provided!$A$2:$M$826, 8, FALSE)</f>
        <v>#N/A</v>
      </c>
      <c r="J900" t="e">
        <f>VLOOKUP($C900, Egli_UPEC_metadata_provided!$A$2:$M$826, 9, FALSE)</f>
        <v>#N/A</v>
      </c>
      <c r="K900" t="e">
        <f>VLOOKUP($C900, Egli_UPEC_metadata_provided!$A$2:$M$826, 10, FALSE)</f>
        <v>#N/A</v>
      </c>
      <c r="L900" t="e">
        <f>VLOOKUP($C900, Egli_UPEC_metadata_provided!$A$2:$M$826, 11, FALSE)</f>
        <v>#N/A</v>
      </c>
      <c r="M900" t="e">
        <f>VLOOKUP($C900, Egli_UPEC_metadata_provided!$A$2:$M$826, 12, FALSE)</f>
        <v>#N/A</v>
      </c>
      <c r="N900" t="e">
        <f>VLOOKUP($C900, Egli_UPEC_metadata_provided!$A$2:$M$826, 13, FALSE)</f>
        <v>#N/A</v>
      </c>
      <c r="O900" t="e">
        <f>VLOOKUP($C900, Egli_UPEC_metadata_provided!$A$2:$N$826, 14, FALSE)</f>
        <v>#N/A</v>
      </c>
    </row>
    <row r="901" spans="1:15" x14ac:dyDescent="0.2">
      <c r="A901" t="s">
        <v>1815</v>
      </c>
      <c r="B901" t="s">
        <v>4346</v>
      </c>
      <c r="C901" t="s">
        <v>4346</v>
      </c>
      <c r="D901" t="e">
        <f>VLOOKUP($C901, Egli_UPEC_metadata_provided!$A$2:$M$826, 3, FALSE)</f>
        <v>#N/A</v>
      </c>
      <c r="E901" t="e">
        <f>VLOOKUP($C901, Egli_UPEC_metadata_provided!$A$2:$M$826, 4, FALSE)</f>
        <v>#N/A</v>
      </c>
      <c r="F901" t="e">
        <f>VLOOKUP($C901, Egli_UPEC_metadata_provided!$A$2:$M$826, 5, FALSE)</f>
        <v>#N/A</v>
      </c>
      <c r="G901" t="e">
        <f>VLOOKUP($C901, Egli_UPEC_metadata_provided!$A$2:$M$826, 6, FALSE)</f>
        <v>#N/A</v>
      </c>
      <c r="H901" t="e">
        <f>VLOOKUP($C901, Egli_UPEC_metadata_provided!$A$2:$M$826, 7, FALSE)</f>
        <v>#N/A</v>
      </c>
      <c r="I901" t="e">
        <f>VLOOKUP($C901, Egli_UPEC_metadata_provided!$A$2:$M$826, 8, FALSE)</f>
        <v>#N/A</v>
      </c>
      <c r="J901" t="e">
        <f>VLOOKUP($C901, Egli_UPEC_metadata_provided!$A$2:$M$826, 9, FALSE)</f>
        <v>#N/A</v>
      </c>
      <c r="K901" t="e">
        <f>VLOOKUP($C901, Egli_UPEC_metadata_provided!$A$2:$M$826, 10, FALSE)</f>
        <v>#N/A</v>
      </c>
      <c r="L901" t="e">
        <f>VLOOKUP($C901, Egli_UPEC_metadata_provided!$A$2:$M$826, 11, FALSE)</f>
        <v>#N/A</v>
      </c>
      <c r="M901" t="e">
        <f>VLOOKUP($C901, Egli_UPEC_metadata_provided!$A$2:$M$826, 12, FALSE)</f>
        <v>#N/A</v>
      </c>
      <c r="N901" t="e">
        <f>VLOOKUP($C901, Egli_UPEC_metadata_provided!$A$2:$M$826, 13, FALSE)</f>
        <v>#N/A</v>
      </c>
      <c r="O901" t="e">
        <f>VLOOKUP($C901, Egli_UPEC_metadata_provided!$A$2:$N$826, 14, FALSE)</f>
        <v>#N/A</v>
      </c>
    </row>
    <row r="902" spans="1:15" x14ac:dyDescent="0.2">
      <c r="A902" t="s">
        <v>1818</v>
      </c>
      <c r="B902" t="s">
        <v>4214</v>
      </c>
      <c r="C902" t="s">
        <v>4214</v>
      </c>
      <c r="D902" t="e">
        <f>VLOOKUP($C902, Egli_UPEC_metadata_provided!$A$2:$M$826, 3, FALSE)</f>
        <v>#N/A</v>
      </c>
      <c r="E902" t="e">
        <f>VLOOKUP($C902, Egli_UPEC_metadata_provided!$A$2:$M$826, 4, FALSE)</f>
        <v>#N/A</v>
      </c>
      <c r="F902" t="e">
        <f>VLOOKUP($C902, Egli_UPEC_metadata_provided!$A$2:$M$826, 5, FALSE)</f>
        <v>#N/A</v>
      </c>
      <c r="G902" t="e">
        <f>VLOOKUP($C902, Egli_UPEC_metadata_provided!$A$2:$M$826, 6, FALSE)</f>
        <v>#N/A</v>
      </c>
      <c r="H902" t="e">
        <f>VLOOKUP($C902, Egli_UPEC_metadata_provided!$A$2:$M$826, 7, FALSE)</f>
        <v>#N/A</v>
      </c>
      <c r="I902" t="e">
        <f>VLOOKUP($C902, Egli_UPEC_metadata_provided!$A$2:$M$826, 8, FALSE)</f>
        <v>#N/A</v>
      </c>
      <c r="J902" t="e">
        <f>VLOOKUP($C902, Egli_UPEC_metadata_provided!$A$2:$M$826, 9, FALSE)</f>
        <v>#N/A</v>
      </c>
      <c r="K902" t="e">
        <f>VLOOKUP($C902, Egli_UPEC_metadata_provided!$A$2:$M$826, 10, FALSE)</f>
        <v>#N/A</v>
      </c>
      <c r="L902" t="e">
        <f>VLOOKUP($C902, Egli_UPEC_metadata_provided!$A$2:$M$826, 11, FALSE)</f>
        <v>#N/A</v>
      </c>
      <c r="M902" t="e">
        <f>VLOOKUP($C902, Egli_UPEC_metadata_provided!$A$2:$M$826, 12, FALSE)</f>
        <v>#N/A</v>
      </c>
      <c r="N902" t="e">
        <f>VLOOKUP($C902, Egli_UPEC_metadata_provided!$A$2:$M$826, 13, FALSE)</f>
        <v>#N/A</v>
      </c>
      <c r="O902" t="e">
        <f>VLOOKUP($C902, Egli_UPEC_metadata_provided!$A$2:$N$826, 14, FALSE)</f>
        <v>#N/A</v>
      </c>
    </row>
    <row r="903" spans="1:15" x14ac:dyDescent="0.2">
      <c r="A903" t="s">
        <v>1821</v>
      </c>
      <c r="B903" t="s">
        <v>4164</v>
      </c>
      <c r="C903" t="s">
        <v>4164</v>
      </c>
      <c r="D903" t="e">
        <f>VLOOKUP($C903, Egli_UPEC_metadata_provided!$A$2:$M$826, 3, FALSE)</f>
        <v>#N/A</v>
      </c>
      <c r="E903" t="e">
        <f>VLOOKUP($C903, Egli_UPEC_metadata_provided!$A$2:$M$826, 4, FALSE)</f>
        <v>#N/A</v>
      </c>
      <c r="F903" t="e">
        <f>VLOOKUP($C903, Egli_UPEC_metadata_provided!$A$2:$M$826, 5, FALSE)</f>
        <v>#N/A</v>
      </c>
      <c r="G903" t="e">
        <f>VLOOKUP($C903, Egli_UPEC_metadata_provided!$A$2:$M$826, 6, FALSE)</f>
        <v>#N/A</v>
      </c>
      <c r="H903" t="e">
        <f>VLOOKUP($C903, Egli_UPEC_metadata_provided!$A$2:$M$826, 7, FALSE)</f>
        <v>#N/A</v>
      </c>
      <c r="I903" t="e">
        <f>VLOOKUP($C903, Egli_UPEC_metadata_provided!$A$2:$M$826, 8, FALSE)</f>
        <v>#N/A</v>
      </c>
      <c r="J903" t="e">
        <f>VLOOKUP($C903, Egli_UPEC_metadata_provided!$A$2:$M$826, 9, FALSE)</f>
        <v>#N/A</v>
      </c>
      <c r="K903" t="e">
        <f>VLOOKUP($C903, Egli_UPEC_metadata_provided!$A$2:$M$826, 10, FALSE)</f>
        <v>#N/A</v>
      </c>
      <c r="L903" t="e">
        <f>VLOOKUP($C903, Egli_UPEC_metadata_provided!$A$2:$M$826, 11, FALSE)</f>
        <v>#N/A</v>
      </c>
      <c r="M903" t="e">
        <f>VLOOKUP($C903, Egli_UPEC_metadata_provided!$A$2:$M$826, 12, FALSE)</f>
        <v>#N/A</v>
      </c>
      <c r="N903" t="e">
        <f>VLOOKUP($C903, Egli_UPEC_metadata_provided!$A$2:$M$826, 13, FALSE)</f>
        <v>#N/A</v>
      </c>
      <c r="O903" t="e">
        <f>VLOOKUP($C903, Egli_UPEC_metadata_provided!$A$2:$N$826, 14, FALSE)</f>
        <v>#N/A</v>
      </c>
    </row>
    <row r="904" spans="1:15" x14ac:dyDescent="0.2">
      <c r="A904" t="s">
        <v>1824</v>
      </c>
      <c r="B904" t="s">
        <v>4165</v>
      </c>
      <c r="C904" t="s">
        <v>4165</v>
      </c>
      <c r="D904" t="e">
        <f>VLOOKUP($C904, Egli_UPEC_metadata_provided!$A$2:$M$826, 3, FALSE)</f>
        <v>#N/A</v>
      </c>
      <c r="E904" t="e">
        <f>VLOOKUP($C904, Egli_UPEC_metadata_provided!$A$2:$M$826, 4, FALSE)</f>
        <v>#N/A</v>
      </c>
      <c r="F904" t="e">
        <f>VLOOKUP($C904, Egli_UPEC_metadata_provided!$A$2:$M$826, 5, FALSE)</f>
        <v>#N/A</v>
      </c>
      <c r="G904" t="e">
        <f>VLOOKUP($C904, Egli_UPEC_metadata_provided!$A$2:$M$826, 6, FALSE)</f>
        <v>#N/A</v>
      </c>
      <c r="H904" t="e">
        <f>VLOOKUP($C904, Egli_UPEC_metadata_provided!$A$2:$M$826, 7, FALSE)</f>
        <v>#N/A</v>
      </c>
      <c r="I904" t="e">
        <f>VLOOKUP($C904, Egli_UPEC_metadata_provided!$A$2:$M$826, 8, FALSE)</f>
        <v>#N/A</v>
      </c>
      <c r="J904" t="e">
        <f>VLOOKUP($C904, Egli_UPEC_metadata_provided!$A$2:$M$826, 9, FALSE)</f>
        <v>#N/A</v>
      </c>
      <c r="K904" t="e">
        <f>VLOOKUP($C904, Egli_UPEC_metadata_provided!$A$2:$M$826, 10, FALSE)</f>
        <v>#N/A</v>
      </c>
      <c r="L904" t="e">
        <f>VLOOKUP($C904, Egli_UPEC_metadata_provided!$A$2:$M$826, 11, FALSE)</f>
        <v>#N/A</v>
      </c>
      <c r="M904" t="e">
        <f>VLOOKUP($C904, Egli_UPEC_metadata_provided!$A$2:$M$826, 12, FALSE)</f>
        <v>#N/A</v>
      </c>
      <c r="N904" t="e">
        <f>VLOOKUP($C904, Egli_UPEC_metadata_provided!$A$2:$M$826, 13, FALSE)</f>
        <v>#N/A</v>
      </c>
      <c r="O904" t="e">
        <f>VLOOKUP($C904, Egli_UPEC_metadata_provided!$A$2:$N$826, 14, FALSE)</f>
        <v>#N/A</v>
      </c>
    </row>
    <row r="905" spans="1:15" x14ac:dyDescent="0.2">
      <c r="A905" t="s">
        <v>1827</v>
      </c>
      <c r="B905" t="s">
        <v>4215</v>
      </c>
      <c r="C905" t="s">
        <v>4215</v>
      </c>
      <c r="D905" t="e">
        <f>VLOOKUP($C905, Egli_UPEC_metadata_provided!$A$2:$M$826, 3, FALSE)</f>
        <v>#N/A</v>
      </c>
      <c r="E905" t="e">
        <f>VLOOKUP($C905, Egli_UPEC_metadata_provided!$A$2:$M$826, 4, FALSE)</f>
        <v>#N/A</v>
      </c>
      <c r="F905" t="e">
        <f>VLOOKUP($C905, Egli_UPEC_metadata_provided!$A$2:$M$826, 5, FALSE)</f>
        <v>#N/A</v>
      </c>
      <c r="G905" t="e">
        <f>VLOOKUP($C905, Egli_UPEC_metadata_provided!$A$2:$M$826, 6, FALSE)</f>
        <v>#N/A</v>
      </c>
      <c r="H905" t="e">
        <f>VLOOKUP($C905, Egli_UPEC_metadata_provided!$A$2:$M$826, 7, FALSE)</f>
        <v>#N/A</v>
      </c>
      <c r="I905" t="e">
        <f>VLOOKUP($C905, Egli_UPEC_metadata_provided!$A$2:$M$826, 8, FALSE)</f>
        <v>#N/A</v>
      </c>
      <c r="J905" t="e">
        <f>VLOOKUP($C905, Egli_UPEC_metadata_provided!$A$2:$M$826, 9, FALSE)</f>
        <v>#N/A</v>
      </c>
      <c r="K905" t="e">
        <f>VLOOKUP($C905, Egli_UPEC_metadata_provided!$A$2:$M$826, 10, FALSE)</f>
        <v>#N/A</v>
      </c>
      <c r="L905" t="e">
        <f>VLOOKUP($C905, Egli_UPEC_metadata_provided!$A$2:$M$826, 11, FALSE)</f>
        <v>#N/A</v>
      </c>
      <c r="M905" t="e">
        <f>VLOOKUP($C905, Egli_UPEC_metadata_provided!$A$2:$M$826, 12, FALSE)</f>
        <v>#N/A</v>
      </c>
      <c r="N905" t="e">
        <f>VLOOKUP($C905, Egli_UPEC_metadata_provided!$A$2:$M$826, 13, FALSE)</f>
        <v>#N/A</v>
      </c>
      <c r="O905" t="e">
        <f>VLOOKUP($C905, Egli_UPEC_metadata_provided!$A$2:$N$826, 14, FALSE)</f>
        <v>#N/A</v>
      </c>
    </row>
    <row r="906" spans="1:15" x14ac:dyDescent="0.2">
      <c r="A906" t="s">
        <v>1830</v>
      </c>
      <c r="B906" t="s">
        <v>4166</v>
      </c>
      <c r="C906" t="s">
        <v>4166</v>
      </c>
      <c r="D906" t="e">
        <f>VLOOKUP($C906, Egli_UPEC_metadata_provided!$A$2:$M$826, 3, FALSE)</f>
        <v>#N/A</v>
      </c>
      <c r="E906" t="e">
        <f>VLOOKUP($C906, Egli_UPEC_metadata_provided!$A$2:$M$826, 4, FALSE)</f>
        <v>#N/A</v>
      </c>
      <c r="F906" t="e">
        <f>VLOOKUP($C906, Egli_UPEC_metadata_provided!$A$2:$M$826, 5, FALSE)</f>
        <v>#N/A</v>
      </c>
      <c r="G906" t="e">
        <f>VLOOKUP($C906, Egli_UPEC_metadata_provided!$A$2:$M$826, 6, FALSE)</f>
        <v>#N/A</v>
      </c>
      <c r="H906" t="e">
        <f>VLOOKUP($C906, Egli_UPEC_metadata_provided!$A$2:$M$826, 7, FALSE)</f>
        <v>#N/A</v>
      </c>
      <c r="I906" t="e">
        <f>VLOOKUP($C906, Egli_UPEC_metadata_provided!$A$2:$M$826, 8, FALSE)</f>
        <v>#N/A</v>
      </c>
      <c r="J906" t="e">
        <f>VLOOKUP($C906, Egli_UPEC_metadata_provided!$A$2:$M$826, 9, FALSE)</f>
        <v>#N/A</v>
      </c>
      <c r="K906" t="e">
        <f>VLOOKUP($C906, Egli_UPEC_metadata_provided!$A$2:$M$826, 10, FALSE)</f>
        <v>#N/A</v>
      </c>
      <c r="L906" t="e">
        <f>VLOOKUP($C906, Egli_UPEC_metadata_provided!$A$2:$M$826, 11, FALSE)</f>
        <v>#N/A</v>
      </c>
      <c r="M906" t="e">
        <f>VLOOKUP($C906, Egli_UPEC_metadata_provided!$A$2:$M$826, 12, FALSE)</f>
        <v>#N/A</v>
      </c>
      <c r="N906" t="e">
        <f>VLOOKUP($C906, Egli_UPEC_metadata_provided!$A$2:$M$826, 13, FALSE)</f>
        <v>#N/A</v>
      </c>
      <c r="O906" t="e">
        <f>VLOOKUP($C906, Egli_UPEC_metadata_provided!$A$2:$N$826, 14, FALSE)</f>
        <v>#N/A</v>
      </c>
    </row>
    <row r="907" spans="1:15" x14ac:dyDescent="0.2">
      <c r="A907" t="s">
        <v>1833</v>
      </c>
      <c r="B907" t="s">
        <v>4217</v>
      </c>
      <c r="C907" t="s">
        <v>4217</v>
      </c>
      <c r="D907" t="e">
        <f>VLOOKUP($C907, Egli_UPEC_metadata_provided!$A$2:$M$826, 3, FALSE)</f>
        <v>#N/A</v>
      </c>
      <c r="E907" t="e">
        <f>VLOOKUP($C907, Egli_UPEC_metadata_provided!$A$2:$M$826, 4, FALSE)</f>
        <v>#N/A</v>
      </c>
      <c r="F907" t="e">
        <f>VLOOKUP($C907, Egli_UPEC_metadata_provided!$A$2:$M$826, 5, FALSE)</f>
        <v>#N/A</v>
      </c>
      <c r="G907" t="e">
        <f>VLOOKUP($C907, Egli_UPEC_metadata_provided!$A$2:$M$826, 6, FALSE)</f>
        <v>#N/A</v>
      </c>
      <c r="H907" t="e">
        <f>VLOOKUP($C907, Egli_UPEC_metadata_provided!$A$2:$M$826, 7, FALSE)</f>
        <v>#N/A</v>
      </c>
      <c r="I907" t="e">
        <f>VLOOKUP($C907, Egli_UPEC_metadata_provided!$A$2:$M$826, 8, FALSE)</f>
        <v>#N/A</v>
      </c>
      <c r="J907" t="e">
        <f>VLOOKUP($C907, Egli_UPEC_metadata_provided!$A$2:$M$826, 9, FALSE)</f>
        <v>#N/A</v>
      </c>
      <c r="K907" t="e">
        <f>VLOOKUP($C907, Egli_UPEC_metadata_provided!$A$2:$M$826, 10, FALSE)</f>
        <v>#N/A</v>
      </c>
      <c r="L907" t="e">
        <f>VLOOKUP($C907, Egli_UPEC_metadata_provided!$A$2:$M$826, 11, FALSE)</f>
        <v>#N/A</v>
      </c>
      <c r="M907" t="e">
        <f>VLOOKUP($C907, Egli_UPEC_metadata_provided!$A$2:$M$826, 12, FALSE)</f>
        <v>#N/A</v>
      </c>
      <c r="N907" t="e">
        <f>VLOOKUP($C907, Egli_UPEC_metadata_provided!$A$2:$M$826, 13, FALSE)</f>
        <v>#N/A</v>
      </c>
      <c r="O907" t="e">
        <f>VLOOKUP($C907, Egli_UPEC_metadata_provided!$A$2:$N$826, 14, FALSE)</f>
        <v>#N/A</v>
      </c>
    </row>
    <row r="908" spans="1:15" x14ac:dyDescent="0.2">
      <c r="A908" t="s">
        <v>1836</v>
      </c>
      <c r="B908" t="s">
        <v>4167</v>
      </c>
      <c r="C908" t="s">
        <v>4167</v>
      </c>
      <c r="D908" t="e">
        <f>VLOOKUP($C908, Egli_UPEC_metadata_provided!$A$2:$M$826, 3, FALSE)</f>
        <v>#N/A</v>
      </c>
      <c r="E908" t="e">
        <f>VLOOKUP($C908, Egli_UPEC_metadata_provided!$A$2:$M$826, 4, FALSE)</f>
        <v>#N/A</v>
      </c>
      <c r="F908" t="e">
        <f>VLOOKUP($C908, Egli_UPEC_metadata_provided!$A$2:$M$826, 5, FALSE)</f>
        <v>#N/A</v>
      </c>
      <c r="G908" t="e">
        <f>VLOOKUP($C908, Egli_UPEC_metadata_provided!$A$2:$M$826, 6, FALSE)</f>
        <v>#N/A</v>
      </c>
      <c r="H908" t="e">
        <f>VLOOKUP($C908, Egli_UPEC_metadata_provided!$A$2:$M$826, 7, FALSE)</f>
        <v>#N/A</v>
      </c>
      <c r="I908" t="e">
        <f>VLOOKUP($C908, Egli_UPEC_metadata_provided!$A$2:$M$826, 8, FALSE)</f>
        <v>#N/A</v>
      </c>
      <c r="J908" t="e">
        <f>VLOOKUP($C908, Egli_UPEC_metadata_provided!$A$2:$M$826, 9, FALSE)</f>
        <v>#N/A</v>
      </c>
      <c r="K908" t="e">
        <f>VLOOKUP($C908, Egli_UPEC_metadata_provided!$A$2:$M$826, 10, FALSE)</f>
        <v>#N/A</v>
      </c>
      <c r="L908" t="e">
        <f>VLOOKUP($C908, Egli_UPEC_metadata_provided!$A$2:$M$826, 11, FALSE)</f>
        <v>#N/A</v>
      </c>
      <c r="M908" t="e">
        <f>VLOOKUP($C908, Egli_UPEC_metadata_provided!$A$2:$M$826, 12, FALSE)</f>
        <v>#N/A</v>
      </c>
      <c r="N908" t="e">
        <f>VLOOKUP($C908, Egli_UPEC_metadata_provided!$A$2:$M$826, 13, FALSE)</f>
        <v>#N/A</v>
      </c>
      <c r="O908" t="e">
        <f>VLOOKUP($C908, Egli_UPEC_metadata_provided!$A$2:$N$826, 14, FALSE)</f>
        <v>#N/A</v>
      </c>
    </row>
    <row r="909" spans="1:15" x14ac:dyDescent="0.2">
      <c r="A909" t="s">
        <v>1839</v>
      </c>
      <c r="B909" t="s">
        <v>4219</v>
      </c>
      <c r="C909" t="s">
        <v>4219</v>
      </c>
      <c r="D909" t="e">
        <f>VLOOKUP($C909, Egli_UPEC_metadata_provided!$A$2:$M$826, 3, FALSE)</f>
        <v>#N/A</v>
      </c>
      <c r="E909" t="e">
        <f>VLOOKUP($C909, Egli_UPEC_metadata_provided!$A$2:$M$826, 4, FALSE)</f>
        <v>#N/A</v>
      </c>
      <c r="F909" t="e">
        <f>VLOOKUP($C909, Egli_UPEC_metadata_provided!$A$2:$M$826, 5, FALSE)</f>
        <v>#N/A</v>
      </c>
      <c r="G909" t="e">
        <f>VLOOKUP($C909, Egli_UPEC_metadata_provided!$A$2:$M$826, 6, FALSE)</f>
        <v>#N/A</v>
      </c>
      <c r="H909" t="e">
        <f>VLOOKUP($C909, Egli_UPEC_metadata_provided!$A$2:$M$826, 7, FALSE)</f>
        <v>#N/A</v>
      </c>
      <c r="I909" t="e">
        <f>VLOOKUP($C909, Egli_UPEC_metadata_provided!$A$2:$M$826, 8, FALSE)</f>
        <v>#N/A</v>
      </c>
      <c r="J909" t="e">
        <f>VLOOKUP($C909, Egli_UPEC_metadata_provided!$A$2:$M$826, 9, FALSE)</f>
        <v>#N/A</v>
      </c>
      <c r="K909" t="e">
        <f>VLOOKUP($C909, Egli_UPEC_metadata_provided!$A$2:$M$826, 10, FALSE)</f>
        <v>#N/A</v>
      </c>
      <c r="L909" t="e">
        <f>VLOOKUP($C909, Egli_UPEC_metadata_provided!$A$2:$M$826, 11, FALSE)</f>
        <v>#N/A</v>
      </c>
      <c r="M909" t="e">
        <f>VLOOKUP($C909, Egli_UPEC_metadata_provided!$A$2:$M$826, 12, FALSE)</f>
        <v>#N/A</v>
      </c>
      <c r="N909" t="e">
        <f>VLOOKUP($C909, Egli_UPEC_metadata_provided!$A$2:$M$826, 13, FALSE)</f>
        <v>#N/A</v>
      </c>
      <c r="O909" t="e">
        <f>VLOOKUP($C909, Egli_UPEC_metadata_provided!$A$2:$N$826, 14, FALSE)</f>
        <v>#N/A</v>
      </c>
    </row>
    <row r="910" spans="1:15" x14ac:dyDescent="0.2">
      <c r="A910" t="s">
        <v>1842</v>
      </c>
      <c r="B910" t="s">
        <v>4347</v>
      </c>
      <c r="C910" t="s">
        <v>4347</v>
      </c>
      <c r="D910" t="e">
        <f>VLOOKUP($C910, Egli_UPEC_metadata_provided!$A$2:$M$826, 3, FALSE)</f>
        <v>#N/A</v>
      </c>
      <c r="E910" t="e">
        <f>VLOOKUP($C910, Egli_UPEC_metadata_provided!$A$2:$M$826, 4, FALSE)</f>
        <v>#N/A</v>
      </c>
      <c r="F910" t="e">
        <f>VLOOKUP($C910, Egli_UPEC_metadata_provided!$A$2:$M$826, 5, FALSE)</f>
        <v>#N/A</v>
      </c>
      <c r="G910" t="e">
        <f>VLOOKUP($C910, Egli_UPEC_metadata_provided!$A$2:$M$826, 6, FALSE)</f>
        <v>#N/A</v>
      </c>
      <c r="H910" t="e">
        <f>VLOOKUP($C910, Egli_UPEC_metadata_provided!$A$2:$M$826, 7, FALSE)</f>
        <v>#N/A</v>
      </c>
      <c r="I910" t="e">
        <f>VLOOKUP($C910, Egli_UPEC_metadata_provided!$A$2:$M$826, 8, FALSE)</f>
        <v>#N/A</v>
      </c>
      <c r="J910" t="e">
        <f>VLOOKUP($C910, Egli_UPEC_metadata_provided!$A$2:$M$826, 9, FALSE)</f>
        <v>#N/A</v>
      </c>
      <c r="K910" t="e">
        <f>VLOOKUP($C910, Egli_UPEC_metadata_provided!$A$2:$M$826, 10, FALSE)</f>
        <v>#N/A</v>
      </c>
      <c r="L910" t="e">
        <f>VLOOKUP($C910, Egli_UPEC_metadata_provided!$A$2:$M$826, 11, FALSE)</f>
        <v>#N/A</v>
      </c>
      <c r="M910" t="e">
        <f>VLOOKUP($C910, Egli_UPEC_metadata_provided!$A$2:$M$826, 12, FALSE)</f>
        <v>#N/A</v>
      </c>
      <c r="N910" t="e">
        <f>VLOOKUP($C910, Egli_UPEC_metadata_provided!$A$2:$M$826, 13, FALSE)</f>
        <v>#N/A</v>
      </c>
      <c r="O910" t="e">
        <f>VLOOKUP($C910, Egli_UPEC_metadata_provided!$A$2:$N$826, 14, FALSE)</f>
        <v>#N/A</v>
      </c>
    </row>
    <row r="911" spans="1:15" x14ac:dyDescent="0.2">
      <c r="A911" t="s">
        <v>1845</v>
      </c>
      <c r="B911" t="s">
        <v>4348</v>
      </c>
      <c r="C911" t="s">
        <v>4348</v>
      </c>
      <c r="D911" t="e">
        <f>VLOOKUP($C911, Egli_UPEC_metadata_provided!$A$2:$M$826, 3, FALSE)</f>
        <v>#N/A</v>
      </c>
      <c r="E911" t="e">
        <f>VLOOKUP($C911, Egli_UPEC_metadata_provided!$A$2:$M$826, 4, FALSE)</f>
        <v>#N/A</v>
      </c>
      <c r="F911" t="e">
        <f>VLOOKUP($C911, Egli_UPEC_metadata_provided!$A$2:$M$826, 5, FALSE)</f>
        <v>#N/A</v>
      </c>
      <c r="G911" t="e">
        <f>VLOOKUP($C911, Egli_UPEC_metadata_provided!$A$2:$M$826, 6, FALSE)</f>
        <v>#N/A</v>
      </c>
      <c r="H911" t="e">
        <f>VLOOKUP($C911, Egli_UPEC_metadata_provided!$A$2:$M$826, 7, FALSE)</f>
        <v>#N/A</v>
      </c>
      <c r="I911" t="e">
        <f>VLOOKUP($C911, Egli_UPEC_metadata_provided!$A$2:$M$826, 8, FALSE)</f>
        <v>#N/A</v>
      </c>
      <c r="J911" t="e">
        <f>VLOOKUP($C911, Egli_UPEC_metadata_provided!$A$2:$M$826, 9, FALSE)</f>
        <v>#N/A</v>
      </c>
      <c r="K911" t="e">
        <f>VLOOKUP($C911, Egli_UPEC_metadata_provided!$A$2:$M$826, 10, FALSE)</f>
        <v>#N/A</v>
      </c>
      <c r="L911" t="e">
        <f>VLOOKUP($C911, Egli_UPEC_metadata_provided!$A$2:$M$826, 11, FALSE)</f>
        <v>#N/A</v>
      </c>
      <c r="M911" t="e">
        <f>VLOOKUP($C911, Egli_UPEC_metadata_provided!$A$2:$M$826, 12, FALSE)</f>
        <v>#N/A</v>
      </c>
      <c r="N911" t="e">
        <f>VLOOKUP($C911, Egli_UPEC_metadata_provided!$A$2:$M$826, 13, FALSE)</f>
        <v>#N/A</v>
      </c>
      <c r="O911" t="e">
        <f>VLOOKUP($C911, Egli_UPEC_metadata_provided!$A$2:$N$826, 14, FALSE)</f>
        <v>#N/A</v>
      </c>
    </row>
    <row r="912" spans="1:15" x14ac:dyDescent="0.2">
      <c r="A912" t="s">
        <v>1848</v>
      </c>
      <c r="B912" t="s">
        <v>4171</v>
      </c>
      <c r="C912" t="s">
        <v>4171</v>
      </c>
      <c r="D912" t="e">
        <f>VLOOKUP($C912, Egli_UPEC_metadata_provided!$A$2:$M$826, 3, FALSE)</f>
        <v>#N/A</v>
      </c>
      <c r="E912" t="e">
        <f>VLOOKUP($C912, Egli_UPEC_metadata_provided!$A$2:$M$826, 4, FALSE)</f>
        <v>#N/A</v>
      </c>
      <c r="F912" t="e">
        <f>VLOOKUP($C912, Egli_UPEC_metadata_provided!$A$2:$M$826, 5, FALSE)</f>
        <v>#N/A</v>
      </c>
      <c r="G912" t="e">
        <f>VLOOKUP($C912, Egli_UPEC_metadata_provided!$A$2:$M$826, 6, FALSE)</f>
        <v>#N/A</v>
      </c>
      <c r="H912" t="e">
        <f>VLOOKUP($C912, Egli_UPEC_metadata_provided!$A$2:$M$826, 7, FALSE)</f>
        <v>#N/A</v>
      </c>
      <c r="I912" t="e">
        <f>VLOOKUP($C912, Egli_UPEC_metadata_provided!$A$2:$M$826, 8, FALSE)</f>
        <v>#N/A</v>
      </c>
      <c r="J912" t="e">
        <f>VLOOKUP($C912, Egli_UPEC_metadata_provided!$A$2:$M$826, 9, FALSE)</f>
        <v>#N/A</v>
      </c>
      <c r="K912" t="e">
        <f>VLOOKUP($C912, Egli_UPEC_metadata_provided!$A$2:$M$826, 10, FALSE)</f>
        <v>#N/A</v>
      </c>
      <c r="L912" t="e">
        <f>VLOOKUP($C912, Egli_UPEC_metadata_provided!$A$2:$M$826, 11, FALSE)</f>
        <v>#N/A</v>
      </c>
      <c r="M912" t="e">
        <f>VLOOKUP($C912, Egli_UPEC_metadata_provided!$A$2:$M$826, 12, FALSE)</f>
        <v>#N/A</v>
      </c>
      <c r="N912" t="e">
        <f>VLOOKUP($C912, Egli_UPEC_metadata_provided!$A$2:$M$826, 13, FALSE)</f>
        <v>#N/A</v>
      </c>
      <c r="O912" t="e">
        <f>VLOOKUP($C912, Egli_UPEC_metadata_provided!$A$2:$N$826, 14, FALSE)</f>
        <v>#N/A</v>
      </c>
    </row>
    <row r="913" spans="1:15" x14ac:dyDescent="0.2">
      <c r="A913" t="s">
        <v>1851</v>
      </c>
      <c r="B913" t="s">
        <v>4349</v>
      </c>
      <c r="C913" t="s">
        <v>4349</v>
      </c>
      <c r="D913" t="e">
        <f>VLOOKUP($C913, Egli_UPEC_metadata_provided!$A$2:$M$826, 3, FALSE)</f>
        <v>#N/A</v>
      </c>
      <c r="E913" t="e">
        <f>VLOOKUP($C913, Egli_UPEC_metadata_provided!$A$2:$M$826, 4, FALSE)</f>
        <v>#N/A</v>
      </c>
      <c r="F913" t="e">
        <f>VLOOKUP($C913, Egli_UPEC_metadata_provided!$A$2:$M$826, 5, FALSE)</f>
        <v>#N/A</v>
      </c>
      <c r="G913" t="e">
        <f>VLOOKUP($C913, Egli_UPEC_metadata_provided!$A$2:$M$826, 6, FALSE)</f>
        <v>#N/A</v>
      </c>
      <c r="H913" t="e">
        <f>VLOOKUP($C913, Egli_UPEC_metadata_provided!$A$2:$M$826, 7, FALSE)</f>
        <v>#N/A</v>
      </c>
      <c r="I913" t="e">
        <f>VLOOKUP($C913, Egli_UPEC_metadata_provided!$A$2:$M$826, 8, FALSE)</f>
        <v>#N/A</v>
      </c>
      <c r="J913" t="e">
        <f>VLOOKUP($C913, Egli_UPEC_metadata_provided!$A$2:$M$826, 9, FALSE)</f>
        <v>#N/A</v>
      </c>
      <c r="K913" t="e">
        <f>VLOOKUP($C913, Egli_UPEC_metadata_provided!$A$2:$M$826, 10, FALSE)</f>
        <v>#N/A</v>
      </c>
      <c r="L913" t="e">
        <f>VLOOKUP($C913, Egli_UPEC_metadata_provided!$A$2:$M$826, 11, FALSE)</f>
        <v>#N/A</v>
      </c>
      <c r="M913" t="e">
        <f>VLOOKUP($C913, Egli_UPEC_metadata_provided!$A$2:$M$826, 12, FALSE)</f>
        <v>#N/A</v>
      </c>
      <c r="N913" t="e">
        <f>VLOOKUP($C913, Egli_UPEC_metadata_provided!$A$2:$M$826, 13, FALSE)</f>
        <v>#N/A</v>
      </c>
      <c r="O913" t="e">
        <f>VLOOKUP($C913, Egli_UPEC_metadata_provided!$A$2:$N$826, 14, FALSE)</f>
        <v>#N/A</v>
      </c>
    </row>
    <row r="914" spans="1:15" x14ac:dyDescent="0.2">
      <c r="A914" t="s">
        <v>1854</v>
      </c>
      <c r="B914" t="s">
        <v>4220</v>
      </c>
      <c r="C914" t="s">
        <v>4220</v>
      </c>
      <c r="D914" t="e">
        <f>VLOOKUP($C914, Egli_UPEC_metadata_provided!$A$2:$M$826, 3, FALSE)</f>
        <v>#N/A</v>
      </c>
      <c r="E914" t="e">
        <f>VLOOKUP($C914, Egli_UPEC_metadata_provided!$A$2:$M$826, 4, FALSE)</f>
        <v>#N/A</v>
      </c>
      <c r="F914" t="e">
        <f>VLOOKUP($C914, Egli_UPEC_metadata_provided!$A$2:$M$826, 5, FALSE)</f>
        <v>#N/A</v>
      </c>
      <c r="G914" t="e">
        <f>VLOOKUP($C914, Egli_UPEC_metadata_provided!$A$2:$M$826, 6, FALSE)</f>
        <v>#N/A</v>
      </c>
      <c r="H914" t="e">
        <f>VLOOKUP($C914, Egli_UPEC_metadata_provided!$A$2:$M$826, 7, FALSE)</f>
        <v>#N/A</v>
      </c>
      <c r="I914" t="e">
        <f>VLOOKUP($C914, Egli_UPEC_metadata_provided!$A$2:$M$826, 8, FALSE)</f>
        <v>#N/A</v>
      </c>
      <c r="J914" t="e">
        <f>VLOOKUP($C914, Egli_UPEC_metadata_provided!$A$2:$M$826, 9, FALSE)</f>
        <v>#N/A</v>
      </c>
      <c r="K914" t="e">
        <f>VLOOKUP($C914, Egli_UPEC_metadata_provided!$A$2:$M$826, 10, FALSE)</f>
        <v>#N/A</v>
      </c>
      <c r="L914" t="e">
        <f>VLOOKUP($C914, Egli_UPEC_metadata_provided!$A$2:$M$826, 11, FALSE)</f>
        <v>#N/A</v>
      </c>
      <c r="M914" t="e">
        <f>VLOOKUP($C914, Egli_UPEC_metadata_provided!$A$2:$M$826, 12, FALSE)</f>
        <v>#N/A</v>
      </c>
      <c r="N914" t="e">
        <f>VLOOKUP($C914, Egli_UPEC_metadata_provided!$A$2:$M$826, 13, FALSE)</f>
        <v>#N/A</v>
      </c>
      <c r="O914" t="e">
        <f>VLOOKUP($C914, Egli_UPEC_metadata_provided!$A$2:$N$826, 14, FALSE)</f>
        <v>#N/A</v>
      </c>
    </row>
    <row r="915" spans="1:15" x14ac:dyDescent="0.2">
      <c r="A915" t="s">
        <v>1857</v>
      </c>
      <c r="B915" t="s">
        <v>4172</v>
      </c>
      <c r="C915" t="s">
        <v>4172</v>
      </c>
      <c r="D915" t="e">
        <f>VLOOKUP($C915, Egli_UPEC_metadata_provided!$A$2:$M$826, 3, FALSE)</f>
        <v>#N/A</v>
      </c>
      <c r="E915" t="e">
        <f>VLOOKUP($C915, Egli_UPEC_metadata_provided!$A$2:$M$826, 4, FALSE)</f>
        <v>#N/A</v>
      </c>
      <c r="F915" t="e">
        <f>VLOOKUP($C915, Egli_UPEC_metadata_provided!$A$2:$M$826, 5, FALSE)</f>
        <v>#N/A</v>
      </c>
      <c r="G915" t="e">
        <f>VLOOKUP($C915, Egli_UPEC_metadata_provided!$A$2:$M$826, 6, FALSE)</f>
        <v>#N/A</v>
      </c>
      <c r="H915" t="e">
        <f>VLOOKUP($C915, Egli_UPEC_metadata_provided!$A$2:$M$826, 7, FALSE)</f>
        <v>#N/A</v>
      </c>
      <c r="I915" t="e">
        <f>VLOOKUP($C915, Egli_UPEC_metadata_provided!$A$2:$M$826, 8, FALSE)</f>
        <v>#N/A</v>
      </c>
      <c r="J915" t="e">
        <f>VLOOKUP($C915, Egli_UPEC_metadata_provided!$A$2:$M$826, 9, FALSE)</f>
        <v>#N/A</v>
      </c>
      <c r="K915" t="e">
        <f>VLOOKUP($C915, Egli_UPEC_metadata_provided!$A$2:$M$826, 10, FALSE)</f>
        <v>#N/A</v>
      </c>
      <c r="L915" t="e">
        <f>VLOOKUP($C915, Egli_UPEC_metadata_provided!$A$2:$M$826, 11, FALSE)</f>
        <v>#N/A</v>
      </c>
      <c r="M915" t="e">
        <f>VLOOKUP($C915, Egli_UPEC_metadata_provided!$A$2:$M$826, 12, FALSE)</f>
        <v>#N/A</v>
      </c>
      <c r="N915" t="e">
        <f>VLOOKUP($C915, Egli_UPEC_metadata_provided!$A$2:$M$826, 13, FALSE)</f>
        <v>#N/A</v>
      </c>
      <c r="O915" t="e">
        <f>VLOOKUP($C915, Egli_UPEC_metadata_provided!$A$2:$N$826, 14, FALSE)</f>
        <v>#N/A</v>
      </c>
    </row>
    <row r="916" spans="1:15" x14ac:dyDescent="0.2">
      <c r="A916" t="s">
        <v>1860</v>
      </c>
      <c r="B916" t="s">
        <v>4221</v>
      </c>
      <c r="C916" t="s">
        <v>4221</v>
      </c>
      <c r="D916" t="e">
        <f>VLOOKUP($C916, Egli_UPEC_metadata_provided!$A$2:$M$826, 3, FALSE)</f>
        <v>#N/A</v>
      </c>
      <c r="E916" t="e">
        <f>VLOOKUP($C916, Egli_UPEC_metadata_provided!$A$2:$M$826, 4, FALSE)</f>
        <v>#N/A</v>
      </c>
      <c r="F916" t="e">
        <f>VLOOKUP($C916, Egli_UPEC_metadata_provided!$A$2:$M$826, 5, FALSE)</f>
        <v>#N/A</v>
      </c>
      <c r="G916" t="e">
        <f>VLOOKUP($C916, Egli_UPEC_metadata_provided!$A$2:$M$826, 6, FALSE)</f>
        <v>#N/A</v>
      </c>
      <c r="H916" t="e">
        <f>VLOOKUP($C916, Egli_UPEC_metadata_provided!$A$2:$M$826, 7, FALSE)</f>
        <v>#N/A</v>
      </c>
      <c r="I916" t="e">
        <f>VLOOKUP($C916, Egli_UPEC_metadata_provided!$A$2:$M$826, 8, FALSE)</f>
        <v>#N/A</v>
      </c>
      <c r="J916" t="e">
        <f>VLOOKUP($C916, Egli_UPEC_metadata_provided!$A$2:$M$826, 9, FALSE)</f>
        <v>#N/A</v>
      </c>
      <c r="K916" t="e">
        <f>VLOOKUP($C916, Egli_UPEC_metadata_provided!$A$2:$M$826, 10, FALSE)</f>
        <v>#N/A</v>
      </c>
      <c r="L916" t="e">
        <f>VLOOKUP($C916, Egli_UPEC_metadata_provided!$A$2:$M$826, 11, FALSE)</f>
        <v>#N/A</v>
      </c>
      <c r="M916" t="e">
        <f>VLOOKUP($C916, Egli_UPEC_metadata_provided!$A$2:$M$826, 12, FALSE)</f>
        <v>#N/A</v>
      </c>
      <c r="N916" t="e">
        <f>VLOOKUP($C916, Egli_UPEC_metadata_provided!$A$2:$M$826, 13, FALSE)</f>
        <v>#N/A</v>
      </c>
      <c r="O916" t="e">
        <f>VLOOKUP($C916, Egli_UPEC_metadata_provided!$A$2:$N$826, 14, FALSE)</f>
        <v>#N/A</v>
      </c>
    </row>
    <row r="917" spans="1:15" x14ac:dyDescent="0.2">
      <c r="A917" t="s">
        <v>1863</v>
      </c>
      <c r="B917" t="s">
        <v>4350</v>
      </c>
      <c r="C917" t="s">
        <v>4350</v>
      </c>
      <c r="D917" t="e">
        <f>VLOOKUP($C917, Egli_UPEC_metadata_provided!$A$2:$M$826, 3, FALSE)</f>
        <v>#N/A</v>
      </c>
      <c r="E917" t="e">
        <f>VLOOKUP($C917, Egli_UPEC_metadata_provided!$A$2:$M$826, 4, FALSE)</f>
        <v>#N/A</v>
      </c>
      <c r="F917" t="e">
        <f>VLOOKUP($C917, Egli_UPEC_metadata_provided!$A$2:$M$826, 5, FALSE)</f>
        <v>#N/A</v>
      </c>
      <c r="G917" t="e">
        <f>VLOOKUP($C917, Egli_UPEC_metadata_provided!$A$2:$M$826, 6, FALSE)</f>
        <v>#N/A</v>
      </c>
      <c r="H917" t="e">
        <f>VLOOKUP($C917, Egli_UPEC_metadata_provided!$A$2:$M$826, 7, FALSE)</f>
        <v>#N/A</v>
      </c>
      <c r="I917" t="e">
        <f>VLOOKUP($C917, Egli_UPEC_metadata_provided!$A$2:$M$826, 8, FALSE)</f>
        <v>#N/A</v>
      </c>
      <c r="J917" t="e">
        <f>VLOOKUP($C917, Egli_UPEC_metadata_provided!$A$2:$M$826, 9, FALSE)</f>
        <v>#N/A</v>
      </c>
      <c r="K917" t="e">
        <f>VLOOKUP($C917, Egli_UPEC_metadata_provided!$A$2:$M$826, 10, FALSE)</f>
        <v>#N/A</v>
      </c>
      <c r="L917" t="e">
        <f>VLOOKUP($C917, Egli_UPEC_metadata_provided!$A$2:$M$826, 11, FALSE)</f>
        <v>#N/A</v>
      </c>
      <c r="M917" t="e">
        <f>VLOOKUP($C917, Egli_UPEC_metadata_provided!$A$2:$M$826, 12, FALSE)</f>
        <v>#N/A</v>
      </c>
      <c r="N917" t="e">
        <f>VLOOKUP($C917, Egli_UPEC_metadata_provided!$A$2:$M$826, 13, FALSE)</f>
        <v>#N/A</v>
      </c>
      <c r="O917" t="e">
        <f>VLOOKUP($C917, Egli_UPEC_metadata_provided!$A$2:$N$826, 14, FALSE)</f>
        <v>#N/A</v>
      </c>
    </row>
    <row r="918" spans="1:15" x14ac:dyDescent="0.2">
      <c r="A918" t="s">
        <v>1866</v>
      </c>
      <c r="B918" t="s">
        <v>4174</v>
      </c>
      <c r="C918" t="s">
        <v>4174</v>
      </c>
      <c r="D918" t="e">
        <f>VLOOKUP($C918, Egli_UPEC_metadata_provided!$A$2:$M$826, 3, FALSE)</f>
        <v>#N/A</v>
      </c>
      <c r="E918" t="e">
        <f>VLOOKUP($C918, Egli_UPEC_metadata_provided!$A$2:$M$826, 4, FALSE)</f>
        <v>#N/A</v>
      </c>
      <c r="F918" t="e">
        <f>VLOOKUP($C918, Egli_UPEC_metadata_provided!$A$2:$M$826, 5, FALSE)</f>
        <v>#N/A</v>
      </c>
      <c r="G918" t="e">
        <f>VLOOKUP($C918, Egli_UPEC_metadata_provided!$A$2:$M$826, 6, FALSE)</f>
        <v>#N/A</v>
      </c>
      <c r="H918" t="e">
        <f>VLOOKUP($C918, Egli_UPEC_metadata_provided!$A$2:$M$826, 7, FALSE)</f>
        <v>#N/A</v>
      </c>
      <c r="I918" t="e">
        <f>VLOOKUP($C918, Egli_UPEC_metadata_provided!$A$2:$M$826, 8, FALSE)</f>
        <v>#N/A</v>
      </c>
      <c r="J918" t="e">
        <f>VLOOKUP($C918, Egli_UPEC_metadata_provided!$A$2:$M$826, 9, FALSE)</f>
        <v>#N/A</v>
      </c>
      <c r="K918" t="e">
        <f>VLOOKUP($C918, Egli_UPEC_metadata_provided!$A$2:$M$826, 10, FALSE)</f>
        <v>#N/A</v>
      </c>
      <c r="L918" t="e">
        <f>VLOOKUP($C918, Egli_UPEC_metadata_provided!$A$2:$M$826, 11, FALSE)</f>
        <v>#N/A</v>
      </c>
      <c r="M918" t="e">
        <f>VLOOKUP($C918, Egli_UPEC_metadata_provided!$A$2:$M$826, 12, FALSE)</f>
        <v>#N/A</v>
      </c>
      <c r="N918" t="e">
        <f>VLOOKUP($C918, Egli_UPEC_metadata_provided!$A$2:$M$826, 13, FALSE)</f>
        <v>#N/A</v>
      </c>
      <c r="O918" t="e">
        <f>VLOOKUP($C918, Egli_UPEC_metadata_provided!$A$2:$N$826, 14, FALSE)</f>
        <v>#N/A</v>
      </c>
    </row>
    <row r="919" spans="1:15" x14ac:dyDescent="0.2">
      <c r="A919" t="s">
        <v>1869</v>
      </c>
      <c r="B919" t="s">
        <v>4177</v>
      </c>
      <c r="C919" t="s">
        <v>4177</v>
      </c>
      <c r="D919" t="e">
        <f>VLOOKUP($C919, Egli_UPEC_metadata_provided!$A$2:$M$826, 3, FALSE)</f>
        <v>#N/A</v>
      </c>
      <c r="E919" t="e">
        <f>VLOOKUP($C919, Egli_UPEC_metadata_provided!$A$2:$M$826, 4, FALSE)</f>
        <v>#N/A</v>
      </c>
      <c r="F919" t="e">
        <f>VLOOKUP($C919, Egli_UPEC_metadata_provided!$A$2:$M$826, 5, FALSE)</f>
        <v>#N/A</v>
      </c>
      <c r="G919" t="e">
        <f>VLOOKUP($C919, Egli_UPEC_metadata_provided!$A$2:$M$826, 6, FALSE)</f>
        <v>#N/A</v>
      </c>
      <c r="H919" t="e">
        <f>VLOOKUP($C919, Egli_UPEC_metadata_provided!$A$2:$M$826, 7, FALSE)</f>
        <v>#N/A</v>
      </c>
      <c r="I919" t="e">
        <f>VLOOKUP($C919, Egli_UPEC_metadata_provided!$A$2:$M$826, 8, FALSE)</f>
        <v>#N/A</v>
      </c>
      <c r="J919" t="e">
        <f>VLOOKUP($C919, Egli_UPEC_metadata_provided!$A$2:$M$826, 9, FALSE)</f>
        <v>#N/A</v>
      </c>
      <c r="K919" t="e">
        <f>VLOOKUP($C919, Egli_UPEC_metadata_provided!$A$2:$M$826, 10, FALSE)</f>
        <v>#N/A</v>
      </c>
      <c r="L919" t="e">
        <f>VLOOKUP($C919, Egli_UPEC_metadata_provided!$A$2:$M$826, 11, FALSE)</f>
        <v>#N/A</v>
      </c>
      <c r="M919" t="e">
        <f>VLOOKUP($C919, Egli_UPEC_metadata_provided!$A$2:$M$826, 12, FALSE)</f>
        <v>#N/A</v>
      </c>
      <c r="N919" t="e">
        <f>VLOOKUP($C919, Egli_UPEC_metadata_provided!$A$2:$M$826, 13, FALSE)</f>
        <v>#N/A</v>
      </c>
      <c r="O919" t="e">
        <f>VLOOKUP($C919, Egli_UPEC_metadata_provided!$A$2:$N$826, 14, FALSE)</f>
        <v>#N/A</v>
      </c>
    </row>
    <row r="920" spans="1:15" x14ac:dyDescent="0.2">
      <c r="A920" t="s">
        <v>1872</v>
      </c>
      <c r="B920" t="s">
        <v>4222</v>
      </c>
      <c r="C920" t="s">
        <v>4222</v>
      </c>
      <c r="D920" t="e">
        <f>VLOOKUP($C920, Egli_UPEC_metadata_provided!$A$2:$M$826, 3, FALSE)</f>
        <v>#N/A</v>
      </c>
      <c r="E920" t="e">
        <f>VLOOKUP($C920, Egli_UPEC_metadata_provided!$A$2:$M$826, 4, FALSE)</f>
        <v>#N/A</v>
      </c>
      <c r="F920" t="e">
        <f>VLOOKUP($C920, Egli_UPEC_metadata_provided!$A$2:$M$826, 5, FALSE)</f>
        <v>#N/A</v>
      </c>
      <c r="G920" t="e">
        <f>VLOOKUP($C920, Egli_UPEC_metadata_provided!$A$2:$M$826, 6, FALSE)</f>
        <v>#N/A</v>
      </c>
      <c r="H920" t="e">
        <f>VLOOKUP($C920, Egli_UPEC_metadata_provided!$A$2:$M$826, 7, FALSE)</f>
        <v>#N/A</v>
      </c>
      <c r="I920" t="e">
        <f>VLOOKUP($C920, Egli_UPEC_metadata_provided!$A$2:$M$826, 8, FALSE)</f>
        <v>#N/A</v>
      </c>
      <c r="J920" t="e">
        <f>VLOOKUP($C920, Egli_UPEC_metadata_provided!$A$2:$M$826, 9, FALSE)</f>
        <v>#N/A</v>
      </c>
      <c r="K920" t="e">
        <f>VLOOKUP($C920, Egli_UPEC_metadata_provided!$A$2:$M$826, 10, FALSE)</f>
        <v>#N/A</v>
      </c>
      <c r="L920" t="e">
        <f>VLOOKUP($C920, Egli_UPEC_metadata_provided!$A$2:$M$826, 11, FALSE)</f>
        <v>#N/A</v>
      </c>
      <c r="M920" t="e">
        <f>VLOOKUP($C920, Egli_UPEC_metadata_provided!$A$2:$M$826, 12, FALSE)</f>
        <v>#N/A</v>
      </c>
      <c r="N920" t="e">
        <f>VLOOKUP($C920, Egli_UPEC_metadata_provided!$A$2:$M$826, 13, FALSE)</f>
        <v>#N/A</v>
      </c>
      <c r="O920" t="e">
        <f>VLOOKUP($C920, Egli_UPEC_metadata_provided!$A$2:$N$826, 14, FALSE)</f>
        <v>#N/A</v>
      </c>
    </row>
    <row r="921" spans="1:15" x14ac:dyDescent="0.2">
      <c r="A921" t="s">
        <v>1875</v>
      </c>
      <c r="B921" t="s">
        <v>4178</v>
      </c>
      <c r="C921" t="s">
        <v>4178</v>
      </c>
      <c r="D921" t="e">
        <f>VLOOKUP($C921, Egli_UPEC_metadata_provided!$A$2:$M$826, 3, FALSE)</f>
        <v>#N/A</v>
      </c>
      <c r="E921" t="e">
        <f>VLOOKUP($C921, Egli_UPEC_metadata_provided!$A$2:$M$826, 4, FALSE)</f>
        <v>#N/A</v>
      </c>
      <c r="F921" t="e">
        <f>VLOOKUP($C921, Egli_UPEC_metadata_provided!$A$2:$M$826, 5, FALSE)</f>
        <v>#N/A</v>
      </c>
      <c r="G921" t="e">
        <f>VLOOKUP($C921, Egli_UPEC_metadata_provided!$A$2:$M$826, 6, FALSE)</f>
        <v>#N/A</v>
      </c>
      <c r="H921" t="e">
        <f>VLOOKUP($C921, Egli_UPEC_metadata_provided!$A$2:$M$826, 7, FALSE)</f>
        <v>#N/A</v>
      </c>
      <c r="I921" t="e">
        <f>VLOOKUP($C921, Egli_UPEC_metadata_provided!$A$2:$M$826, 8, FALSE)</f>
        <v>#N/A</v>
      </c>
      <c r="J921" t="e">
        <f>VLOOKUP($C921, Egli_UPEC_metadata_provided!$A$2:$M$826, 9, FALSE)</f>
        <v>#N/A</v>
      </c>
      <c r="K921" t="e">
        <f>VLOOKUP($C921, Egli_UPEC_metadata_provided!$A$2:$M$826, 10, FALSE)</f>
        <v>#N/A</v>
      </c>
      <c r="L921" t="e">
        <f>VLOOKUP($C921, Egli_UPEC_metadata_provided!$A$2:$M$826, 11, FALSE)</f>
        <v>#N/A</v>
      </c>
      <c r="M921" t="e">
        <f>VLOOKUP($C921, Egli_UPEC_metadata_provided!$A$2:$M$826, 12, FALSE)</f>
        <v>#N/A</v>
      </c>
      <c r="N921" t="e">
        <f>VLOOKUP($C921, Egli_UPEC_metadata_provided!$A$2:$M$826, 13, FALSE)</f>
        <v>#N/A</v>
      </c>
      <c r="O921" t="e">
        <f>VLOOKUP($C921, Egli_UPEC_metadata_provided!$A$2:$N$826, 14, FALSE)</f>
        <v>#N/A</v>
      </c>
    </row>
    <row r="922" spans="1:15" x14ac:dyDescent="0.2">
      <c r="A922" t="s">
        <v>1878</v>
      </c>
      <c r="B922" t="s">
        <v>4351</v>
      </c>
      <c r="C922" t="s">
        <v>4351</v>
      </c>
      <c r="D922" t="e">
        <f>VLOOKUP($C922, Egli_UPEC_metadata_provided!$A$2:$M$826, 3, FALSE)</f>
        <v>#N/A</v>
      </c>
      <c r="E922" t="e">
        <f>VLOOKUP($C922, Egli_UPEC_metadata_provided!$A$2:$M$826, 4, FALSE)</f>
        <v>#N/A</v>
      </c>
      <c r="F922" t="e">
        <f>VLOOKUP($C922, Egli_UPEC_metadata_provided!$A$2:$M$826, 5, FALSE)</f>
        <v>#N/A</v>
      </c>
      <c r="G922" t="e">
        <f>VLOOKUP($C922, Egli_UPEC_metadata_provided!$A$2:$M$826, 6, FALSE)</f>
        <v>#N/A</v>
      </c>
      <c r="H922" t="e">
        <f>VLOOKUP($C922, Egli_UPEC_metadata_provided!$A$2:$M$826, 7, FALSE)</f>
        <v>#N/A</v>
      </c>
      <c r="I922" t="e">
        <f>VLOOKUP($C922, Egli_UPEC_metadata_provided!$A$2:$M$826, 8, FALSE)</f>
        <v>#N/A</v>
      </c>
      <c r="J922" t="e">
        <f>VLOOKUP($C922, Egli_UPEC_metadata_provided!$A$2:$M$826, 9, FALSE)</f>
        <v>#N/A</v>
      </c>
      <c r="K922" t="e">
        <f>VLOOKUP($C922, Egli_UPEC_metadata_provided!$A$2:$M$826, 10, FALSE)</f>
        <v>#N/A</v>
      </c>
      <c r="L922" t="e">
        <f>VLOOKUP($C922, Egli_UPEC_metadata_provided!$A$2:$M$826, 11, FALSE)</f>
        <v>#N/A</v>
      </c>
      <c r="M922" t="e">
        <f>VLOOKUP($C922, Egli_UPEC_metadata_provided!$A$2:$M$826, 12, FALSE)</f>
        <v>#N/A</v>
      </c>
      <c r="N922" t="e">
        <f>VLOOKUP($C922, Egli_UPEC_metadata_provided!$A$2:$M$826, 13, FALSE)</f>
        <v>#N/A</v>
      </c>
      <c r="O922" t="e">
        <f>VLOOKUP($C922, Egli_UPEC_metadata_provided!$A$2:$N$826, 14, FALSE)</f>
        <v>#N/A</v>
      </c>
    </row>
    <row r="923" spans="1:15" x14ac:dyDescent="0.2">
      <c r="A923" t="s">
        <v>1887</v>
      </c>
      <c r="B923" t="s">
        <v>4180</v>
      </c>
      <c r="C923" t="s">
        <v>4180</v>
      </c>
      <c r="D923" t="e">
        <f>VLOOKUP($C923, Egli_UPEC_metadata_provided!$A$2:$M$826, 3, FALSE)</f>
        <v>#N/A</v>
      </c>
      <c r="E923" t="e">
        <f>VLOOKUP($C923, Egli_UPEC_metadata_provided!$A$2:$M$826, 4, FALSE)</f>
        <v>#N/A</v>
      </c>
      <c r="F923" t="e">
        <f>VLOOKUP($C923, Egli_UPEC_metadata_provided!$A$2:$M$826, 5, FALSE)</f>
        <v>#N/A</v>
      </c>
      <c r="G923" t="e">
        <f>VLOOKUP($C923, Egli_UPEC_metadata_provided!$A$2:$M$826, 6, FALSE)</f>
        <v>#N/A</v>
      </c>
      <c r="H923" t="e">
        <f>VLOOKUP($C923, Egli_UPEC_metadata_provided!$A$2:$M$826, 7, FALSE)</f>
        <v>#N/A</v>
      </c>
      <c r="I923" t="e">
        <f>VLOOKUP($C923, Egli_UPEC_metadata_provided!$A$2:$M$826, 8, FALSE)</f>
        <v>#N/A</v>
      </c>
      <c r="J923" t="e">
        <f>VLOOKUP($C923, Egli_UPEC_metadata_provided!$A$2:$M$826, 9, FALSE)</f>
        <v>#N/A</v>
      </c>
      <c r="K923" t="e">
        <f>VLOOKUP($C923, Egli_UPEC_metadata_provided!$A$2:$M$826, 10, FALSE)</f>
        <v>#N/A</v>
      </c>
      <c r="L923" t="e">
        <f>VLOOKUP($C923, Egli_UPEC_metadata_provided!$A$2:$M$826, 11, FALSE)</f>
        <v>#N/A</v>
      </c>
      <c r="M923" t="e">
        <f>VLOOKUP($C923, Egli_UPEC_metadata_provided!$A$2:$M$826, 12, FALSE)</f>
        <v>#N/A</v>
      </c>
      <c r="N923" t="e">
        <f>VLOOKUP($C923, Egli_UPEC_metadata_provided!$A$2:$M$826, 13, FALSE)</f>
        <v>#N/A</v>
      </c>
      <c r="O923" t="e">
        <f>VLOOKUP($C923, Egli_UPEC_metadata_provided!$A$2:$N$826, 14, FALSE)</f>
        <v>#N/A</v>
      </c>
    </row>
    <row r="924" spans="1:15" x14ac:dyDescent="0.2">
      <c r="A924" t="s">
        <v>1910</v>
      </c>
      <c r="B924" t="s">
        <v>4352</v>
      </c>
      <c r="C924" t="s">
        <v>4352</v>
      </c>
      <c r="D924" t="e">
        <f>VLOOKUP($C924, Egli_UPEC_metadata_provided!$A$2:$M$826, 3, FALSE)</f>
        <v>#N/A</v>
      </c>
      <c r="E924" t="e">
        <f>VLOOKUP($C924, Egli_UPEC_metadata_provided!$A$2:$M$826, 4, FALSE)</f>
        <v>#N/A</v>
      </c>
      <c r="F924" t="e">
        <f>VLOOKUP($C924, Egli_UPEC_metadata_provided!$A$2:$M$826, 5, FALSE)</f>
        <v>#N/A</v>
      </c>
      <c r="G924" t="e">
        <f>VLOOKUP($C924, Egli_UPEC_metadata_provided!$A$2:$M$826, 6, FALSE)</f>
        <v>#N/A</v>
      </c>
      <c r="H924" t="e">
        <f>VLOOKUP($C924, Egli_UPEC_metadata_provided!$A$2:$M$826, 7, FALSE)</f>
        <v>#N/A</v>
      </c>
      <c r="I924" t="e">
        <f>VLOOKUP($C924, Egli_UPEC_metadata_provided!$A$2:$M$826, 8, FALSE)</f>
        <v>#N/A</v>
      </c>
      <c r="J924" t="e">
        <f>VLOOKUP($C924, Egli_UPEC_metadata_provided!$A$2:$M$826, 9, FALSE)</f>
        <v>#N/A</v>
      </c>
      <c r="K924" t="e">
        <f>VLOOKUP($C924, Egli_UPEC_metadata_provided!$A$2:$M$826, 10, FALSE)</f>
        <v>#N/A</v>
      </c>
      <c r="L924" t="e">
        <f>VLOOKUP($C924, Egli_UPEC_metadata_provided!$A$2:$M$826, 11, FALSE)</f>
        <v>#N/A</v>
      </c>
      <c r="M924" t="e">
        <f>VLOOKUP($C924, Egli_UPEC_metadata_provided!$A$2:$M$826, 12, FALSE)</f>
        <v>#N/A</v>
      </c>
      <c r="N924" t="e">
        <f>VLOOKUP($C924, Egli_UPEC_metadata_provided!$A$2:$M$826, 13, FALSE)</f>
        <v>#N/A</v>
      </c>
      <c r="O924" t="e">
        <f>VLOOKUP($C924, Egli_UPEC_metadata_provided!$A$2:$N$826, 14, FALSE)</f>
        <v>#N/A</v>
      </c>
    </row>
    <row r="925" spans="1:15" x14ac:dyDescent="0.2">
      <c r="A925" t="s">
        <v>1927</v>
      </c>
      <c r="B925" t="s">
        <v>4224</v>
      </c>
      <c r="C925" t="s">
        <v>4224</v>
      </c>
      <c r="D925" t="e">
        <f>VLOOKUP($C925, Egli_UPEC_metadata_provided!$A$2:$M$826, 3, FALSE)</f>
        <v>#N/A</v>
      </c>
      <c r="E925" t="e">
        <f>VLOOKUP($C925, Egli_UPEC_metadata_provided!$A$2:$M$826, 4, FALSE)</f>
        <v>#N/A</v>
      </c>
      <c r="F925" t="e">
        <f>VLOOKUP($C925, Egli_UPEC_metadata_provided!$A$2:$M$826, 5, FALSE)</f>
        <v>#N/A</v>
      </c>
      <c r="G925" t="e">
        <f>VLOOKUP($C925, Egli_UPEC_metadata_provided!$A$2:$M$826, 6, FALSE)</f>
        <v>#N/A</v>
      </c>
      <c r="H925" t="e">
        <f>VLOOKUP($C925, Egli_UPEC_metadata_provided!$A$2:$M$826, 7, FALSE)</f>
        <v>#N/A</v>
      </c>
      <c r="I925" t="e">
        <f>VLOOKUP($C925, Egli_UPEC_metadata_provided!$A$2:$M$826, 8, FALSE)</f>
        <v>#N/A</v>
      </c>
      <c r="J925" t="e">
        <f>VLOOKUP($C925, Egli_UPEC_metadata_provided!$A$2:$M$826, 9, FALSE)</f>
        <v>#N/A</v>
      </c>
      <c r="K925" t="e">
        <f>VLOOKUP($C925, Egli_UPEC_metadata_provided!$A$2:$M$826, 10, FALSE)</f>
        <v>#N/A</v>
      </c>
      <c r="L925" t="e">
        <f>VLOOKUP($C925, Egli_UPEC_metadata_provided!$A$2:$M$826, 11, FALSE)</f>
        <v>#N/A</v>
      </c>
      <c r="M925" t="e">
        <f>VLOOKUP($C925, Egli_UPEC_metadata_provided!$A$2:$M$826, 12, FALSE)</f>
        <v>#N/A</v>
      </c>
      <c r="N925" t="e">
        <f>VLOOKUP($C925, Egli_UPEC_metadata_provided!$A$2:$M$826, 13, FALSE)</f>
        <v>#N/A</v>
      </c>
      <c r="O925" t="e">
        <f>VLOOKUP($C925, Egli_UPEC_metadata_provided!$A$2:$N$826, 14, FALSE)</f>
        <v>#N/A</v>
      </c>
    </row>
    <row r="926" spans="1:15" x14ac:dyDescent="0.2">
      <c r="A926" t="s">
        <v>1944</v>
      </c>
      <c r="B926" t="s">
        <v>4184</v>
      </c>
      <c r="C926" t="s">
        <v>4184</v>
      </c>
      <c r="D926" t="e">
        <f>VLOOKUP($C926, Egli_UPEC_metadata_provided!$A$2:$M$826, 3, FALSE)</f>
        <v>#N/A</v>
      </c>
      <c r="E926" t="e">
        <f>VLOOKUP($C926, Egli_UPEC_metadata_provided!$A$2:$M$826, 4, FALSE)</f>
        <v>#N/A</v>
      </c>
      <c r="F926" t="e">
        <f>VLOOKUP($C926, Egli_UPEC_metadata_provided!$A$2:$M$826, 5, FALSE)</f>
        <v>#N/A</v>
      </c>
      <c r="G926" t="e">
        <f>VLOOKUP($C926, Egli_UPEC_metadata_provided!$A$2:$M$826, 6, FALSE)</f>
        <v>#N/A</v>
      </c>
      <c r="H926" t="e">
        <f>VLOOKUP($C926, Egli_UPEC_metadata_provided!$A$2:$M$826, 7, FALSE)</f>
        <v>#N/A</v>
      </c>
      <c r="I926" t="e">
        <f>VLOOKUP($C926, Egli_UPEC_metadata_provided!$A$2:$M$826, 8, FALSE)</f>
        <v>#N/A</v>
      </c>
      <c r="J926" t="e">
        <f>VLOOKUP($C926, Egli_UPEC_metadata_provided!$A$2:$M$826, 9, FALSE)</f>
        <v>#N/A</v>
      </c>
      <c r="K926" t="e">
        <f>VLOOKUP($C926, Egli_UPEC_metadata_provided!$A$2:$M$826, 10, FALSE)</f>
        <v>#N/A</v>
      </c>
      <c r="L926" t="e">
        <f>VLOOKUP($C926, Egli_UPEC_metadata_provided!$A$2:$M$826, 11, FALSE)</f>
        <v>#N/A</v>
      </c>
      <c r="M926" t="e">
        <f>VLOOKUP($C926, Egli_UPEC_metadata_provided!$A$2:$M$826, 12, FALSE)</f>
        <v>#N/A</v>
      </c>
      <c r="N926" t="e">
        <f>VLOOKUP($C926, Egli_UPEC_metadata_provided!$A$2:$M$826, 13, FALSE)</f>
        <v>#N/A</v>
      </c>
      <c r="O926" t="e">
        <f>VLOOKUP($C926, Egli_UPEC_metadata_provided!$A$2:$N$826, 14, FALSE)</f>
        <v>#N/A</v>
      </c>
    </row>
    <row r="927" spans="1:15" x14ac:dyDescent="0.2">
      <c r="A927" t="s">
        <v>1947</v>
      </c>
      <c r="B927" t="s">
        <v>4227</v>
      </c>
      <c r="C927" t="s">
        <v>4227</v>
      </c>
      <c r="D927" t="e">
        <f>VLOOKUP($C927, Egli_UPEC_metadata_provided!$A$2:$M$826, 3, FALSE)</f>
        <v>#N/A</v>
      </c>
      <c r="E927" t="e">
        <f>VLOOKUP($C927, Egli_UPEC_metadata_provided!$A$2:$M$826, 4, FALSE)</f>
        <v>#N/A</v>
      </c>
      <c r="F927" t="e">
        <f>VLOOKUP($C927, Egli_UPEC_metadata_provided!$A$2:$M$826, 5, FALSE)</f>
        <v>#N/A</v>
      </c>
      <c r="G927" t="e">
        <f>VLOOKUP($C927, Egli_UPEC_metadata_provided!$A$2:$M$826, 6, FALSE)</f>
        <v>#N/A</v>
      </c>
      <c r="H927" t="e">
        <f>VLOOKUP($C927, Egli_UPEC_metadata_provided!$A$2:$M$826, 7, FALSE)</f>
        <v>#N/A</v>
      </c>
      <c r="I927" t="e">
        <f>VLOOKUP($C927, Egli_UPEC_metadata_provided!$A$2:$M$826, 8, FALSE)</f>
        <v>#N/A</v>
      </c>
      <c r="J927" t="e">
        <f>VLOOKUP($C927, Egli_UPEC_metadata_provided!$A$2:$M$826, 9, FALSE)</f>
        <v>#N/A</v>
      </c>
      <c r="K927" t="e">
        <f>VLOOKUP($C927, Egli_UPEC_metadata_provided!$A$2:$M$826, 10, FALSE)</f>
        <v>#N/A</v>
      </c>
      <c r="L927" t="e">
        <f>VLOOKUP($C927, Egli_UPEC_metadata_provided!$A$2:$M$826, 11, FALSE)</f>
        <v>#N/A</v>
      </c>
      <c r="M927" t="e">
        <f>VLOOKUP($C927, Egli_UPEC_metadata_provided!$A$2:$M$826, 12, FALSE)</f>
        <v>#N/A</v>
      </c>
      <c r="N927" t="e">
        <f>VLOOKUP($C927, Egli_UPEC_metadata_provided!$A$2:$M$826, 13, FALSE)</f>
        <v>#N/A</v>
      </c>
      <c r="O927" t="e">
        <f>VLOOKUP($C927, Egli_UPEC_metadata_provided!$A$2:$N$826, 14, FALSE)</f>
        <v>#N/A</v>
      </c>
    </row>
    <row r="928" spans="1:15" x14ac:dyDescent="0.2">
      <c r="A928" t="s">
        <v>1954</v>
      </c>
      <c r="B928" t="s">
        <v>4228</v>
      </c>
      <c r="C928" t="s">
        <v>4228</v>
      </c>
      <c r="D928" t="e">
        <f>VLOOKUP($C928, Egli_UPEC_metadata_provided!$A$2:$M$826, 3, FALSE)</f>
        <v>#N/A</v>
      </c>
      <c r="E928" t="e">
        <f>VLOOKUP($C928, Egli_UPEC_metadata_provided!$A$2:$M$826, 4, FALSE)</f>
        <v>#N/A</v>
      </c>
      <c r="F928" t="e">
        <f>VLOOKUP($C928, Egli_UPEC_metadata_provided!$A$2:$M$826, 5, FALSE)</f>
        <v>#N/A</v>
      </c>
      <c r="G928" t="e">
        <f>VLOOKUP($C928, Egli_UPEC_metadata_provided!$A$2:$M$826, 6, FALSE)</f>
        <v>#N/A</v>
      </c>
      <c r="H928" t="e">
        <f>VLOOKUP($C928, Egli_UPEC_metadata_provided!$A$2:$M$826, 7, FALSE)</f>
        <v>#N/A</v>
      </c>
      <c r="I928" t="e">
        <f>VLOOKUP($C928, Egli_UPEC_metadata_provided!$A$2:$M$826, 8, FALSE)</f>
        <v>#N/A</v>
      </c>
      <c r="J928" t="e">
        <f>VLOOKUP($C928, Egli_UPEC_metadata_provided!$A$2:$M$826, 9, FALSE)</f>
        <v>#N/A</v>
      </c>
      <c r="K928" t="e">
        <f>VLOOKUP($C928, Egli_UPEC_metadata_provided!$A$2:$M$826, 10, FALSE)</f>
        <v>#N/A</v>
      </c>
      <c r="L928" t="e">
        <f>VLOOKUP($C928, Egli_UPEC_metadata_provided!$A$2:$M$826, 11, FALSE)</f>
        <v>#N/A</v>
      </c>
      <c r="M928" t="e">
        <f>VLOOKUP($C928, Egli_UPEC_metadata_provided!$A$2:$M$826, 12, FALSE)</f>
        <v>#N/A</v>
      </c>
      <c r="N928" t="e">
        <f>VLOOKUP($C928, Egli_UPEC_metadata_provided!$A$2:$M$826, 13, FALSE)</f>
        <v>#N/A</v>
      </c>
      <c r="O928" t="e">
        <f>VLOOKUP($C928, Egli_UPEC_metadata_provided!$A$2:$N$826, 14, FALSE)</f>
        <v>#N/A</v>
      </c>
    </row>
    <row r="929" spans="1:15" x14ac:dyDescent="0.2">
      <c r="A929" t="s">
        <v>1961</v>
      </c>
      <c r="B929" t="s">
        <v>4230</v>
      </c>
      <c r="C929" t="s">
        <v>4230</v>
      </c>
      <c r="D929" t="e">
        <f>VLOOKUP($C929, Egli_UPEC_metadata_provided!$A$2:$M$826, 3, FALSE)</f>
        <v>#N/A</v>
      </c>
      <c r="E929" t="e">
        <f>VLOOKUP($C929, Egli_UPEC_metadata_provided!$A$2:$M$826, 4, FALSE)</f>
        <v>#N/A</v>
      </c>
      <c r="F929" t="e">
        <f>VLOOKUP($C929, Egli_UPEC_metadata_provided!$A$2:$M$826, 5, FALSE)</f>
        <v>#N/A</v>
      </c>
      <c r="G929" t="e">
        <f>VLOOKUP($C929, Egli_UPEC_metadata_provided!$A$2:$M$826, 6, FALSE)</f>
        <v>#N/A</v>
      </c>
      <c r="H929" t="e">
        <f>VLOOKUP($C929, Egli_UPEC_metadata_provided!$A$2:$M$826, 7, FALSE)</f>
        <v>#N/A</v>
      </c>
      <c r="I929" t="e">
        <f>VLOOKUP($C929, Egli_UPEC_metadata_provided!$A$2:$M$826, 8, FALSE)</f>
        <v>#N/A</v>
      </c>
      <c r="J929" t="e">
        <f>VLOOKUP($C929, Egli_UPEC_metadata_provided!$A$2:$M$826, 9, FALSE)</f>
        <v>#N/A</v>
      </c>
      <c r="K929" t="e">
        <f>VLOOKUP($C929, Egli_UPEC_metadata_provided!$A$2:$M$826, 10, FALSE)</f>
        <v>#N/A</v>
      </c>
      <c r="L929" t="e">
        <f>VLOOKUP($C929, Egli_UPEC_metadata_provided!$A$2:$M$826, 11, FALSE)</f>
        <v>#N/A</v>
      </c>
      <c r="M929" t="e">
        <f>VLOOKUP($C929, Egli_UPEC_metadata_provided!$A$2:$M$826, 12, FALSE)</f>
        <v>#N/A</v>
      </c>
      <c r="N929" t="e">
        <f>VLOOKUP($C929, Egli_UPEC_metadata_provided!$A$2:$M$826, 13, FALSE)</f>
        <v>#N/A</v>
      </c>
      <c r="O929" t="e">
        <f>VLOOKUP($C929, Egli_UPEC_metadata_provided!$A$2:$N$826, 14, FALSE)</f>
        <v>#N/A</v>
      </c>
    </row>
    <row r="930" spans="1:15" x14ac:dyDescent="0.2">
      <c r="A930" t="s">
        <v>1974</v>
      </c>
      <c r="B930" t="s">
        <v>4231</v>
      </c>
      <c r="C930" t="s">
        <v>4231</v>
      </c>
      <c r="D930" t="e">
        <f>VLOOKUP($C930, Egli_UPEC_metadata_provided!$A$2:$M$826, 3, FALSE)</f>
        <v>#N/A</v>
      </c>
      <c r="E930" t="e">
        <f>VLOOKUP($C930, Egli_UPEC_metadata_provided!$A$2:$M$826, 4, FALSE)</f>
        <v>#N/A</v>
      </c>
      <c r="F930" t="e">
        <f>VLOOKUP($C930, Egli_UPEC_metadata_provided!$A$2:$M$826, 5, FALSE)</f>
        <v>#N/A</v>
      </c>
      <c r="G930" t="e">
        <f>VLOOKUP($C930, Egli_UPEC_metadata_provided!$A$2:$M$826, 6, FALSE)</f>
        <v>#N/A</v>
      </c>
      <c r="H930" t="e">
        <f>VLOOKUP($C930, Egli_UPEC_metadata_provided!$A$2:$M$826, 7, FALSE)</f>
        <v>#N/A</v>
      </c>
      <c r="I930" t="e">
        <f>VLOOKUP($C930, Egli_UPEC_metadata_provided!$A$2:$M$826, 8, FALSE)</f>
        <v>#N/A</v>
      </c>
      <c r="J930" t="e">
        <f>VLOOKUP($C930, Egli_UPEC_metadata_provided!$A$2:$M$826, 9, FALSE)</f>
        <v>#N/A</v>
      </c>
      <c r="K930" t="e">
        <f>VLOOKUP($C930, Egli_UPEC_metadata_provided!$A$2:$M$826, 10, FALSE)</f>
        <v>#N/A</v>
      </c>
      <c r="L930" t="e">
        <f>VLOOKUP($C930, Egli_UPEC_metadata_provided!$A$2:$M$826, 11, FALSE)</f>
        <v>#N/A</v>
      </c>
      <c r="M930" t="e">
        <f>VLOOKUP($C930, Egli_UPEC_metadata_provided!$A$2:$M$826, 12, FALSE)</f>
        <v>#N/A</v>
      </c>
      <c r="N930" t="e">
        <f>VLOOKUP($C930, Egli_UPEC_metadata_provided!$A$2:$M$826, 13, FALSE)</f>
        <v>#N/A</v>
      </c>
      <c r="O930" t="e">
        <f>VLOOKUP($C930, Egli_UPEC_metadata_provided!$A$2:$N$826, 14, FALSE)</f>
        <v>#N/A</v>
      </c>
    </row>
    <row r="931" spans="1:15" x14ac:dyDescent="0.2">
      <c r="A931" t="s">
        <v>1983</v>
      </c>
      <c r="B931" t="s">
        <v>4353</v>
      </c>
      <c r="C931" t="s">
        <v>4353</v>
      </c>
      <c r="D931" t="e">
        <f>VLOOKUP($C931, Egli_UPEC_metadata_provided!$A$2:$M$826, 3, FALSE)</f>
        <v>#N/A</v>
      </c>
      <c r="E931" t="e">
        <f>VLOOKUP($C931, Egli_UPEC_metadata_provided!$A$2:$M$826, 4, FALSE)</f>
        <v>#N/A</v>
      </c>
      <c r="F931" t="e">
        <f>VLOOKUP($C931, Egli_UPEC_metadata_provided!$A$2:$M$826, 5, FALSE)</f>
        <v>#N/A</v>
      </c>
      <c r="G931" t="e">
        <f>VLOOKUP($C931, Egli_UPEC_metadata_provided!$A$2:$M$826, 6, FALSE)</f>
        <v>#N/A</v>
      </c>
      <c r="H931" t="e">
        <f>VLOOKUP($C931, Egli_UPEC_metadata_provided!$A$2:$M$826, 7, FALSE)</f>
        <v>#N/A</v>
      </c>
      <c r="I931" t="e">
        <f>VLOOKUP($C931, Egli_UPEC_metadata_provided!$A$2:$M$826, 8, FALSE)</f>
        <v>#N/A</v>
      </c>
      <c r="J931" t="e">
        <f>VLOOKUP($C931, Egli_UPEC_metadata_provided!$A$2:$M$826, 9, FALSE)</f>
        <v>#N/A</v>
      </c>
      <c r="K931" t="e">
        <f>VLOOKUP($C931, Egli_UPEC_metadata_provided!$A$2:$M$826, 10, FALSE)</f>
        <v>#N/A</v>
      </c>
      <c r="L931" t="e">
        <f>VLOOKUP($C931, Egli_UPEC_metadata_provided!$A$2:$M$826, 11, FALSE)</f>
        <v>#N/A</v>
      </c>
      <c r="M931" t="e">
        <f>VLOOKUP($C931, Egli_UPEC_metadata_provided!$A$2:$M$826, 12, FALSE)</f>
        <v>#N/A</v>
      </c>
      <c r="N931" t="e">
        <f>VLOOKUP($C931, Egli_UPEC_metadata_provided!$A$2:$M$826, 13, FALSE)</f>
        <v>#N/A</v>
      </c>
      <c r="O931" t="e">
        <f>VLOOKUP($C931, Egli_UPEC_metadata_provided!$A$2:$N$826, 14, FALSE)</f>
        <v>#N/A</v>
      </c>
    </row>
    <row r="932" spans="1:15" x14ac:dyDescent="0.2">
      <c r="A932" t="s">
        <v>1998</v>
      </c>
      <c r="B932" t="s">
        <v>4232</v>
      </c>
      <c r="C932" t="s">
        <v>4232</v>
      </c>
      <c r="D932" t="e">
        <f>VLOOKUP($C932, Egli_UPEC_metadata_provided!$A$2:$M$826, 3, FALSE)</f>
        <v>#N/A</v>
      </c>
      <c r="E932" t="e">
        <f>VLOOKUP($C932, Egli_UPEC_metadata_provided!$A$2:$M$826, 4, FALSE)</f>
        <v>#N/A</v>
      </c>
      <c r="F932" t="e">
        <f>VLOOKUP($C932, Egli_UPEC_metadata_provided!$A$2:$M$826, 5, FALSE)</f>
        <v>#N/A</v>
      </c>
      <c r="G932" t="e">
        <f>VLOOKUP($C932, Egli_UPEC_metadata_provided!$A$2:$M$826, 6, FALSE)</f>
        <v>#N/A</v>
      </c>
      <c r="H932" t="e">
        <f>VLOOKUP($C932, Egli_UPEC_metadata_provided!$A$2:$M$826, 7, FALSE)</f>
        <v>#N/A</v>
      </c>
      <c r="I932" t="e">
        <f>VLOOKUP($C932, Egli_UPEC_metadata_provided!$A$2:$M$826, 8, FALSE)</f>
        <v>#N/A</v>
      </c>
      <c r="J932" t="e">
        <f>VLOOKUP($C932, Egli_UPEC_metadata_provided!$A$2:$M$826, 9, FALSE)</f>
        <v>#N/A</v>
      </c>
      <c r="K932" t="e">
        <f>VLOOKUP($C932, Egli_UPEC_metadata_provided!$A$2:$M$826, 10, FALSE)</f>
        <v>#N/A</v>
      </c>
      <c r="L932" t="e">
        <f>VLOOKUP($C932, Egli_UPEC_metadata_provided!$A$2:$M$826, 11, FALSE)</f>
        <v>#N/A</v>
      </c>
      <c r="M932" t="e">
        <f>VLOOKUP($C932, Egli_UPEC_metadata_provided!$A$2:$M$826, 12, FALSE)</f>
        <v>#N/A</v>
      </c>
      <c r="N932" t="e">
        <f>VLOOKUP($C932, Egli_UPEC_metadata_provided!$A$2:$M$826, 13, FALSE)</f>
        <v>#N/A</v>
      </c>
      <c r="O932" t="e">
        <f>VLOOKUP($C932, Egli_UPEC_metadata_provided!$A$2:$N$826, 14, FALSE)</f>
        <v>#N/A</v>
      </c>
    </row>
    <row r="933" spans="1:15" x14ac:dyDescent="0.2">
      <c r="A933" t="s">
        <v>2001</v>
      </c>
      <c r="B933" t="s">
        <v>4233</v>
      </c>
      <c r="C933" t="s">
        <v>4233</v>
      </c>
      <c r="D933" t="e">
        <f>VLOOKUP($C933, Egli_UPEC_metadata_provided!$A$2:$M$826, 3, FALSE)</f>
        <v>#N/A</v>
      </c>
      <c r="E933" t="e">
        <f>VLOOKUP($C933, Egli_UPEC_metadata_provided!$A$2:$M$826, 4, FALSE)</f>
        <v>#N/A</v>
      </c>
      <c r="F933" t="e">
        <f>VLOOKUP($C933, Egli_UPEC_metadata_provided!$A$2:$M$826, 5, FALSE)</f>
        <v>#N/A</v>
      </c>
      <c r="G933" t="e">
        <f>VLOOKUP($C933, Egli_UPEC_metadata_provided!$A$2:$M$826, 6, FALSE)</f>
        <v>#N/A</v>
      </c>
      <c r="H933" t="e">
        <f>VLOOKUP($C933, Egli_UPEC_metadata_provided!$A$2:$M$826, 7, FALSE)</f>
        <v>#N/A</v>
      </c>
      <c r="I933" t="e">
        <f>VLOOKUP($C933, Egli_UPEC_metadata_provided!$A$2:$M$826, 8, FALSE)</f>
        <v>#N/A</v>
      </c>
      <c r="J933" t="e">
        <f>VLOOKUP($C933, Egli_UPEC_metadata_provided!$A$2:$M$826, 9, FALSE)</f>
        <v>#N/A</v>
      </c>
      <c r="K933" t="e">
        <f>VLOOKUP($C933, Egli_UPEC_metadata_provided!$A$2:$M$826, 10, FALSE)</f>
        <v>#N/A</v>
      </c>
      <c r="L933" t="e">
        <f>VLOOKUP($C933, Egli_UPEC_metadata_provided!$A$2:$M$826, 11, FALSE)</f>
        <v>#N/A</v>
      </c>
      <c r="M933" t="e">
        <f>VLOOKUP($C933, Egli_UPEC_metadata_provided!$A$2:$M$826, 12, FALSE)</f>
        <v>#N/A</v>
      </c>
      <c r="N933" t="e">
        <f>VLOOKUP($C933, Egli_UPEC_metadata_provided!$A$2:$M$826, 13, FALSE)</f>
        <v>#N/A</v>
      </c>
      <c r="O933" t="e">
        <f>VLOOKUP($C933, Egli_UPEC_metadata_provided!$A$2:$N$826, 14, FALSE)</f>
        <v>#N/A</v>
      </c>
    </row>
    <row r="934" spans="1:15" x14ac:dyDescent="0.2">
      <c r="A934" t="s">
        <v>2026</v>
      </c>
      <c r="B934" t="s">
        <v>4235</v>
      </c>
      <c r="C934" t="s">
        <v>4235</v>
      </c>
      <c r="D934" t="e">
        <f>VLOOKUP($C934, Egli_UPEC_metadata_provided!$A$2:$M$826, 3, FALSE)</f>
        <v>#N/A</v>
      </c>
      <c r="E934" t="e">
        <f>VLOOKUP($C934, Egli_UPEC_metadata_provided!$A$2:$M$826, 4, FALSE)</f>
        <v>#N/A</v>
      </c>
      <c r="F934" t="e">
        <f>VLOOKUP($C934, Egli_UPEC_metadata_provided!$A$2:$M$826, 5, FALSE)</f>
        <v>#N/A</v>
      </c>
      <c r="G934" t="e">
        <f>VLOOKUP($C934, Egli_UPEC_metadata_provided!$A$2:$M$826, 6, FALSE)</f>
        <v>#N/A</v>
      </c>
      <c r="H934" t="e">
        <f>VLOOKUP($C934, Egli_UPEC_metadata_provided!$A$2:$M$826, 7, FALSE)</f>
        <v>#N/A</v>
      </c>
      <c r="I934" t="e">
        <f>VLOOKUP($C934, Egli_UPEC_metadata_provided!$A$2:$M$826, 8, FALSE)</f>
        <v>#N/A</v>
      </c>
      <c r="J934" t="e">
        <f>VLOOKUP($C934, Egli_UPEC_metadata_provided!$A$2:$M$826, 9, FALSE)</f>
        <v>#N/A</v>
      </c>
      <c r="K934" t="e">
        <f>VLOOKUP($C934, Egli_UPEC_metadata_provided!$A$2:$M$826, 10, FALSE)</f>
        <v>#N/A</v>
      </c>
      <c r="L934" t="e">
        <f>VLOOKUP($C934, Egli_UPEC_metadata_provided!$A$2:$M$826, 11, FALSE)</f>
        <v>#N/A</v>
      </c>
      <c r="M934" t="e">
        <f>VLOOKUP($C934, Egli_UPEC_metadata_provided!$A$2:$M$826, 12, FALSE)</f>
        <v>#N/A</v>
      </c>
      <c r="N934" t="e">
        <f>VLOOKUP($C934, Egli_UPEC_metadata_provided!$A$2:$M$826, 13, FALSE)</f>
        <v>#N/A</v>
      </c>
      <c r="O934" t="e">
        <f>VLOOKUP($C934, Egli_UPEC_metadata_provided!$A$2:$N$826, 14, FALSE)</f>
        <v>#N/A</v>
      </c>
    </row>
    <row r="935" spans="1:15" x14ac:dyDescent="0.2">
      <c r="A935" t="s">
        <v>2033</v>
      </c>
      <c r="B935" t="s">
        <v>4236</v>
      </c>
      <c r="C935" t="s">
        <v>4236</v>
      </c>
      <c r="D935" t="e">
        <f>VLOOKUP($C935, Egli_UPEC_metadata_provided!$A$2:$M$826, 3, FALSE)</f>
        <v>#N/A</v>
      </c>
      <c r="E935" t="e">
        <f>VLOOKUP($C935, Egli_UPEC_metadata_provided!$A$2:$M$826, 4, FALSE)</f>
        <v>#N/A</v>
      </c>
      <c r="F935" t="e">
        <f>VLOOKUP($C935, Egli_UPEC_metadata_provided!$A$2:$M$826, 5, FALSE)</f>
        <v>#N/A</v>
      </c>
      <c r="G935" t="e">
        <f>VLOOKUP($C935, Egli_UPEC_metadata_provided!$A$2:$M$826, 6, FALSE)</f>
        <v>#N/A</v>
      </c>
      <c r="H935" t="e">
        <f>VLOOKUP($C935, Egli_UPEC_metadata_provided!$A$2:$M$826, 7, FALSE)</f>
        <v>#N/A</v>
      </c>
      <c r="I935" t="e">
        <f>VLOOKUP($C935, Egli_UPEC_metadata_provided!$A$2:$M$826, 8, FALSE)</f>
        <v>#N/A</v>
      </c>
      <c r="J935" t="e">
        <f>VLOOKUP($C935, Egli_UPEC_metadata_provided!$A$2:$M$826, 9, FALSE)</f>
        <v>#N/A</v>
      </c>
      <c r="K935" t="e">
        <f>VLOOKUP($C935, Egli_UPEC_metadata_provided!$A$2:$M$826, 10, FALSE)</f>
        <v>#N/A</v>
      </c>
      <c r="L935" t="e">
        <f>VLOOKUP($C935, Egli_UPEC_metadata_provided!$A$2:$M$826, 11, FALSE)</f>
        <v>#N/A</v>
      </c>
      <c r="M935" t="e">
        <f>VLOOKUP($C935, Egli_UPEC_metadata_provided!$A$2:$M$826, 12, FALSE)</f>
        <v>#N/A</v>
      </c>
      <c r="N935" t="e">
        <f>VLOOKUP($C935, Egli_UPEC_metadata_provided!$A$2:$M$826, 13, FALSE)</f>
        <v>#N/A</v>
      </c>
      <c r="O935" t="e">
        <f>VLOOKUP($C935, Egli_UPEC_metadata_provided!$A$2:$N$826, 14, FALSE)</f>
        <v>#N/A</v>
      </c>
    </row>
    <row r="936" spans="1:15" x14ac:dyDescent="0.2">
      <c r="A936" t="s">
        <v>2049</v>
      </c>
      <c r="B936" t="s">
        <v>4237</v>
      </c>
      <c r="C936" t="s">
        <v>4407</v>
      </c>
      <c r="D936" t="e">
        <f>VLOOKUP($C936, Egli_UPEC_metadata_provided!$A$2:$M$826, 3, FALSE)</f>
        <v>#N/A</v>
      </c>
      <c r="E936" t="e">
        <f>VLOOKUP($C936, Egli_UPEC_metadata_provided!$A$2:$M$826, 4, FALSE)</f>
        <v>#N/A</v>
      </c>
      <c r="F936" t="e">
        <f>VLOOKUP($C936, Egli_UPEC_metadata_provided!$A$2:$M$826, 5, FALSE)</f>
        <v>#N/A</v>
      </c>
      <c r="G936" t="e">
        <f>VLOOKUP($C936, Egli_UPEC_metadata_provided!$A$2:$M$826, 6, FALSE)</f>
        <v>#N/A</v>
      </c>
      <c r="H936" t="e">
        <f>VLOOKUP($C936, Egli_UPEC_metadata_provided!$A$2:$M$826, 7, FALSE)</f>
        <v>#N/A</v>
      </c>
      <c r="I936" t="e">
        <f>VLOOKUP($C936, Egli_UPEC_metadata_provided!$A$2:$M$826, 8, FALSE)</f>
        <v>#N/A</v>
      </c>
      <c r="J936" t="e">
        <f>VLOOKUP($C936, Egli_UPEC_metadata_provided!$A$2:$M$826, 9, FALSE)</f>
        <v>#N/A</v>
      </c>
      <c r="K936" t="e">
        <f>VLOOKUP($C936, Egli_UPEC_metadata_provided!$A$2:$M$826, 10, FALSE)</f>
        <v>#N/A</v>
      </c>
      <c r="L936" t="e">
        <f>VLOOKUP($C936, Egli_UPEC_metadata_provided!$A$2:$M$826, 11, FALSE)</f>
        <v>#N/A</v>
      </c>
      <c r="M936" t="e">
        <f>VLOOKUP($C936, Egli_UPEC_metadata_provided!$A$2:$M$826, 12, FALSE)</f>
        <v>#N/A</v>
      </c>
      <c r="N936" t="e">
        <f>VLOOKUP($C936, Egli_UPEC_metadata_provided!$A$2:$M$826, 13, FALSE)</f>
        <v>#N/A</v>
      </c>
      <c r="O936" t="e">
        <f>VLOOKUP($C936, Egli_UPEC_metadata_provided!$A$2:$N$826, 14, FALSE)</f>
        <v>#N/A</v>
      </c>
    </row>
    <row r="937" spans="1:15" x14ac:dyDescent="0.2">
      <c r="A937" t="s">
        <v>2046</v>
      </c>
      <c r="B937" t="s">
        <v>4187</v>
      </c>
      <c r="C937" t="s">
        <v>4407</v>
      </c>
      <c r="D937" t="e">
        <f>VLOOKUP($C937, Egli_UPEC_metadata_provided!$A$2:$M$826, 3, FALSE)</f>
        <v>#N/A</v>
      </c>
      <c r="E937" t="e">
        <f>VLOOKUP($C937, Egli_UPEC_metadata_provided!$A$2:$M$826, 4, FALSE)</f>
        <v>#N/A</v>
      </c>
      <c r="F937" t="e">
        <f>VLOOKUP($C937, Egli_UPEC_metadata_provided!$A$2:$M$826, 5, FALSE)</f>
        <v>#N/A</v>
      </c>
      <c r="G937" t="e">
        <f>VLOOKUP($C937, Egli_UPEC_metadata_provided!$A$2:$M$826, 6, FALSE)</f>
        <v>#N/A</v>
      </c>
      <c r="H937" t="e">
        <f>VLOOKUP($C937, Egli_UPEC_metadata_provided!$A$2:$M$826, 7, FALSE)</f>
        <v>#N/A</v>
      </c>
      <c r="I937" t="e">
        <f>VLOOKUP($C937, Egli_UPEC_metadata_provided!$A$2:$M$826, 8, FALSE)</f>
        <v>#N/A</v>
      </c>
      <c r="J937" t="e">
        <f>VLOOKUP($C937, Egli_UPEC_metadata_provided!$A$2:$M$826, 9, FALSE)</f>
        <v>#N/A</v>
      </c>
      <c r="K937" t="e">
        <f>VLOOKUP($C937, Egli_UPEC_metadata_provided!$A$2:$M$826, 10, FALSE)</f>
        <v>#N/A</v>
      </c>
      <c r="L937" t="e">
        <f>VLOOKUP($C937, Egli_UPEC_metadata_provided!$A$2:$M$826, 11, FALSE)</f>
        <v>#N/A</v>
      </c>
      <c r="M937" t="e">
        <f>VLOOKUP($C937, Egli_UPEC_metadata_provided!$A$2:$M$826, 12, FALSE)</f>
        <v>#N/A</v>
      </c>
      <c r="N937" t="e">
        <f>VLOOKUP($C937, Egli_UPEC_metadata_provided!$A$2:$M$826, 13, FALSE)</f>
        <v>#N/A</v>
      </c>
      <c r="O937" t="e">
        <f>VLOOKUP($C937, Egli_UPEC_metadata_provided!$A$2:$N$826, 14, FALSE)</f>
        <v>#N/A</v>
      </c>
    </row>
    <row r="938" spans="1:15" x14ac:dyDescent="0.2">
      <c r="A938" t="s">
        <v>2054</v>
      </c>
      <c r="B938" t="s">
        <v>4238</v>
      </c>
      <c r="C938" t="s">
        <v>4238</v>
      </c>
      <c r="D938" t="e">
        <f>VLOOKUP($C938, Egli_UPEC_metadata_provided!$A$2:$M$826, 3, FALSE)</f>
        <v>#N/A</v>
      </c>
      <c r="E938" t="e">
        <f>VLOOKUP($C938, Egli_UPEC_metadata_provided!$A$2:$M$826, 4, FALSE)</f>
        <v>#N/A</v>
      </c>
      <c r="F938" t="e">
        <f>VLOOKUP($C938, Egli_UPEC_metadata_provided!$A$2:$M$826, 5, FALSE)</f>
        <v>#N/A</v>
      </c>
      <c r="G938" t="e">
        <f>VLOOKUP($C938, Egli_UPEC_metadata_provided!$A$2:$M$826, 6, FALSE)</f>
        <v>#N/A</v>
      </c>
      <c r="H938" t="e">
        <f>VLOOKUP($C938, Egli_UPEC_metadata_provided!$A$2:$M$826, 7, FALSE)</f>
        <v>#N/A</v>
      </c>
      <c r="I938" t="e">
        <f>VLOOKUP($C938, Egli_UPEC_metadata_provided!$A$2:$M$826, 8, FALSE)</f>
        <v>#N/A</v>
      </c>
      <c r="J938" t="e">
        <f>VLOOKUP($C938, Egli_UPEC_metadata_provided!$A$2:$M$826, 9, FALSE)</f>
        <v>#N/A</v>
      </c>
      <c r="K938" t="e">
        <f>VLOOKUP($C938, Egli_UPEC_metadata_provided!$A$2:$M$826, 10, FALSE)</f>
        <v>#N/A</v>
      </c>
      <c r="L938" t="e">
        <f>VLOOKUP($C938, Egli_UPEC_metadata_provided!$A$2:$M$826, 11, FALSE)</f>
        <v>#N/A</v>
      </c>
      <c r="M938" t="e">
        <f>VLOOKUP($C938, Egli_UPEC_metadata_provided!$A$2:$M$826, 12, FALSE)</f>
        <v>#N/A</v>
      </c>
      <c r="N938" t="e">
        <f>VLOOKUP($C938, Egli_UPEC_metadata_provided!$A$2:$M$826, 13, FALSE)</f>
        <v>#N/A</v>
      </c>
      <c r="O938" t="e">
        <f>VLOOKUP($C938, Egli_UPEC_metadata_provided!$A$2:$N$826, 14, FALSE)</f>
        <v>#N/A</v>
      </c>
    </row>
    <row r="939" spans="1:15" x14ac:dyDescent="0.2">
      <c r="A939" t="s">
        <v>2057</v>
      </c>
      <c r="B939" t="s">
        <v>4239</v>
      </c>
      <c r="C939" t="s">
        <v>4239</v>
      </c>
      <c r="D939" t="e">
        <f>VLOOKUP($C939, Egli_UPEC_metadata_provided!$A$2:$M$826, 3, FALSE)</f>
        <v>#N/A</v>
      </c>
      <c r="E939" t="e">
        <f>VLOOKUP($C939, Egli_UPEC_metadata_provided!$A$2:$M$826, 4, FALSE)</f>
        <v>#N/A</v>
      </c>
      <c r="F939" t="e">
        <f>VLOOKUP($C939, Egli_UPEC_metadata_provided!$A$2:$M$826, 5, FALSE)</f>
        <v>#N/A</v>
      </c>
      <c r="G939" t="e">
        <f>VLOOKUP($C939, Egli_UPEC_metadata_provided!$A$2:$M$826, 6, FALSE)</f>
        <v>#N/A</v>
      </c>
      <c r="H939" t="e">
        <f>VLOOKUP($C939, Egli_UPEC_metadata_provided!$A$2:$M$826, 7, FALSE)</f>
        <v>#N/A</v>
      </c>
      <c r="I939" t="e">
        <f>VLOOKUP($C939, Egli_UPEC_metadata_provided!$A$2:$M$826, 8, FALSE)</f>
        <v>#N/A</v>
      </c>
      <c r="J939" t="e">
        <f>VLOOKUP($C939, Egli_UPEC_metadata_provided!$A$2:$M$826, 9, FALSE)</f>
        <v>#N/A</v>
      </c>
      <c r="K939" t="e">
        <f>VLOOKUP($C939, Egli_UPEC_metadata_provided!$A$2:$M$826, 10, FALSE)</f>
        <v>#N/A</v>
      </c>
      <c r="L939" t="e">
        <f>VLOOKUP($C939, Egli_UPEC_metadata_provided!$A$2:$M$826, 11, FALSE)</f>
        <v>#N/A</v>
      </c>
      <c r="M939" t="e">
        <f>VLOOKUP($C939, Egli_UPEC_metadata_provided!$A$2:$M$826, 12, FALSE)</f>
        <v>#N/A</v>
      </c>
      <c r="N939" t="e">
        <f>VLOOKUP($C939, Egli_UPEC_metadata_provided!$A$2:$M$826, 13, FALSE)</f>
        <v>#N/A</v>
      </c>
      <c r="O939" t="e">
        <f>VLOOKUP($C939, Egli_UPEC_metadata_provided!$A$2:$N$826, 14, FALSE)</f>
        <v>#N/A</v>
      </c>
    </row>
    <row r="940" spans="1:15" x14ac:dyDescent="0.2">
      <c r="A940" t="s">
        <v>2079</v>
      </c>
      <c r="B940" t="s">
        <v>4242</v>
      </c>
      <c r="C940" t="s">
        <v>4406</v>
      </c>
      <c r="D940" t="e">
        <f>VLOOKUP($C940, Egli_UPEC_metadata_provided!$A$2:$M$826, 3, FALSE)</f>
        <v>#N/A</v>
      </c>
      <c r="E940" t="e">
        <f>VLOOKUP($C940, Egli_UPEC_metadata_provided!$A$2:$M$826, 4, FALSE)</f>
        <v>#N/A</v>
      </c>
      <c r="F940" t="e">
        <f>VLOOKUP($C940, Egli_UPEC_metadata_provided!$A$2:$M$826, 5, FALSE)</f>
        <v>#N/A</v>
      </c>
      <c r="G940" t="e">
        <f>VLOOKUP($C940, Egli_UPEC_metadata_provided!$A$2:$M$826, 6, FALSE)</f>
        <v>#N/A</v>
      </c>
      <c r="H940" t="e">
        <f>VLOOKUP($C940, Egli_UPEC_metadata_provided!$A$2:$M$826, 7, FALSE)</f>
        <v>#N/A</v>
      </c>
      <c r="I940" t="e">
        <f>VLOOKUP($C940, Egli_UPEC_metadata_provided!$A$2:$M$826, 8, FALSE)</f>
        <v>#N/A</v>
      </c>
      <c r="J940" t="e">
        <f>VLOOKUP($C940, Egli_UPEC_metadata_provided!$A$2:$M$826, 9, FALSE)</f>
        <v>#N/A</v>
      </c>
      <c r="K940" t="e">
        <f>VLOOKUP($C940, Egli_UPEC_metadata_provided!$A$2:$M$826, 10, FALSE)</f>
        <v>#N/A</v>
      </c>
      <c r="L940" t="e">
        <f>VLOOKUP($C940, Egli_UPEC_metadata_provided!$A$2:$M$826, 11, FALSE)</f>
        <v>#N/A</v>
      </c>
      <c r="M940" t="e">
        <f>VLOOKUP($C940, Egli_UPEC_metadata_provided!$A$2:$M$826, 12, FALSE)</f>
        <v>#N/A</v>
      </c>
      <c r="N940" t="e">
        <f>VLOOKUP($C940, Egli_UPEC_metadata_provided!$A$2:$M$826, 13, FALSE)</f>
        <v>#N/A</v>
      </c>
      <c r="O940" t="e">
        <f>VLOOKUP($C940, Egli_UPEC_metadata_provided!$A$2:$N$826, 14, FALSE)</f>
        <v>#N/A</v>
      </c>
    </row>
    <row r="941" spans="1:15" x14ac:dyDescent="0.2">
      <c r="A941" t="s">
        <v>2082</v>
      </c>
      <c r="B941" t="s">
        <v>4243</v>
      </c>
      <c r="C941" t="s">
        <v>4406</v>
      </c>
      <c r="D941" t="e">
        <f>VLOOKUP($C941, Egli_UPEC_metadata_provided!$A$2:$M$826, 3, FALSE)</f>
        <v>#N/A</v>
      </c>
      <c r="E941" t="e">
        <f>VLOOKUP($C941, Egli_UPEC_metadata_provided!$A$2:$M$826, 4, FALSE)</f>
        <v>#N/A</v>
      </c>
      <c r="F941" t="e">
        <f>VLOOKUP($C941, Egli_UPEC_metadata_provided!$A$2:$M$826, 5, FALSE)</f>
        <v>#N/A</v>
      </c>
      <c r="G941" t="e">
        <f>VLOOKUP($C941, Egli_UPEC_metadata_provided!$A$2:$M$826, 6, FALSE)</f>
        <v>#N/A</v>
      </c>
      <c r="H941" t="e">
        <f>VLOOKUP($C941, Egli_UPEC_metadata_provided!$A$2:$M$826, 7, FALSE)</f>
        <v>#N/A</v>
      </c>
      <c r="I941" t="e">
        <f>VLOOKUP($C941, Egli_UPEC_metadata_provided!$A$2:$M$826, 8, FALSE)</f>
        <v>#N/A</v>
      </c>
      <c r="J941" t="e">
        <f>VLOOKUP($C941, Egli_UPEC_metadata_provided!$A$2:$M$826, 9, FALSE)</f>
        <v>#N/A</v>
      </c>
      <c r="K941" t="e">
        <f>VLOOKUP($C941, Egli_UPEC_metadata_provided!$A$2:$M$826, 10, FALSE)</f>
        <v>#N/A</v>
      </c>
      <c r="L941" t="e">
        <f>VLOOKUP($C941, Egli_UPEC_metadata_provided!$A$2:$M$826, 11, FALSE)</f>
        <v>#N/A</v>
      </c>
      <c r="M941" t="e">
        <f>VLOOKUP($C941, Egli_UPEC_metadata_provided!$A$2:$M$826, 12, FALSE)</f>
        <v>#N/A</v>
      </c>
      <c r="N941" t="e">
        <f>VLOOKUP($C941, Egli_UPEC_metadata_provided!$A$2:$M$826, 13, FALSE)</f>
        <v>#N/A</v>
      </c>
      <c r="O941" t="e">
        <f>VLOOKUP($C941, Egli_UPEC_metadata_provided!$A$2:$N$826, 14, FALSE)</f>
        <v>#N/A</v>
      </c>
    </row>
    <row r="942" spans="1:15" x14ac:dyDescent="0.2">
      <c r="A942" t="s">
        <v>2085</v>
      </c>
      <c r="B942" t="s">
        <v>4244</v>
      </c>
      <c r="C942" t="s">
        <v>4406</v>
      </c>
      <c r="D942" t="e">
        <f>VLOOKUP($C942, Egli_UPEC_metadata_provided!$A$2:$M$826, 3, FALSE)</f>
        <v>#N/A</v>
      </c>
      <c r="E942" t="e">
        <f>VLOOKUP($C942, Egli_UPEC_metadata_provided!$A$2:$M$826, 4, FALSE)</f>
        <v>#N/A</v>
      </c>
      <c r="F942" t="e">
        <f>VLOOKUP($C942, Egli_UPEC_metadata_provided!$A$2:$M$826, 5, FALSE)</f>
        <v>#N/A</v>
      </c>
      <c r="G942" t="e">
        <f>VLOOKUP($C942, Egli_UPEC_metadata_provided!$A$2:$M$826, 6, FALSE)</f>
        <v>#N/A</v>
      </c>
      <c r="H942" t="e">
        <f>VLOOKUP($C942, Egli_UPEC_metadata_provided!$A$2:$M$826, 7, FALSE)</f>
        <v>#N/A</v>
      </c>
      <c r="I942" t="e">
        <f>VLOOKUP($C942, Egli_UPEC_metadata_provided!$A$2:$M$826, 8, FALSE)</f>
        <v>#N/A</v>
      </c>
      <c r="J942" t="e">
        <f>VLOOKUP($C942, Egli_UPEC_metadata_provided!$A$2:$M$826, 9, FALSE)</f>
        <v>#N/A</v>
      </c>
      <c r="K942" t="e">
        <f>VLOOKUP($C942, Egli_UPEC_metadata_provided!$A$2:$M$826, 10, FALSE)</f>
        <v>#N/A</v>
      </c>
      <c r="L942" t="e">
        <f>VLOOKUP($C942, Egli_UPEC_metadata_provided!$A$2:$M$826, 11, FALSE)</f>
        <v>#N/A</v>
      </c>
      <c r="M942" t="e">
        <f>VLOOKUP($C942, Egli_UPEC_metadata_provided!$A$2:$M$826, 12, FALSE)</f>
        <v>#N/A</v>
      </c>
      <c r="N942" t="e">
        <f>VLOOKUP($C942, Egli_UPEC_metadata_provided!$A$2:$M$826, 13, FALSE)</f>
        <v>#N/A</v>
      </c>
      <c r="O942" t="e">
        <f>VLOOKUP($C942, Egli_UPEC_metadata_provided!$A$2:$N$826, 14, FALSE)</f>
        <v>#N/A</v>
      </c>
    </row>
    <row r="943" spans="1:15" x14ac:dyDescent="0.2">
      <c r="A943" t="s">
        <v>2088</v>
      </c>
      <c r="B943" t="s">
        <v>4246</v>
      </c>
      <c r="C943" t="s">
        <v>4406</v>
      </c>
      <c r="D943" t="e">
        <f>VLOOKUP($C943, Egli_UPEC_metadata_provided!$A$2:$M$826, 3, FALSE)</f>
        <v>#N/A</v>
      </c>
      <c r="E943" t="e">
        <f>VLOOKUP($C943, Egli_UPEC_metadata_provided!$A$2:$M$826, 4, FALSE)</f>
        <v>#N/A</v>
      </c>
      <c r="F943" t="e">
        <f>VLOOKUP($C943, Egli_UPEC_metadata_provided!$A$2:$M$826, 5, FALSE)</f>
        <v>#N/A</v>
      </c>
      <c r="G943" t="e">
        <f>VLOOKUP($C943, Egli_UPEC_metadata_provided!$A$2:$M$826, 6, FALSE)</f>
        <v>#N/A</v>
      </c>
      <c r="H943" t="e">
        <f>VLOOKUP($C943, Egli_UPEC_metadata_provided!$A$2:$M$826, 7, FALSE)</f>
        <v>#N/A</v>
      </c>
      <c r="I943" t="e">
        <f>VLOOKUP($C943, Egli_UPEC_metadata_provided!$A$2:$M$826, 8, FALSE)</f>
        <v>#N/A</v>
      </c>
      <c r="J943" t="e">
        <f>VLOOKUP($C943, Egli_UPEC_metadata_provided!$A$2:$M$826, 9, FALSE)</f>
        <v>#N/A</v>
      </c>
      <c r="K943" t="e">
        <f>VLOOKUP($C943, Egli_UPEC_metadata_provided!$A$2:$M$826, 10, FALSE)</f>
        <v>#N/A</v>
      </c>
      <c r="L943" t="e">
        <f>VLOOKUP($C943, Egli_UPEC_metadata_provided!$A$2:$M$826, 11, FALSE)</f>
        <v>#N/A</v>
      </c>
      <c r="M943" t="e">
        <f>VLOOKUP($C943, Egli_UPEC_metadata_provided!$A$2:$M$826, 12, FALSE)</f>
        <v>#N/A</v>
      </c>
      <c r="N943" t="e">
        <f>VLOOKUP($C943, Egli_UPEC_metadata_provided!$A$2:$M$826, 13, FALSE)</f>
        <v>#N/A</v>
      </c>
      <c r="O943" t="e">
        <f>VLOOKUP($C943, Egli_UPEC_metadata_provided!$A$2:$N$826, 14, FALSE)</f>
        <v>#N/A</v>
      </c>
    </row>
    <row r="944" spans="1:15" x14ac:dyDescent="0.2">
      <c r="A944" t="s">
        <v>2100</v>
      </c>
      <c r="B944" t="s">
        <v>4354</v>
      </c>
      <c r="C944" t="s">
        <v>4406</v>
      </c>
      <c r="D944" t="e">
        <f>VLOOKUP($C944, Egli_UPEC_metadata_provided!$A$2:$M$826, 3, FALSE)</f>
        <v>#N/A</v>
      </c>
      <c r="E944" t="e">
        <f>VLOOKUP($C944, Egli_UPEC_metadata_provided!$A$2:$M$826, 4, FALSE)</f>
        <v>#N/A</v>
      </c>
      <c r="F944" t="e">
        <f>VLOOKUP($C944, Egli_UPEC_metadata_provided!$A$2:$M$826, 5, FALSE)</f>
        <v>#N/A</v>
      </c>
      <c r="G944" t="e">
        <f>VLOOKUP($C944, Egli_UPEC_metadata_provided!$A$2:$M$826, 6, FALSE)</f>
        <v>#N/A</v>
      </c>
      <c r="H944" t="e">
        <f>VLOOKUP($C944, Egli_UPEC_metadata_provided!$A$2:$M$826, 7, FALSE)</f>
        <v>#N/A</v>
      </c>
      <c r="I944" t="e">
        <f>VLOOKUP($C944, Egli_UPEC_metadata_provided!$A$2:$M$826, 8, FALSE)</f>
        <v>#N/A</v>
      </c>
      <c r="J944" t="e">
        <f>VLOOKUP($C944, Egli_UPEC_metadata_provided!$A$2:$M$826, 9, FALSE)</f>
        <v>#N/A</v>
      </c>
      <c r="K944" t="e">
        <f>VLOOKUP($C944, Egli_UPEC_metadata_provided!$A$2:$M$826, 10, FALSE)</f>
        <v>#N/A</v>
      </c>
      <c r="L944" t="e">
        <f>VLOOKUP($C944, Egli_UPEC_metadata_provided!$A$2:$M$826, 11, FALSE)</f>
        <v>#N/A</v>
      </c>
      <c r="M944" t="e">
        <f>VLOOKUP($C944, Egli_UPEC_metadata_provided!$A$2:$M$826, 12, FALSE)</f>
        <v>#N/A</v>
      </c>
      <c r="N944" t="e">
        <f>VLOOKUP($C944, Egli_UPEC_metadata_provided!$A$2:$M$826, 13, FALSE)</f>
        <v>#N/A</v>
      </c>
      <c r="O944" t="e">
        <f>VLOOKUP($C944, Egli_UPEC_metadata_provided!$A$2:$N$826, 14, FALSE)</f>
        <v>#N/A</v>
      </c>
    </row>
    <row r="945" spans="1:15" x14ac:dyDescent="0.2">
      <c r="A945" t="s">
        <v>2076</v>
      </c>
      <c r="B945" t="s">
        <v>4190</v>
      </c>
      <c r="C945" t="s">
        <v>4406</v>
      </c>
      <c r="D945" t="e">
        <f>VLOOKUP($C945, Egli_UPEC_metadata_provided!$A$2:$M$826, 3, FALSE)</f>
        <v>#N/A</v>
      </c>
      <c r="E945" t="e">
        <f>VLOOKUP($C945, Egli_UPEC_metadata_provided!$A$2:$M$826, 4, FALSE)</f>
        <v>#N/A</v>
      </c>
      <c r="F945" t="e">
        <f>VLOOKUP($C945, Egli_UPEC_metadata_provided!$A$2:$M$826, 5, FALSE)</f>
        <v>#N/A</v>
      </c>
      <c r="G945" t="e">
        <f>VLOOKUP($C945, Egli_UPEC_metadata_provided!$A$2:$M$826, 6, FALSE)</f>
        <v>#N/A</v>
      </c>
      <c r="H945" t="e">
        <f>VLOOKUP($C945, Egli_UPEC_metadata_provided!$A$2:$M$826, 7, FALSE)</f>
        <v>#N/A</v>
      </c>
      <c r="I945" t="e">
        <f>VLOOKUP($C945, Egli_UPEC_metadata_provided!$A$2:$M$826, 8, FALSE)</f>
        <v>#N/A</v>
      </c>
      <c r="J945" t="e">
        <f>VLOOKUP($C945, Egli_UPEC_metadata_provided!$A$2:$M$826, 9, FALSE)</f>
        <v>#N/A</v>
      </c>
      <c r="K945" t="e">
        <f>VLOOKUP($C945, Egli_UPEC_metadata_provided!$A$2:$M$826, 10, FALSE)</f>
        <v>#N/A</v>
      </c>
      <c r="L945" t="e">
        <f>VLOOKUP($C945, Egli_UPEC_metadata_provided!$A$2:$M$826, 11, FALSE)</f>
        <v>#N/A</v>
      </c>
      <c r="M945" t="e">
        <f>VLOOKUP($C945, Egli_UPEC_metadata_provided!$A$2:$M$826, 12, FALSE)</f>
        <v>#N/A</v>
      </c>
      <c r="N945" t="e">
        <f>VLOOKUP($C945, Egli_UPEC_metadata_provided!$A$2:$M$826, 13, FALSE)</f>
        <v>#N/A</v>
      </c>
      <c r="O945" t="e">
        <f>VLOOKUP($C945, Egli_UPEC_metadata_provided!$A$2:$N$826, 14, FALSE)</f>
        <v>#N/A</v>
      </c>
    </row>
    <row r="946" spans="1:15" x14ac:dyDescent="0.2">
      <c r="A946" t="s">
        <v>2091</v>
      </c>
      <c r="B946" t="s">
        <v>4248</v>
      </c>
      <c r="C946" t="s">
        <v>4406</v>
      </c>
      <c r="D946" t="e">
        <f>VLOOKUP($C946, Egli_UPEC_metadata_provided!$A$2:$M$826, 3, FALSE)</f>
        <v>#N/A</v>
      </c>
      <c r="E946" t="e">
        <f>VLOOKUP($C946, Egli_UPEC_metadata_provided!$A$2:$M$826, 4, FALSE)</f>
        <v>#N/A</v>
      </c>
      <c r="F946" t="e">
        <f>VLOOKUP($C946, Egli_UPEC_metadata_provided!$A$2:$M$826, 5, FALSE)</f>
        <v>#N/A</v>
      </c>
      <c r="G946" t="e">
        <f>VLOOKUP($C946, Egli_UPEC_metadata_provided!$A$2:$M$826, 6, FALSE)</f>
        <v>#N/A</v>
      </c>
      <c r="H946" t="e">
        <f>VLOOKUP($C946, Egli_UPEC_metadata_provided!$A$2:$M$826, 7, FALSE)</f>
        <v>#N/A</v>
      </c>
      <c r="I946" t="e">
        <f>VLOOKUP($C946, Egli_UPEC_metadata_provided!$A$2:$M$826, 8, FALSE)</f>
        <v>#N/A</v>
      </c>
      <c r="J946" t="e">
        <f>VLOOKUP($C946, Egli_UPEC_metadata_provided!$A$2:$M$826, 9, FALSE)</f>
        <v>#N/A</v>
      </c>
      <c r="K946" t="e">
        <f>VLOOKUP($C946, Egli_UPEC_metadata_provided!$A$2:$M$826, 10, FALSE)</f>
        <v>#N/A</v>
      </c>
      <c r="L946" t="e">
        <f>VLOOKUP($C946, Egli_UPEC_metadata_provided!$A$2:$M$826, 11, FALSE)</f>
        <v>#N/A</v>
      </c>
      <c r="M946" t="e">
        <f>VLOOKUP($C946, Egli_UPEC_metadata_provided!$A$2:$M$826, 12, FALSE)</f>
        <v>#N/A</v>
      </c>
      <c r="N946" t="e">
        <f>VLOOKUP($C946, Egli_UPEC_metadata_provided!$A$2:$M$826, 13, FALSE)</f>
        <v>#N/A</v>
      </c>
      <c r="O946" t="e">
        <f>VLOOKUP($C946, Egli_UPEC_metadata_provided!$A$2:$N$826, 14, FALSE)</f>
        <v>#N/A</v>
      </c>
    </row>
    <row r="947" spans="1:15" x14ac:dyDescent="0.2">
      <c r="A947" t="s">
        <v>2103</v>
      </c>
      <c r="B947" t="s">
        <v>4355</v>
      </c>
      <c r="C947" t="s">
        <v>4406</v>
      </c>
      <c r="D947" t="e">
        <f>VLOOKUP($C947, Egli_UPEC_metadata_provided!$A$2:$M$826, 3, FALSE)</f>
        <v>#N/A</v>
      </c>
      <c r="E947" t="e">
        <f>VLOOKUP($C947, Egli_UPEC_metadata_provided!$A$2:$M$826, 4, FALSE)</f>
        <v>#N/A</v>
      </c>
      <c r="F947" t="e">
        <f>VLOOKUP($C947, Egli_UPEC_metadata_provided!$A$2:$M$826, 5, FALSE)</f>
        <v>#N/A</v>
      </c>
      <c r="G947" t="e">
        <f>VLOOKUP($C947, Egli_UPEC_metadata_provided!$A$2:$M$826, 6, FALSE)</f>
        <v>#N/A</v>
      </c>
      <c r="H947" t="e">
        <f>VLOOKUP($C947, Egli_UPEC_metadata_provided!$A$2:$M$826, 7, FALSE)</f>
        <v>#N/A</v>
      </c>
      <c r="I947" t="e">
        <f>VLOOKUP($C947, Egli_UPEC_metadata_provided!$A$2:$M$826, 8, FALSE)</f>
        <v>#N/A</v>
      </c>
      <c r="J947" t="e">
        <f>VLOOKUP($C947, Egli_UPEC_metadata_provided!$A$2:$M$826, 9, FALSE)</f>
        <v>#N/A</v>
      </c>
      <c r="K947" t="e">
        <f>VLOOKUP($C947, Egli_UPEC_metadata_provided!$A$2:$M$826, 10, FALSE)</f>
        <v>#N/A</v>
      </c>
      <c r="L947" t="e">
        <f>VLOOKUP($C947, Egli_UPEC_metadata_provided!$A$2:$M$826, 11, FALSE)</f>
        <v>#N/A</v>
      </c>
      <c r="M947" t="e">
        <f>VLOOKUP($C947, Egli_UPEC_metadata_provided!$A$2:$M$826, 12, FALSE)</f>
        <v>#N/A</v>
      </c>
      <c r="N947" t="e">
        <f>VLOOKUP($C947, Egli_UPEC_metadata_provided!$A$2:$M$826, 13, FALSE)</f>
        <v>#N/A</v>
      </c>
      <c r="O947" t="e">
        <f>VLOOKUP($C947, Egli_UPEC_metadata_provided!$A$2:$N$826, 14, FALSE)</f>
        <v>#N/A</v>
      </c>
    </row>
    <row r="948" spans="1:15" x14ac:dyDescent="0.2">
      <c r="A948" t="s">
        <v>2094</v>
      </c>
      <c r="B948" t="s">
        <v>4250</v>
      </c>
      <c r="C948" t="s">
        <v>4406</v>
      </c>
      <c r="D948" t="e">
        <f>VLOOKUP($C948, Egli_UPEC_metadata_provided!$A$2:$M$826, 3, FALSE)</f>
        <v>#N/A</v>
      </c>
      <c r="E948" t="e">
        <f>VLOOKUP($C948, Egli_UPEC_metadata_provided!$A$2:$M$826, 4, FALSE)</f>
        <v>#N/A</v>
      </c>
      <c r="F948" t="e">
        <f>VLOOKUP($C948, Egli_UPEC_metadata_provided!$A$2:$M$826, 5, FALSE)</f>
        <v>#N/A</v>
      </c>
      <c r="G948" t="e">
        <f>VLOOKUP($C948, Egli_UPEC_metadata_provided!$A$2:$M$826, 6, FALSE)</f>
        <v>#N/A</v>
      </c>
      <c r="H948" t="e">
        <f>VLOOKUP($C948, Egli_UPEC_metadata_provided!$A$2:$M$826, 7, FALSE)</f>
        <v>#N/A</v>
      </c>
      <c r="I948" t="e">
        <f>VLOOKUP($C948, Egli_UPEC_metadata_provided!$A$2:$M$826, 8, FALSE)</f>
        <v>#N/A</v>
      </c>
      <c r="J948" t="e">
        <f>VLOOKUP($C948, Egli_UPEC_metadata_provided!$A$2:$M$826, 9, FALSE)</f>
        <v>#N/A</v>
      </c>
      <c r="K948" t="e">
        <f>VLOOKUP($C948, Egli_UPEC_metadata_provided!$A$2:$M$826, 10, FALSE)</f>
        <v>#N/A</v>
      </c>
      <c r="L948" t="e">
        <f>VLOOKUP($C948, Egli_UPEC_metadata_provided!$A$2:$M$826, 11, FALSE)</f>
        <v>#N/A</v>
      </c>
      <c r="M948" t="e">
        <f>VLOOKUP($C948, Egli_UPEC_metadata_provided!$A$2:$M$826, 12, FALSE)</f>
        <v>#N/A</v>
      </c>
      <c r="N948" t="e">
        <f>VLOOKUP($C948, Egli_UPEC_metadata_provided!$A$2:$M$826, 13, FALSE)</f>
        <v>#N/A</v>
      </c>
      <c r="O948" t="e">
        <f>VLOOKUP($C948, Egli_UPEC_metadata_provided!$A$2:$N$826, 14, FALSE)</f>
        <v>#N/A</v>
      </c>
    </row>
    <row r="949" spans="1:15" x14ac:dyDescent="0.2">
      <c r="A949" t="s">
        <v>2097</v>
      </c>
      <c r="B949" t="s">
        <v>4252</v>
      </c>
      <c r="C949" t="s">
        <v>4406</v>
      </c>
      <c r="D949" t="e">
        <f>VLOOKUP($C949, Egli_UPEC_metadata_provided!$A$2:$M$826, 3, FALSE)</f>
        <v>#N/A</v>
      </c>
      <c r="E949" t="e">
        <f>VLOOKUP($C949, Egli_UPEC_metadata_provided!$A$2:$M$826, 4, FALSE)</f>
        <v>#N/A</v>
      </c>
      <c r="F949" t="e">
        <f>VLOOKUP($C949, Egli_UPEC_metadata_provided!$A$2:$M$826, 5, FALSE)</f>
        <v>#N/A</v>
      </c>
      <c r="G949" t="e">
        <f>VLOOKUP($C949, Egli_UPEC_metadata_provided!$A$2:$M$826, 6, FALSE)</f>
        <v>#N/A</v>
      </c>
      <c r="H949" t="e">
        <f>VLOOKUP($C949, Egli_UPEC_metadata_provided!$A$2:$M$826, 7, FALSE)</f>
        <v>#N/A</v>
      </c>
      <c r="I949" t="e">
        <f>VLOOKUP($C949, Egli_UPEC_metadata_provided!$A$2:$M$826, 8, FALSE)</f>
        <v>#N/A</v>
      </c>
      <c r="J949" t="e">
        <f>VLOOKUP($C949, Egli_UPEC_metadata_provided!$A$2:$M$826, 9, FALSE)</f>
        <v>#N/A</v>
      </c>
      <c r="K949" t="e">
        <f>VLOOKUP($C949, Egli_UPEC_metadata_provided!$A$2:$M$826, 10, FALSE)</f>
        <v>#N/A</v>
      </c>
      <c r="L949" t="e">
        <f>VLOOKUP($C949, Egli_UPEC_metadata_provided!$A$2:$M$826, 11, FALSE)</f>
        <v>#N/A</v>
      </c>
      <c r="M949" t="e">
        <f>VLOOKUP($C949, Egli_UPEC_metadata_provided!$A$2:$M$826, 12, FALSE)</f>
        <v>#N/A</v>
      </c>
      <c r="N949" t="e">
        <f>VLOOKUP($C949, Egli_UPEC_metadata_provided!$A$2:$M$826, 13, FALSE)</f>
        <v>#N/A</v>
      </c>
      <c r="O949" t="e">
        <f>VLOOKUP($C949, Egli_UPEC_metadata_provided!$A$2:$N$826, 14, FALSE)</f>
        <v>#N/A</v>
      </c>
    </row>
    <row r="950" spans="1:15" x14ac:dyDescent="0.2">
      <c r="A950" t="s">
        <v>2110</v>
      </c>
      <c r="B950" t="s">
        <v>4357</v>
      </c>
      <c r="C950" t="s">
        <v>4357</v>
      </c>
      <c r="D950" t="e">
        <f>VLOOKUP($C950, Egli_UPEC_metadata_provided!$A$2:$M$826, 3, FALSE)</f>
        <v>#N/A</v>
      </c>
      <c r="E950" t="e">
        <f>VLOOKUP($C950, Egli_UPEC_metadata_provided!$A$2:$M$826, 4, FALSE)</f>
        <v>#N/A</v>
      </c>
      <c r="F950" t="e">
        <f>VLOOKUP($C950, Egli_UPEC_metadata_provided!$A$2:$M$826, 5, FALSE)</f>
        <v>#N/A</v>
      </c>
      <c r="G950" t="e">
        <f>VLOOKUP($C950, Egli_UPEC_metadata_provided!$A$2:$M$826, 6, FALSE)</f>
        <v>#N/A</v>
      </c>
      <c r="H950" t="e">
        <f>VLOOKUP($C950, Egli_UPEC_metadata_provided!$A$2:$M$826, 7, FALSE)</f>
        <v>#N/A</v>
      </c>
      <c r="I950" t="e">
        <f>VLOOKUP($C950, Egli_UPEC_metadata_provided!$A$2:$M$826, 8, FALSE)</f>
        <v>#N/A</v>
      </c>
      <c r="J950" t="e">
        <f>VLOOKUP($C950, Egli_UPEC_metadata_provided!$A$2:$M$826, 9, FALSE)</f>
        <v>#N/A</v>
      </c>
      <c r="K950" t="e">
        <f>VLOOKUP($C950, Egli_UPEC_metadata_provided!$A$2:$M$826, 10, FALSE)</f>
        <v>#N/A</v>
      </c>
      <c r="L950" t="e">
        <f>VLOOKUP($C950, Egli_UPEC_metadata_provided!$A$2:$M$826, 11, FALSE)</f>
        <v>#N/A</v>
      </c>
      <c r="M950" t="e">
        <f>VLOOKUP($C950, Egli_UPEC_metadata_provided!$A$2:$M$826, 12, FALSE)</f>
        <v>#N/A</v>
      </c>
      <c r="N950" t="e">
        <f>VLOOKUP($C950, Egli_UPEC_metadata_provided!$A$2:$M$826, 13, FALSE)</f>
        <v>#N/A</v>
      </c>
      <c r="O950" t="e">
        <f>VLOOKUP($C950, Egli_UPEC_metadata_provided!$A$2:$N$826, 14, FALSE)</f>
        <v>#N/A</v>
      </c>
    </row>
    <row r="951" spans="1:15" x14ac:dyDescent="0.2">
      <c r="A951" t="s">
        <v>2119</v>
      </c>
      <c r="B951" t="s">
        <v>4253</v>
      </c>
      <c r="C951" t="s">
        <v>4253</v>
      </c>
      <c r="D951" t="e">
        <f>VLOOKUP($C951, Egli_UPEC_metadata_provided!$A$2:$M$826, 3, FALSE)</f>
        <v>#N/A</v>
      </c>
      <c r="E951" t="e">
        <f>VLOOKUP($C951, Egli_UPEC_metadata_provided!$A$2:$M$826, 4, FALSE)</f>
        <v>#N/A</v>
      </c>
      <c r="F951" t="e">
        <f>VLOOKUP($C951, Egli_UPEC_metadata_provided!$A$2:$M$826, 5, FALSE)</f>
        <v>#N/A</v>
      </c>
      <c r="G951" t="e">
        <f>VLOOKUP($C951, Egli_UPEC_metadata_provided!$A$2:$M$826, 6, FALSE)</f>
        <v>#N/A</v>
      </c>
      <c r="H951" t="e">
        <f>VLOOKUP($C951, Egli_UPEC_metadata_provided!$A$2:$M$826, 7, FALSE)</f>
        <v>#N/A</v>
      </c>
      <c r="I951" t="e">
        <f>VLOOKUP($C951, Egli_UPEC_metadata_provided!$A$2:$M$826, 8, FALSE)</f>
        <v>#N/A</v>
      </c>
      <c r="J951" t="e">
        <f>VLOOKUP($C951, Egli_UPEC_metadata_provided!$A$2:$M$826, 9, FALSE)</f>
        <v>#N/A</v>
      </c>
      <c r="K951" t="e">
        <f>VLOOKUP($C951, Egli_UPEC_metadata_provided!$A$2:$M$826, 10, FALSE)</f>
        <v>#N/A</v>
      </c>
      <c r="L951" t="e">
        <f>VLOOKUP($C951, Egli_UPEC_metadata_provided!$A$2:$M$826, 11, FALSE)</f>
        <v>#N/A</v>
      </c>
      <c r="M951" t="e">
        <f>VLOOKUP($C951, Egli_UPEC_metadata_provided!$A$2:$M$826, 12, FALSE)</f>
        <v>#N/A</v>
      </c>
      <c r="N951" t="e">
        <f>VLOOKUP($C951, Egli_UPEC_metadata_provided!$A$2:$M$826, 13, FALSE)</f>
        <v>#N/A</v>
      </c>
      <c r="O951" t="e">
        <f>VLOOKUP($C951, Egli_UPEC_metadata_provided!$A$2:$N$826, 14, FALSE)</f>
        <v>#N/A</v>
      </c>
    </row>
    <row r="952" spans="1:15" x14ac:dyDescent="0.2">
      <c r="A952" t="s">
        <v>2122</v>
      </c>
      <c r="B952" t="s">
        <v>4254</v>
      </c>
      <c r="C952" t="s">
        <v>4405</v>
      </c>
      <c r="D952" t="e">
        <f>VLOOKUP($C952, Egli_UPEC_metadata_provided!$A$2:$M$826, 3, FALSE)</f>
        <v>#N/A</v>
      </c>
      <c r="E952" t="e">
        <f>VLOOKUP($C952, Egli_UPEC_metadata_provided!$A$2:$M$826, 4, FALSE)</f>
        <v>#N/A</v>
      </c>
      <c r="F952" t="e">
        <f>VLOOKUP($C952, Egli_UPEC_metadata_provided!$A$2:$M$826, 5, FALSE)</f>
        <v>#N/A</v>
      </c>
      <c r="G952" t="e">
        <f>VLOOKUP($C952, Egli_UPEC_metadata_provided!$A$2:$M$826, 6, FALSE)</f>
        <v>#N/A</v>
      </c>
      <c r="H952" t="e">
        <f>VLOOKUP($C952, Egli_UPEC_metadata_provided!$A$2:$M$826, 7, FALSE)</f>
        <v>#N/A</v>
      </c>
      <c r="I952" t="e">
        <f>VLOOKUP($C952, Egli_UPEC_metadata_provided!$A$2:$M$826, 8, FALSE)</f>
        <v>#N/A</v>
      </c>
      <c r="J952" t="e">
        <f>VLOOKUP($C952, Egli_UPEC_metadata_provided!$A$2:$M$826, 9, FALSE)</f>
        <v>#N/A</v>
      </c>
      <c r="K952" t="e">
        <f>VLOOKUP($C952, Egli_UPEC_metadata_provided!$A$2:$M$826, 10, FALSE)</f>
        <v>#N/A</v>
      </c>
      <c r="L952" t="e">
        <f>VLOOKUP($C952, Egli_UPEC_metadata_provided!$A$2:$M$826, 11, FALSE)</f>
        <v>#N/A</v>
      </c>
      <c r="M952" t="e">
        <f>VLOOKUP($C952, Egli_UPEC_metadata_provided!$A$2:$M$826, 12, FALSE)</f>
        <v>#N/A</v>
      </c>
      <c r="N952" t="e">
        <f>VLOOKUP($C952, Egli_UPEC_metadata_provided!$A$2:$M$826, 13, FALSE)</f>
        <v>#N/A</v>
      </c>
      <c r="O952" t="e">
        <f>VLOOKUP($C952, Egli_UPEC_metadata_provided!$A$2:$N$826, 14, FALSE)</f>
        <v>#N/A</v>
      </c>
    </row>
    <row r="953" spans="1:15" x14ac:dyDescent="0.2">
      <c r="A953" t="s">
        <v>2134</v>
      </c>
      <c r="B953" t="s">
        <v>4358</v>
      </c>
      <c r="C953" t="s">
        <v>4405</v>
      </c>
      <c r="D953" t="e">
        <f>VLOOKUP($C953, Egli_UPEC_metadata_provided!$A$2:$M$826, 3, FALSE)</f>
        <v>#N/A</v>
      </c>
      <c r="E953" t="e">
        <f>VLOOKUP($C953, Egli_UPEC_metadata_provided!$A$2:$M$826, 4, FALSE)</f>
        <v>#N/A</v>
      </c>
      <c r="F953" t="e">
        <f>VLOOKUP($C953, Egli_UPEC_metadata_provided!$A$2:$M$826, 5, FALSE)</f>
        <v>#N/A</v>
      </c>
      <c r="G953" t="e">
        <f>VLOOKUP($C953, Egli_UPEC_metadata_provided!$A$2:$M$826, 6, FALSE)</f>
        <v>#N/A</v>
      </c>
      <c r="H953" t="e">
        <f>VLOOKUP($C953, Egli_UPEC_metadata_provided!$A$2:$M$826, 7, FALSE)</f>
        <v>#N/A</v>
      </c>
      <c r="I953" t="e">
        <f>VLOOKUP($C953, Egli_UPEC_metadata_provided!$A$2:$M$826, 8, FALSE)</f>
        <v>#N/A</v>
      </c>
      <c r="J953" t="e">
        <f>VLOOKUP($C953, Egli_UPEC_metadata_provided!$A$2:$M$826, 9, FALSE)</f>
        <v>#N/A</v>
      </c>
      <c r="K953" t="e">
        <f>VLOOKUP($C953, Egli_UPEC_metadata_provided!$A$2:$M$826, 10, FALSE)</f>
        <v>#N/A</v>
      </c>
      <c r="L953" t="e">
        <f>VLOOKUP($C953, Egli_UPEC_metadata_provided!$A$2:$M$826, 11, FALSE)</f>
        <v>#N/A</v>
      </c>
      <c r="M953" t="e">
        <f>VLOOKUP($C953, Egli_UPEC_metadata_provided!$A$2:$M$826, 12, FALSE)</f>
        <v>#N/A</v>
      </c>
      <c r="N953" t="e">
        <f>VLOOKUP($C953, Egli_UPEC_metadata_provided!$A$2:$M$826, 13, FALSE)</f>
        <v>#N/A</v>
      </c>
      <c r="O953" t="e">
        <f>VLOOKUP($C953, Egli_UPEC_metadata_provided!$A$2:$N$826, 14, FALSE)</f>
        <v>#N/A</v>
      </c>
    </row>
    <row r="954" spans="1:15" x14ac:dyDescent="0.2">
      <c r="A954" t="s">
        <v>2125</v>
      </c>
      <c r="B954" t="s">
        <v>4255</v>
      </c>
      <c r="C954" t="s">
        <v>4405</v>
      </c>
      <c r="D954" t="e">
        <f>VLOOKUP($C954, Egli_UPEC_metadata_provided!$A$2:$M$826, 3, FALSE)</f>
        <v>#N/A</v>
      </c>
      <c r="E954" t="e">
        <f>VLOOKUP($C954, Egli_UPEC_metadata_provided!$A$2:$M$826, 4, FALSE)</f>
        <v>#N/A</v>
      </c>
      <c r="F954" t="e">
        <f>VLOOKUP($C954, Egli_UPEC_metadata_provided!$A$2:$M$826, 5, FALSE)</f>
        <v>#N/A</v>
      </c>
      <c r="G954" t="e">
        <f>VLOOKUP($C954, Egli_UPEC_metadata_provided!$A$2:$M$826, 6, FALSE)</f>
        <v>#N/A</v>
      </c>
      <c r="H954" t="e">
        <f>VLOOKUP($C954, Egli_UPEC_metadata_provided!$A$2:$M$826, 7, FALSE)</f>
        <v>#N/A</v>
      </c>
      <c r="I954" t="e">
        <f>VLOOKUP($C954, Egli_UPEC_metadata_provided!$A$2:$M$826, 8, FALSE)</f>
        <v>#N/A</v>
      </c>
      <c r="J954" t="e">
        <f>VLOOKUP($C954, Egli_UPEC_metadata_provided!$A$2:$M$826, 9, FALSE)</f>
        <v>#N/A</v>
      </c>
      <c r="K954" t="e">
        <f>VLOOKUP($C954, Egli_UPEC_metadata_provided!$A$2:$M$826, 10, FALSE)</f>
        <v>#N/A</v>
      </c>
      <c r="L954" t="e">
        <f>VLOOKUP($C954, Egli_UPEC_metadata_provided!$A$2:$M$826, 11, FALSE)</f>
        <v>#N/A</v>
      </c>
      <c r="M954" t="e">
        <f>VLOOKUP($C954, Egli_UPEC_metadata_provided!$A$2:$M$826, 12, FALSE)</f>
        <v>#N/A</v>
      </c>
      <c r="N954" t="e">
        <f>VLOOKUP($C954, Egli_UPEC_metadata_provided!$A$2:$M$826, 13, FALSE)</f>
        <v>#N/A</v>
      </c>
      <c r="O954" t="e">
        <f>VLOOKUP($C954, Egli_UPEC_metadata_provided!$A$2:$N$826, 14, FALSE)</f>
        <v>#N/A</v>
      </c>
    </row>
    <row r="955" spans="1:15" x14ac:dyDescent="0.2">
      <c r="A955" t="s">
        <v>2137</v>
      </c>
      <c r="B955" t="s">
        <v>4359</v>
      </c>
      <c r="C955" t="s">
        <v>4405</v>
      </c>
      <c r="D955" t="e">
        <f>VLOOKUP($C955, Egli_UPEC_metadata_provided!$A$2:$M$826, 3, FALSE)</f>
        <v>#N/A</v>
      </c>
      <c r="E955" t="e">
        <f>VLOOKUP($C955, Egli_UPEC_metadata_provided!$A$2:$M$826, 4, FALSE)</f>
        <v>#N/A</v>
      </c>
      <c r="F955" t="e">
        <f>VLOOKUP($C955, Egli_UPEC_metadata_provided!$A$2:$M$826, 5, FALSE)</f>
        <v>#N/A</v>
      </c>
      <c r="G955" t="e">
        <f>VLOOKUP($C955, Egli_UPEC_metadata_provided!$A$2:$M$826, 6, FALSE)</f>
        <v>#N/A</v>
      </c>
      <c r="H955" t="e">
        <f>VLOOKUP($C955, Egli_UPEC_metadata_provided!$A$2:$M$826, 7, FALSE)</f>
        <v>#N/A</v>
      </c>
      <c r="I955" t="e">
        <f>VLOOKUP($C955, Egli_UPEC_metadata_provided!$A$2:$M$826, 8, FALSE)</f>
        <v>#N/A</v>
      </c>
      <c r="J955" t="e">
        <f>VLOOKUP($C955, Egli_UPEC_metadata_provided!$A$2:$M$826, 9, FALSE)</f>
        <v>#N/A</v>
      </c>
      <c r="K955" t="e">
        <f>VLOOKUP($C955, Egli_UPEC_metadata_provided!$A$2:$M$826, 10, FALSE)</f>
        <v>#N/A</v>
      </c>
      <c r="L955" t="e">
        <f>VLOOKUP($C955, Egli_UPEC_metadata_provided!$A$2:$M$826, 11, FALSE)</f>
        <v>#N/A</v>
      </c>
      <c r="M955" t="e">
        <f>VLOOKUP($C955, Egli_UPEC_metadata_provided!$A$2:$M$826, 12, FALSE)</f>
        <v>#N/A</v>
      </c>
      <c r="N955" t="e">
        <f>VLOOKUP($C955, Egli_UPEC_metadata_provided!$A$2:$M$826, 13, FALSE)</f>
        <v>#N/A</v>
      </c>
      <c r="O955" t="e">
        <f>VLOOKUP($C955, Egli_UPEC_metadata_provided!$A$2:$N$826, 14, FALSE)</f>
        <v>#N/A</v>
      </c>
    </row>
    <row r="956" spans="1:15" x14ac:dyDescent="0.2">
      <c r="A956" t="s">
        <v>2140</v>
      </c>
      <c r="B956" t="s">
        <v>4360</v>
      </c>
      <c r="C956" t="s">
        <v>4405</v>
      </c>
      <c r="D956" t="e">
        <f>VLOOKUP($C956, Egli_UPEC_metadata_provided!$A$2:$M$826, 3, FALSE)</f>
        <v>#N/A</v>
      </c>
      <c r="E956" t="e">
        <f>VLOOKUP($C956, Egli_UPEC_metadata_provided!$A$2:$M$826, 4, FALSE)</f>
        <v>#N/A</v>
      </c>
      <c r="F956" t="e">
        <f>VLOOKUP($C956, Egli_UPEC_metadata_provided!$A$2:$M$826, 5, FALSE)</f>
        <v>#N/A</v>
      </c>
      <c r="G956" t="e">
        <f>VLOOKUP($C956, Egli_UPEC_metadata_provided!$A$2:$M$826, 6, FALSE)</f>
        <v>#N/A</v>
      </c>
      <c r="H956" t="e">
        <f>VLOOKUP($C956, Egli_UPEC_metadata_provided!$A$2:$M$826, 7, FALSE)</f>
        <v>#N/A</v>
      </c>
      <c r="I956" t="e">
        <f>VLOOKUP($C956, Egli_UPEC_metadata_provided!$A$2:$M$826, 8, FALSE)</f>
        <v>#N/A</v>
      </c>
      <c r="J956" t="e">
        <f>VLOOKUP($C956, Egli_UPEC_metadata_provided!$A$2:$M$826, 9, FALSE)</f>
        <v>#N/A</v>
      </c>
      <c r="K956" t="e">
        <f>VLOOKUP($C956, Egli_UPEC_metadata_provided!$A$2:$M$826, 10, FALSE)</f>
        <v>#N/A</v>
      </c>
      <c r="L956" t="e">
        <f>VLOOKUP($C956, Egli_UPEC_metadata_provided!$A$2:$M$826, 11, FALSE)</f>
        <v>#N/A</v>
      </c>
      <c r="M956" t="e">
        <f>VLOOKUP($C956, Egli_UPEC_metadata_provided!$A$2:$M$826, 12, FALSE)</f>
        <v>#N/A</v>
      </c>
      <c r="N956" t="e">
        <f>VLOOKUP($C956, Egli_UPEC_metadata_provided!$A$2:$M$826, 13, FALSE)</f>
        <v>#N/A</v>
      </c>
      <c r="O956" t="e">
        <f>VLOOKUP($C956, Egli_UPEC_metadata_provided!$A$2:$N$826, 14, FALSE)</f>
        <v>#N/A</v>
      </c>
    </row>
    <row r="957" spans="1:15" x14ac:dyDescent="0.2">
      <c r="A957" t="s">
        <v>2128</v>
      </c>
      <c r="B957" t="s">
        <v>4256</v>
      </c>
      <c r="C957" t="s">
        <v>4405</v>
      </c>
      <c r="D957" t="e">
        <f>VLOOKUP($C957, Egli_UPEC_metadata_provided!$A$2:$M$826, 3, FALSE)</f>
        <v>#N/A</v>
      </c>
      <c r="E957" t="e">
        <f>VLOOKUP($C957, Egli_UPEC_metadata_provided!$A$2:$M$826, 4, FALSE)</f>
        <v>#N/A</v>
      </c>
      <c r="F957" t="e">
        <f>VLOOKUP($C957, Egli_UPEC_metadata_provided!$A$2:$M$826, 5, FALSE)</f>
        <v>#N/A</v>
      </c>
      <c r="G957" t="e">
        <f>VLOOKUP($C957, Egli_UPEC_metadata_provided!$A$2:$M$826, 6, FALSE)</f>
        <v>#N/A</v>
      </c>
      <c r="H957" t="e">
        <f>VLOOKUP($C957, Egli_UPEC_metadata_provided!$A$2:$M$826, 7, FALSE)</f>
        <v>#N/A</v>
      </c>
      <c r="I957" t="e">
        <f>VLOOKUP($C957, Egli_UPEC_metadata_provided!$A$2:$M$826, 8, FALSE)</f>
        <v>#N/A</v>
      </c>
      <c r="J957" t="e">
        <f>VLOOKUP($C957, Egli_UPEC_metadata_provided!$A$2:$M$826, 9, FALSE)</f>
        <v>#N/A</v>
      </c>
      <c r="K957" t="e">
        <f>VLOOKUP($C957, Egli_UPEC_metadata_provided!$A$2:$M$826, 10, FALSE)</f>
        <v>#N/A</v>
      </c>
      <c r="L957" t="e">
        <f>VLOOKUP($C957, Egli_UPEC_metadata_provided!$A$2:$M$826, 11, FALSE)</f>
        <v>#N/A</v>
      </c>
      <c r="M957" t="e">
        <f>VLOOKUP($C957, Egli_UPEC_metadata_provided!$A$2:$M$826, 12, FALSE)</f>
        <v>#N/A</v>
      </c>
      <c r="N957" t="e">
        <f>VLOOKUP($C957, Egli_UPEC_metadata_provided!$A$2:$M$826, 13, FALSE)</f>
        <v>#N/A</v>
      </c>
      <c r="O957" t="e">
        <f>VLOOKUP($C957, Egli_UPEC_metadata_provided!$A$2:$N$826, 14, FALSE)</f>
        <v>#N/A</v>
      </c>
    </row>
    <row r="958" spans="1:15" x14ac:dyDescent="0.2">
      <c r="A958" t="s">
        <v>2143</v>
      </c>
      <c r="B958" t="s">
        <v>4361</v>
      </c>
      <c r="C958" t="s">
        <v>4405</v>
      </c>
      <c r="D958" t="e">
        <f>VLOOKUP($C958, Egli_UPEC_metadata_provided!$A$2:$M$826, 3, FALSE)</f>
        <v>#N/A</v>
      </c>
      <c r="E958" t="e">
        <f>VLOOKUP($C958, Egli_UPEC_metadata_provided!$A$2:$M$826, 4, FALSE)</f>
        <v>#N/A</v>
      </c>
      <c r="F958" t="e">
        <f>VLOOKUP($C958, Egli_UPEC_metadata_provided!$A$2:$M$826, 5, FALSE)</f>
        <v>#N/A</v>
      </c>
      <c r="G958" t="e">
        <f>VLOOKUP($C958, Egli_UPEC_metadata_provided!$A$2:$M$826, 6, FALSE)</f>
        <v>#N/A</v>
      </c>
      <c r="H958" t="e">
        <f>VLOOKUP($C958, Egli_UPEC_metadata_provided!$A$2:$M$826, 7, FALSE)</f>
        <v>#N/A</v>
      </c>
      <c r="I958" t="e">
        <f>VLOOKUP($C958, Egli_UPEC_metadata_provided!$A$2:$M$826, 8, FALSE)</f>
        <v>#N/A</v>
      </c>
      <c r="J958" t="e">
        <f>VLOOKUP($C958, Egli_UPEC_metadata_provided!$A$2:$M$826, 9, FALSE)</f>
        <v>#N/A</v>
      </c>
      <c r="K958" t="e">
        <f>VLOOKUP($C958, Egli_UPEC_metadata_provided!$A$2:$M$826, 10, FALSE)</f>
        <v>#N/A</v>
      </c>
      <c r="L958" t="e">
        <f>VLOOKUP($C958, Egli_UPEC_metadata_provided!$A$2:$M$826, 11, FALSE)</f>
        <v>#N/A</v>
      </c>
      <c r="M958" t="e">
        <f>VLOOKUP($C958, Egli_UPEC_metadata_provided!$A$2:$M$826, 12, FALSE)</f>
        <v>#N/A</v>
      </c>
      <c r="N958" t="e">
        <f>VLOOKUP($C958, Egli_UPEC_metadata_provided!$A$2:$M$826, 13, FALSE)</f>
        <v>#N/A</v>
      </c>
      <c r="O958" t="e">
        <f>VLOOKUP($C958, Egli_UPEC_metadata_provided!$A$2:$N$826, 14, FALSE)</f>
        <v>#N/A</v>
      </c>
    </row>
    <row r="959" spans="1:15" x14ac:dyDescent="0.2">
      <c r="A959" t="s">
        <v>2146</v>
      </c>
      <c r="B959" t="s">
        <v>4362</v>
      </c>
      <c r="C959" t="s">
        <v>4405</v>
      </c>
      <c r="D959" t="e">
        <f>VLOOKUP($C959, Egli_UPEC_metadata_provided!$A$2:$M$826, 3, FALSE)</f>
        <v>#N/A</v>
      </c>
      <c r="E959" t="e">
        <f>VLOOKUP($C959, Egli_UPEC_metadata_provided!$A$2:$M$826, 4, FALSE)</f>
        <v>#N/A</v>
      </c>
      <c r="F959" t="e">
        <f>VLOOKUP($C959, Egli_UPEC_metadata_provided!$A$2:$M$826, 5, FALSE)</f>
        <v>#N/A</v>
      </c>
      <c r="G959" t="e">
        <f>VLOOKUP($C959, Egli_UPEC_metadata_provided!$A$2:$M$826, 6, FALSE)</f>
        <v>#N/A</v>
      </c>
      <c r="H959" t="e">
        <f>VLOOKUP($C959, Egli_UPEC_metadata_provided!$A$2:$M$826, 7, FALSE)</f>
        <v>#N/A</v>
      </c>
      <c r="I959" t="e">
        <f>VLOOKUP($C959, Egli_UPEC_metadata_provided!$A$2:$M$826, 8, FALSE)</f>
        <v>#N/A</v>
      </c>
      <c r="J959" t="e">
        <f>VLOOKUP($C959, Egli_UPEC_metadata_provided!$A$2:$M$826, 9, FALSE)</f>
        <v>#N/A</v>
      </c>
      <c r="K959" t="e">
        <f>VLOOKUP($C959, Egli_UPEC_metadata_provided!$A$2:$M$826, 10, FALSE)</f>
        <v>#N/A</v>
      </c>
      <c r="L959" t="e">
        <f>VLOOKUP($C959, Egli_UPEC_metadata_provided!$A$2:$M$826, 11, FALSE)</f>
        <v>#N/A</v>
      </c>
      <c r="M959" t="e">
        <f>VLOOKUP($C959, Egli_UPEC_metadata_provided!$A$2:$M$826, 12, FALSE)</f>
        <v>#N/A</v>
      </c>
      <c r="N959" t="e">
        <f>VLOOKUP($C959, Egli_UPEC_metadata_provided!$A$2:$M$826, 13, FALSE)</f>
        <v>#N/A</v>
      </c>
      <c r="O959" t="e">
        <f>VLOOKUP($C959, Egli_UPEC_metadata_provided!$A$2:$N$826, 14, FALSE)</f>
        <v>#N/A</v>
      </c>
    </row>
    <row r="960" spans="1:15" x14ac:dyDescent="0.2">
      <c r="A960" t="s">
        <v>2149</v>
      </c>
      <c r="B960" t="s">
        <v>4363</v>
      </c>
      <c r="C960" t="s">
        <v>4405</v>
      </c>
      <c r="D960" t="e">
        <f>VLOOKUP($C960, Egli_UPEC_metadata_provided!$A$2:$M$826, 3, FALSE)</f>
        <v>#N/A</v>
      </c>
      <c r="E960" t="e">
        <f>VLOOKUP($C960, Egli_UPEC_metadata_provided!$A$2:$M$826, 4, FALSE)</f>
        <v>#N/A</v>
      </c>
      <c r="F960" t="e">
        <f>VLOOKUP($C960, Egli_UPEC_metadata_provided!$A$2:$M$826, 5, FALSE)</f>
        <v>#N/A</v>
      </c>
      <c r="G960" t="e">
        <f>VLOOKUP($C960, Egli_UPEC_metadata_provided!$A$2:$M$826, 6, FALSE)</f>
        <v>#N/A</v>
      </c>
      <c r="H960" t="e">
        <f>VLOOKUP($C960, Egli_UPEC_metadata_provided!$A$2:$M$826, 7, FALSE)</f>
        <v>#N/A</v>
      </c>
      <c r="I960" t="e">
        <f>VLOOKUP($C960, Egli_UPEC_metadata_provided!$A$2:$M$826, 8, FALSE)</f>
        <v>#N/A</v>
      </c>
      <c r="J960" t="e">
        <f>VLOOKUP($C960, Egli_UPEC_metadata_provided!$A$2:$M$826, 9, FALSE)</f>
        <v>#N/A</v>
      </c>
      <c r="K960" t="e">
        <f>VLOOKUP($C960, Egli_UPEC_metadata_provided!$A$2:$M$826, 10, FALSE)</f>
        <v>#N/A</v>
      </c>
      <c r="L960" t="e">
        <f>VLOOKUP($C960, Egli_UPEC_metadata_provided!$A$2:$M$826, 11, FALSE)</f>
        <v>#N/A</v>
      </c>
      <c r="M960" t="e">
        <f>VLOOKUP($C960, Egli_UPEC_metadata_provided!$A$2:$M$826, 12, FALSE)</f>
        <v>#N/A</v>
      </c>
      <c r="N960" t="e">
        <f>VLOOKUP($C960, Egli_UPEC_metadata_provided!$A$2:$M$826, 13, FALSE)</f>
        <v>#N/A</v>
      </c>
      <c r="O960" t="e">
        <f>VLOOKUP($C960, Egli_UPEC_metadata_provided!$A$2:$N$826, 14, FALSE)</f>
        <v>#N/A</v>
      </c>
    </row>
    <row r="961" spans="1:15" x14ac:dyDescent="0.2">
      <c r="A961" t="s">
        <v>2131</v>
      </c>
      <c r="B961" t="s">
        <v>4257</v>
      </c>
      <c r="C961" t="s">
        <v>4405</v>
      </c>
      <c r="D961" t="e">
        <f>VLOOKUP($C961, Egli_UPEC_metadata_provided!$A$2:$M$826, 3, FALSE)</f>
        <v>#N/A</v>
      </c>
      <c r="E961" t="e">
        <f>VLOOKUP($C961, Egli_UPEC_metadata_provided!$A$2:$M$826, 4, FALSE)</f>
        <v>#N/A</v>
      </c>
      <c r="F961" t="e">
        <f>VLOOKUP($C961, Egli_UPEC_metadata_provided!$A$2:$M$826, 5, FALSE)</f>
        <v>#N/A</v>
      </c>
      <c r="G961" t="e">
        <f>VLOOKUP($C961, Egli_UPEC_metadata_provided!$A$2:$M$826, 6, FALSE)</f>
        <v>#N/A</v>
      </c>
      <c r="H961" t="e">
        <f>VLOOKUP($C961, Egli_UPEC_metadata_provided!$A$2:$M$826, 7, FALSE)</f>
        <v>#N/A</v>
      </c>
      <c r="I961" t="e">
        <f>VLOOKUP($C961, Egli_UPEC_metadata_provided!$A$2:$M$826, 8, FALSE)</f>
        <v>#N/A</v>
      </c>
      <c r="J961" t="e">
        <f>VLOOKUP($C961, Egli_UPEC_metadata_provided!$A$2:$M$826, 9, FALSE)</f>
        <v>#N/A</v>
      </c>
      <c r="K961" t="e">
        <f>VLOOKUP($C961, Egli_UPEC_metadata_provided!$A$2:$M$826, 10, FALSE)</f>
        <v>#N/A</v>
      </c>
      <c r="L961" t="e">
        <f>VLOOKUP($C961, Egli_UPEC_metadata_provided!$A$2:$M$826, 11, FALSE)</f>
        <v>#N/A</v>
      </c>
      <c r="M961" t="e">
        <f>VLOOKUP($C961, Egli_UPEC_metadata_provided!$A$2:$M$826, 12, FALSE)</f>
        <v>#N/A</v>
      </c>
      <c r="N961" t="e">
        <f>VLOOKUP($C961, Egli_UPEC_metadata_provided!$A$2:$M$826, 13, FALSE)</f>
        <v>#N/A</v>
      </c>
      <c r="O961" t="e">
        <f>VLOOKUP($C961, Egli_UPEC_metadata_provided!$A$2:$N$826, 14, FALSE)</f>
        <v>#N/A</v>
      </c>
    </row>
    <row r="962" spans="1:15" x14ac:dyDescent="0.2">
      <c r="A962" t="s">
        <v>2162</v>
      </c>
      <c r="B962" t="s">
        <v>4404</v>
      </c>
      <c r="C962" t="s">
        <v>4404</v>
      </c>
      <c r="D962" t="e">
        <f>VLOOKUP($C962, Egli_UPEC_metadata_provided!$A$2:$M$826, 3, FALSE)</f>
        <v>#N/A</v>
      </c>
      <c r="E962" t="e">
        <f>VLOOKUP($C962, Egli_UPEC_metadata_provided!$A$2:$M$826, 4, FALSE)</f>
        <v>#N/A</v>
      </c>
      <c r="F962" t="e">
        <f>VLOOKUP($C962, Egli_UPEC_metadata_provided!$A$2:$M$826, 5, FALSE)</f>
        <v>#N/A</v>
      </c>
      <c r="G962" t="e">
        <f>VLOOKUP($C962, Egli_UPEC_metadata_provided!$A$2:$M$826, 6, FALSE)</f>
        <v>#N/A</v>
      </c>
      <c r="H962" t="e">
        <f>VLOOKUP($C962, Egli_UPEC_metadata_provided!$A$2:$M$826, 7, FALSE)</f>
        <v>#N/A</v>
      </c>
      <c r="I962" t="e">
        <f>VLOOKUP($C962, Egli_UPEC_metadata_provided!$A$2:$M$826, 8, FALSE)</f>
        <v>#N/A</v>
      </c>
      <c r="J962" t="e">
        <f>VLOOKUP($C962, Egli_UPEC_metadata_provided!$A$2:$M$826, 9, FALSE)</f>
        <v>#N/A</v>
      </c>
      <c r="K962" t="e">
        <f>VLOOKUP($C962, Egli_UPEC_metadata_provided!$A$2:$M$826, 10, FALSE)</f>
        <v>#N/A</v>
      </c>
      <c r="L962" t="e">
        <f>VLOOKUP($C962, Egli_UPEC_metadata_provided!$A$2:$M$826, 11, FALSE)</f>
        <v>#N/A</v>
      </c>
      <c r="M962" t="e">
        <f>VLOOKUP($C962, Egli_UPEC_metadata_provided!$A$2:$M$826, 12, FALSE)</f>
        <v>#N/A</v>
      </c>
      <c r="N962" t="e">
        <f>VLOOKUP($C962, Egli_UPEC_metadata_provided!$A$2:$M$826, 13, FALSE)</f>
        <v>#N/A</v>
      </c>
      <c r="O962" t="e">
        <f>VLOOKUP($C962, Egli_UPEC_metadata_provided!$A$2:$N$826, 14, FALSE)</f>
        <v>#N/A</v>
      </c>
    </row>
    <row r="963" spans="1:15" x14ac:dyDescent="0.2">
      <c r="A963" t="s">
        <v>2173</v>
      </c>
      <c r="B963" t="s">
        <v>4259</v>
      </c>
      <c r="C963" t="s">
        <v>4259</v>
      </c>
      <c r="D963" t="e">
        <f>VLOOKUP($C963, Egli_UPEC_metadata_provided!$A$2:$M$826, 3, FALSE)</f>
        <v>#N/A</v>
      </c>
      <c r="E963" t="e">
        <f>VLOOKUP($C963, Egli_UPEC_metadata_provided!$A$2:$M$826, 4, FALSE)</f>
        <v>#N/A</v>
      </c>
      <c r="F963" t="e">
        <f>VLOOKUP($C963, Egli_UPEC_metadata_provided!$A$2:$M$826, 5, FALSE)</f>
        <v>#N/A</v>
      </c>
      <c r="G963" t="e">
        <f>VLOOKUP($C963, Egli_UPEC_metadata_provided!$A$2:$M$826, 6, FALSE)</f>
        <v>#N/A</v>
      </c>
      <c r="H963" t="e">
        <f>VLOOKUP($C963, Egli_UPEC_metadata_provided!$A$2:$M$826, 7, FALSE)</f>
        <v>#N/A</v>
      </c>
      <c r="I963" t="e">
        <f>VLOOKUP($C963, Egli_UPEC_metadata_provided!$A$2:$M$826, 8, FALSE)</f>
        <v>#N/A</v>
      </c>
      <c r="J963" t="e">
        <f>VLOOKUP($C963, Egli_UPEC_metadata_provided!$A$2:$M$826, 9, FALSE)</f>
        <v>#N/A</v>
      </c>
      <c r="K963" t="e">
        <f>VLOOKUP($C963, Egli_UPEC_metadata_provided!$A$2:$M$826, 10, FALSE)</f>
        <v>#N/A</v>
      </c>
      <c r="L963" t="e">
        <f>VLOOKUP($C963, Egli_UPEC_metadata_provided!$A$2:$M$826, 11, FALSE)</f>
        <v>#N/A</v>
      </c>
      <c r="M963" t="e">
        <f>VLOOKUP($C963, Egli_UPEC_metadata_provided!$A$2:$M$826, 12, FALSE)</f>
        <v>#N/A</v>
      </c>
      <c r="N963" t="e">
        <f>VLOOKUP($C963, Egli_UPEC_metadata_provided!$A$2:$M$826, 13, FALSE)</f>
        <v>#N/A</v>
      </c>
      <c r="O963" t="e">
        <f>VLOOKUP($C963, Egli_UPEC_metadata_provided!$A$2:$N$826, 14, FALSE)</f>
        <v>#N/A</v>
      </c>
    </row>
    <row r="964" spans="1:15" x14ac:dyDescent="0.2">
      <c r="A964" t="s">
        <v>2176</v>
      </c>
      <c r="B964" t="s">
        <v>4191</v>
      </c>
      <c r="C964" t="s">
        <v>4191</v>
      </c>
      <c r="D964" t="e">
        <f>VLOOKUP($C964, Egli_UPEC_metadata_provided!$A$2:$M$826, 3, FALSE)</f>
        <v>#N/A</v>
      </c>
      <c r="E964" t="e">
        <f>VLOOKUP($C964, Egli_UPEC_metadata_provided!$A$2:$M$826, 4, FALSE)</f>
        <v>#N/A</v>
      </c>
      <c r="F964" t="e">
        <f>VLOOKUP($C964, Egli_UPEC_metadata_provided!$A$2:$M$826, 5, FALSE)</f>
        <v>#N/A</v>
      </c>
      <c r="G964" t="e">
        <f>VLOOKUP($C964, Egli_UPEC_metadata_provided!$A$2:$M$826, 6, FALSE)</f>
        <v>#N/A</v>
      </c>
      <c r="H964" t="e">
        <f>VLOOKUP($C964, Egli_UPEC_metadata_provided!$A$2:$M$826, 7, FALSE)</f>
        <v>#N/A</v>
      </c>
      <c r="I964" t="e">
        <f>VLOOKUP($C964, Egli_UPEC_metadata_provided!$A$2:$M$826, 8, FALSE)</f>
        <v>#N/A</v>
      </c>
      <c r="J964" t="e">
        <f>VLOOKUP($C964, Egli_UPEC_metadata_provided!$A$2:$M$826, 9, FALSE)</f>
        <v>#N/A</v>
      </c>
      <c r="K964" t="e">
        <f>VLOOKUP($C964, Egli_UPEC_metadata_provided!$A$2:$M$826, 10, FALSE)</f>
        <v>#N/A</v>
      </c>
      <c r="L964" t="e">
        <f>VLOOKUP($C964, Egli_UPEC_metadata_provided!$A$2:$M$826, 11, FALSE)</f>
        <v>#N/A</v>
      </c>
      <c r="M964" t="e">
        <f>VLOOKUP($C964, Egli_UPEC_metadata_provided!$A$2:$M$826, 12, FALSE)</f>
        <v>#N/A</v>
      </c>
      <c r="N964" t="e">
        <f>VLOOKUP($C964, Egli_UPEC_metadata_provided!$A$2:$M$826, 13, FALSE)</f>
        <v>#N/A</v>
      </c>
      <c r="O964" t="e">
        <f>VLOOKUP($C964, Egli_UPEC_metadata_provided!$A$2:$N$826, 14, FALSE)</f>
        <v>#N/A</v>
      </c>
    </row>
    <row r="965" spans="1:15" x14ac:dyDescent="0.2">
      <c r="A965" t="s">
        <v>2187</v>
      </c>
      <c r="B965" t="s">
        <v>4403</v>
      </c>
      <c r="C965" t="s">
        <v>4403</v>
      </c>
      <c r="D965" t="e">
        <f>VLOOKUP($C965, Egli_UPEC_metadata_provided!$A$2:$M$826, 3, FALSE)</f>
        <v>#N/A</v>
      </c>
      <c r="E965" t="e">
        <f>VLOOKUP($C965, Egli_UPEC_metadata_provided!$A$2:$M$826, 4, FALSE)</f>
        <v>#N/A</v>
      </c>
      <c r="F965" t="e">
        <f>VLOOKUP($C965, Egli_UPEC_metadata_provided!$A$2:$M$826, 5, FALSE)</f>
        <v>#N/A</v>
      </c>
      <c r="G965" t="e">
        <f>VLOOKUP($C965, Egli_UPEC_metadata_provided!$A$2:$M$826, 6, FALSE)</f>
        <v>#N/A</v>
      </c>
      <c r="H965" t="e">
        <f>VLOOKUP($C965, Egli_UPEC_metadata_provided!$A$2:$M$826, 7, FALSE)</f>
        <v>#N/A</v>
      </c>
      <c r="I965" t="e">
        <f>VLOOKUP($C965, Egli_UPEC_metadata_provided!$A$2:$M$826, 8, FALSE)</f>
        <v>#N/A</v>
      </c>
      <c r="J965" t="e">
        <f>VLOOKUP($C965, Egli_UPEC_metadata_provided!$A$2:$M$826, 9, FALSE)</f>
        <v>#N/A</v>
      </c>
      <c r="K965" t="e">
        <f>VLOOKUP($C965, Egli_UPEC_metadata_provided!$A$2:$M$826, 10, FALSE)</f>
        <v>#N/A</v>
      </c>
      <c r="L965" t="e">
        <f>VLOOKUP($C965, Egli_UPEC_metadata_provided!$A$2:$M$826, 11, FALSE)</f>
        <v>#N/A</v>
      </c>
      <c r="M965" t="e">
        <f>VLOOKUP($C965, Egli_UPEC_metadata_provided!$A$2:$M$826, 12, FALSE)</f>
        <v>#N/A</v>
      </c>
      <c r="N965" t="e">
        <f>VLOOKUP($C965, Egli_UPEC_metadata_provided!$A$2:$M$826, 13, FALSE)</f>
        <v>#N/A</v>
      </c>
      <c r="O965" t="e">
        <f>VLOOKUP($C965, Egli_UPEC_metadata_provided!$A$2:$N$826, 14, FALSE)</f>
        <v>#N/A</v>
      </c>
    </row>
    <row r="966" spans="1:15" x14ac:dyDescent="0.2">
      <c r="A966" t="s">
        <v>2190</v>
      </c>
      <c r="B966" t="s">
        <v>4193</v>
      </c>
      <c r="C966" t="s">
        <v>4193</v>
      </c>
      <c r="D966" t="e">
        <f>VLOOKUP($C966, Egli_UPEC_metadata_provided!$A$2:$M$826, 3, FALSE)</f>
        <v>#N/A</v>
      </c>
      <c r="E966" t="e">
        <f>VLOOKUP($C966, Egli_UPEC_metadata_provided!$A$2:$M$826, 4, FALSE)</f>
        <v>#N/A</v>
      </c>
      <c r="F966" t="e">
        <f>VLOOKUP($C966, Egli_UPEC_metadata_provided!$A$2:$M$826, 5, FALSE)</f>
        <v>#N/A</v>
      </c>
      <c r="G966" t="e">
        <f>VLOOKUP($C966, Egli_UPEC_metadata_provided!$A$2:$M$826, 6, FALSE)</f>
        <v>#N/A</v>
      </c>
      <c r="H966" t="e">
        <f>VLOOKUP($C966, Egli_UPEC_metadata_provided!$A$2:$M$826, 7, FALSE)</f>
        <v>#N/A</v>
      </c>
      <c r="I966" t="e">
        <f>VLOOKUP($C966, Egli_UPEC_metadata_provided!$A$2:$M$826, 8, FALSE)</f>
        <v>#N/A</v>
      </c>
      <c r="J966" t="e">
        <f>VLOOKUP($C966, Egli_UPEC_metadata_provided!$A$2:$M$826, 9, FALSE)</f>
        <v>#N/A</v>
      </c>
      <c r="K966" t="e">
        <f>VLOOKUP($C966, Egli_UPEC_metadata_provided!$A$2:$M$826, 10, FALSE)</f>
        <v>#N/A</v>
      </c>
      <c r="L966" t="e">
        <f>VLOOKUP($C966, Egli_UPEC_metadata_provided!$A$2:$M$826, 11, FALSE)</f>
        <v>#N/A</v>
      </c>
      <c r="M966" t="e">
        <f>VLOOKUP($C966, Egli_UPEC_metadata_provided!$A$2:$M$826, 12, FALSE)</f>
        <v>#N/A</v>
      </c>
      <c r="N966" t="e">
        <f>VLOOKUP($C966, Egli_UPEC_metadata_provided!$A$2:$M$826, 13, FALSE)</f>
        <v>#N/A</v>
      </c>
      <c r="O966" t="e">
        <f>VLOOKUP($C966, Egli_UPEC_metadata_provided!$A$2:$N$826, 14, FALSE)</f>
        <v>#N/A</v>
      </c>
    </row>
    <row r="967" spans="1:15" x14ac:dyDescent="0.2">
      <c r="A967" t="s">
        <v>2193</v>
      </c>
      <c r="B967" t="s">
        <v>4365</v>
      </c>
      <c r="C967" t="s">
        <v>4365</v>
      </c>
      <c r="D967" t="e">
        <f>VLOOKUP($C967, Egli_UPEC_metadata_provided!$A$2:$M$826, 3, FALSE)</f>
        <v>#N/A</v>
      </c>
      <c r="E967" t="e">
        <f>VLOOKUP($C967, Egli_UPEC_metadata_provided!$A$2:$M$826, 4, FALSE)</f>
        <v>#N/A</v>
      </c>
      <c r="F967" t="e">
        <f>VLOOKUP($C967, Egli_UPEC_metadata_provided!$A$2:$M$826, 5, FALSE)</f>
        <v>#N/A</v>
      </c>
      <c r="G967" t="e">
        <f>VLOOKUP($C967, Egli_UPEC_metadata_provided!$A$2:$M$826, 6, FALSE)</f>
        <v>#N/A</v>
      </c>
      <c r="H967" t="e">
        <f>VLOOKUP($C967, Egli_UPEC_metadata_provided!$A$2:$M$826, 7, FALSE)</f>
        <v>#N/A</v>
      </c>
      <c r="I967" t="e">
        <f>VLOOKUP($C967, Egli_UPEC_metadata_provided!$A$2:$M$826, 8, FALSE)</f>
        <v>#N/A</v>
      </c>
      <c r="J967" t="e">
        <f>VLOOKUP($C967, Egli_UPEC_metadata_provided!$A$2:$M$826, 9, FALSE)</f>
        <v>#N/A</v>
      </c>
      <c r="K967" t="e">
        <f>VLOOKUP($C967, Egli_UPEC_metadata_provided!$A$2:$M$826, 10, FALSE)</f>
        <v>#N/A</v>
      </c>
      <c r="L967" t="e">
        <f>VLOOKUP($C967, Egli_UPEC_metadata_provided!$A$2:$M$826, 11, FALSE)</f>
        <v>#N/A</v>
      </c>
      <c r="M967" t="e">
        <f>VLOOKUP($C967, Egli_UPEC_metadata_provided!$A$2:$M$826, 12, FALSE)</f>
        <v>#N/A</v>
      </c>
      <c r="N967" t="e">
        <f>VLOOKUP($C967, Egli_UPEC_metadata_provided!$A$2:$M$826, 13, FALSE)</f>
        <v>#N/A</v>
      </c>
      <c r="O967" t="e">
        <f>VLOOKUP($C967, Egli_UPEC_metadata_provided!$A$2:$N$826, 14, FALSE)</f>
        <v>#N/A</v>
      </c>
    </row>
    <row r="968" spans="1:15" x14ac:dyDescent="0.2">
      <c r="A968" t="s">
        <v>2196</v>
      </c>
      <c r="B968" t="s">
        <v>4260</v>
      </c>
      <c r="C968" t="s">
        <v>4260</v>
      </c>
      <c r="D968" t="e">
        <f>VLOOKUP($C968, Egli_UPEC_metadata_provided!$A$2:$M$826, 3, FALSE)</f>
        <v>#N/A</v>
      </c>
      <c r="E968" t="e">
        <f>VLOOKUP($C968, Egli_UPEC_metadata_provided!$A$2:$M$826, 4, FALSE)</f>
        <v>#N/A</v>
      </c>
      <c r="F968" t="e">
        <f>VLOOKUP($C968, Egli_UPEC_metadata_provided!$A$2:$M$826, 5, FALSE)</f>
        <v>#N/A</v>
      </c>
      <c r="G968" t="e">
        <f>VLOOKUP($C968, Egli_UPEC_metadata_provided!$A$2:$M$826, 6, FALSE)</f>
        <v>#N/A</v>
      </c>
      <c r="H968" t="e">
        <f>VLOOKUP($C968, Egli_UPEC_metadata_provided!$A$2:$M$826, 7, FALSE)</f>
        <v>#N/A</v>
      </c>
      <c r="I968" t="e">
        <f>VLOOKUP($C968, Egli_UPEC_metadata_provided!$A$2:$M$826, 8, FALSE)</f>
        <v>#N/A</v>
      </c>
      <c r="J968" t="e">
        <f>VLOOKUP($C968, Egli_UPEC_metadata_provided!$A$2:$M$826, 9, FALSE)</f>
        <v>#N/A</v>
      </c>
      <c r="K968" t="e">
        <f>VLOOKUP($C968, Egli_UPEC_metadata_provided!$A$2:$M$826, 10, FALSE)</f>
        <v>#N/A</v>
      </c>
      <c r="L968" t="e">
        <f>VLOOKUP($C968, Egli_UPEC_metadata_provided!$A$2:$M$826, 11, FALSE)</f>
        <v>#N/A</v>
      </c>
      <c r="M968" t="e">
        <f>VLOOKUP($C968, Egli_UPEC_metadata_provided!$A$2:$M$826, 12, FALSE)</f>
        <v>#N/A</v>
      </c>
      <c r="N968" t="e">
        <f>VLOOKUP($C968, Egli_UPEC_metadata_provided!$A$2:$M$826, 13, FALSE)</f>
        <v>#N/A</v>
      </c>
      <c r="O968" t="e">
        <f>VLOOKUP($C968, Egli_UPEC_metadata_provided!$A$2:$N$826, 14, FALSE)</f>
        <v>#N/A</v>
      </c>
    </row>
    <row r="969" spans="1:15" x14ac:dyDescent="0.2">
      <c r="A969" t="s">
        <v>2203</v>
      </c>
      <c r="B969" t="s">
        <v>4261</v>
      </c>
      <c r="C969" t="s">
        <v>4261</v>
      </c>
      <c r="D969" t="e">
        <f>VLOOKUP($C969, Egli_UPEC_metadata_provided!$A$2:$M$826, 3, FALSE)</f>
        <v>#N/A</v>
      </c>
      <c r="E969" t="e">
        <f>VLOOKUP($C969, Egli_UPEC_metadata_provided!$A$2:$M$826, 4, FALSE)</f>
        <v>#N/A</v>
      </c>
      <c r="F969" t="e">
        <f>VLOOKUP($C969, Egli_UPEC_metadata_provided!$A$2:$M$826, 5, FALSE)</f>
        <v>#N/A</v>
      </c>
      <c r="G969" t="e">
        <f>VLOOKUP($C969, Egli_UPEC_metadata_provided!$A$2:$M$826, 6, FALSE)</f>
        <v>#N/A</v>
      </c>
      <c r="H969" t="e">
        <f>VLOOKUP($C969, Egli_UPEC_metadata_provided!$A$2:$M$826, 7, FALSE)</f>
        <v>#N/A</v>
      </c>
      <c r="I969" t="e">
        <f>VLOOKUP($C969, Egli_UPEC_metadata_provided!$A$2:$M$826, 8, FALSE)</f>
        <v>#N/A</v>
      </c>
      <c r="J969" t="e">
        <f>VLOOKUP($C969, Egli_UPEC_metadata_provided!$A$2:$M$826, 9, FALSE)</f>
        <v>#N/A</v>
      </c>
      <c r="K969" t="e">
        <f>VLOOKUP($C969, Egli_UPEC_metadata_provided!$A$2:$M$826, 10, FALSE)</f>
        <v>#N/A</v>
      </c>
      <c r="L969" t="e">
        <f>VLOOKUP($C969, Egli_UPEC_metadata_provided!$A$2:$M$826, 11, FALSE)</f>
        <v>#N/A</v>
      </c>
      <c r="M969" t="e">
        <f>VLOOKUP($C969, Egli_UPEC_metadata_provided!$A$2:$M$826, 12, FALSE)</f>
        <v>#N/A</v>
      </c>
      <c r="N969" t="e">
        <f>VLOOKUP($C969, Egli_UPEC_metadata_provided!$A$2:$M$826, 13, FALSE)</f>
        <v>#N/A</v>
      </c>
      <c r="O969" t="e">
        <f>VLOOKUP($C969, Egli_UPEC_metadata_provided!$A$2:$N$826, 14, FALSE)</f>
        <v>#N/A</v>
      </c>
    </row>
    <row r="970" spans="1:15" x14ac:dyDescent="0.2">
      <c r="A970" t="s">
        <v>2206</v>
      </c>
      <c r="B970" t="s">
        <v>4194</v>
      </c>
      <c r="C970" t="s">
        <v>4194</v>
      </c>
      <c r="D970" t="e">
        <f>VLOOKUP($C970, Egli_UPEC_metadata_provided!$A$2:$M$826, 3, FALSE)</f>
        <v>#N/A</v>
      </c>
      <c r="E970" t="e">
        <f>VLOOKUP($C970, Egli_UPEC_metadata_provided!$A$2:$M$826, 4, FALSE)</f>
        <v>#N/A</v>
      </c>
      <c r="F970" t="e">
        <f>VLOOKUP($C970, Egli_UPEC_metadata_provided!$A$2:$M$826, 5, FALSE)</f>
        <v>#N/A</v>
      </c>
      <c r="G970" t="e">
        <f>VLOOKUP($C970, Egli_UPEC_metadata_provided!$A$2:$M$826, 6, FALSE)</f>
        <v>#N/A</v>
      </c>
      <c r="H970" t="e">
        <f>VLOOKUP($C970, Egli_UPEC_metadata_provided!$A$2:$M$826, 7, FALSE)</f>
        <v>#N/A</v>
      </c>
      <c r="I970" t="e">
        <f>VLOOKUP($C970, Egli_UPEC_metadata_provided!$A$2:$M$826, 8, FALSE)</f>
        <v>#N/A</v>
      </c>
      <c r="J970" t="e">
        <f>VLOOKUP($C970, Egli_UPEC_metadata_provided!$A$2:$M$826, 9, FALSE)</f>
        <v>#N/A</v>
      </c>
      <c r="K970" t="e">
        <f>VLOOKUP($C970, Egli_UPEC_metadata_provided!$A$2:$M$826, 10, FALSE)</f>
        <v>#N/A</v>
      </c>
      <c r="L970" t="e">
        <f>VLOOKUP($C970, Egli_UPEC_metadata_provided!$A$2:$M$826, 11, FALSE)</f>
        <v>#N/A</v>
      </c>
      <c r="M970" t="e">
        <f>VLOOKUP($C970, Egli_UPEC_metadata_provided!$A$2:$M$826, 12, FALSE)</f>
        <v>#N/A</v>
      </c>
      <c r="N970" t="e">
        <f>VLOOKUP($C970, Egli_UPEC_metadata_provided!$A$2:$M$826, 13, FALSE)</f>
        <v>#N/A</v>
      </c>
      <c r="O970" t="e">
        <f>VLOOKUP($C970, Egli_UPEC_metadata_provided!$A$2:$N$826, 14, FALSE)</f>
        <v>#N/A</v>
      </c>
    </row>
    <row r="971" spans="1:15" x14ac:dyDescent="0.2">
      <c r="A971" t="s">
        <v>2213</v>
      </c>
      <c r="B971" t="s">
        <v>4262</v>
      </c>
      <c r="C971" t="s">
        <v>4262</v>
      </c>
      <c r="D971" t="e">
        <f>VLOOKUP($C971, Egli_UPEC_metadata_provided!$A$2:$M$826, 3, FALSE)</f>
        <v>#N/A</v>
      </c>
      <c r="E971" t="e">
        <f>VLOOKUP($C971, Egli_UPEC_metadata_provided!$A$2:$M$826, 4, FALSE)</f>
        <v>#N/A</v>
      </c>
      <c r="F971" t="e">
        <f>VLOOKUP($C971, Egli_UPEC_metadata_provided!$A$2:$M$826, 5, FALSE)</f>
        <v>#N/A</v>
      </c>
      <c r="G971" t="e">
        <f>VLOOKUP($C971, Egli_UPEC_metadata_provided!$A$2:$M$826, 6, FALSE)</f>
        <v>#N/A</v>
      </c>
      <c r="H971" t="e">
        <f>VLOOKUP($C971, Egli_UPEC_metadata_provided!$A$2:$M$826, 7, FALSE)</f>
        <v>#N/A</v>
      </c>
      <c r="I971" t="e">
        <f>VLOOKUP($C971, Egli_UPEC_metadata_provided!$A$2:$M$826, 8, FALSE)</f>
        <v>#N/A</v>
      </c>
      <c r="J971" t="e">
        <f>VLOOKUP($C971, Egli_UPEC_metadata_provided!$A$2:$M$826, 9, FALSE)</f>
        <v>#N/A</v>
      </c>
      <c r="K971" t="e">
        <f>VLOOKUP($C971, Egli_UPEC_metadata_provided!$A$2:$M$826, 10, FALSE)</f>
        <v>#N/A</v>
      </c>
      <c r="L971" t="e">
        <f>VLOOKUP($C971, Egli_UPEC_metadata_provided!$A$2:$M$826, 11, FALSE)</f>
        <v>#N/A</v>
      </c>
      <c r="M971" t="e">
        <f>VLOOKUP($C971, Egli_UPEC_metadata_provided!$A$2:$M$826, 12, FALSE)</f>
        <v>#N/A</v>
      </c>
      <c r="N971" t="e">
        <f>VLOOKUP($C971, Egli_UPEC_metadata_provided!$A$2:$M$826, 13, FALSE)</f>
        <v>#N/A</v>
      </c>
      <c r="O971" t="e">
        <f>VLOOKUP($C971, Egli_UPEC_metadata_provided!$A$2:$N$826, 14, FALSE)</f>
        <v>#N/A</v>
      </c>
    </row>
    <row r="972" spans="1:15" x14ac:dyDescent="0.2">
      <c r="A972" t="s">
        <v>2226</v>
      </c>
      <c r="B972" t="s">
        <v>4366</v>
      </c>
      <c r="C972" t="s">
        <v>4366</v>
      </c>
      <c r="D972" t="e">
        <f>VLOOKUP($C972, Egli_UPEC_metadata_provided!$A$2:$M$826, 3, FALSE)</f>
        <v>#N/A</v>
      </c>
      <c r="E972" t="e">
        <f>VLOOKUP($C972, Egli_UPEC_metadata_provided!$A$2:$M$826, 4, FALSE)</f>
        <v>#N/A</v>
      </c>
      <c r="F972" t="e">
        <f>VLOOKUP($C972, Egli_UPEC_metadata_provided!$A$2:$M$826, 5, FALSE)</f>
        <v>#N/A</v>
      </c>
      <c r="G972" t="e">
        <f>VLOOKUP($C972, Egli_UPEC_metadata_provided!$A$2:$M$826, 6, FALSE)</f>
        <v>#N/A</v>
      </c>
      <c r="H972" t="e">
        <f>VLOOKUP($C972, Egli_UPEC_metadata_provided!$A$2:$M$826, 7, FALSE)</f>
        <v>#N/A</v>
      </c>
      <c r="I972" t="e">
        <f>VLOOKUP($C972, Egli_UPEC_metadata_provided!$A$2:$M$826, 8, FALSE)</f>
        <v>#N/A</v>
      </c>
      <c r="J972" t="e">
        <f>VLOOKUP($C972, Egli_UPEC_metadata_provided!$A$2:$M$826, 9, FALSE)</f>
        <v>#N/A</v>
      </c>
      <c r="K972" t="e">
        <f>VLOOKUP($C972, Egli_UPEC_metadata_provided!$A$2:$M$826, 10, FALSE)</f>
        <v>#N/A</v>
      </c>
      <c r="L972" t="e">
        <f>VLOOKUP($C972, Egli_UPEC_metadata_provided!$A$2:$M$826, 11, FALSE)</f>
        <v>#N/A</v>
      </c>
      <c r="M972" t="e">
        <f>VLOOKUP($C972, Egli_UPEC_metadata_provided!$A$2:$M$826, 12, FALSE)</f>
        <v>#N/A</v>
      </c>
      <c r="N972" t="e">
        <f>VLOOKUP($C972, Egli_UPEC_metadata_provided!$A$2:$M$826, 13, FALSE)</f>
        <v>#N/A</v>
      </c>
      <c r="O972" t="e">
        <f>VLOOKUP($C972, Egli_UPEC_metadata_provided!$A$2:$N$826, 14, FALSE)</f>
        <v>#N/A</v>
      </c>
    </row>
    <row r="973" spans="1:15" x14ac:dyDescent="0.2">
      <c r="A973" t="s">
        <v>2231</v>
      </c>
      <c r="B973" t="s">
        <v>4263</v>
      </c>
      <c r="C973" t="s">
        <v>4263</v>
      </c>
      <c r="D973" t="e">
        <f>VLOOKUP($C973, Egli_UPEC_metadata_provided!$A$2:$M$826, 3, FALSE)</f>
        <v>#N/A</v>
      </c>
      <c r="E973" t="e">
        <f>VLOOKUP($C973, Egli_UPEC_metadata_provided!$A$2:$M$826, 4, FALSE)</f>
        <v>#N/A</v>
      </c>
      <c r="F973" t="e">
        <f>VLOOKUP($C973, Egli_UPEC_metadata_provided!$A$2:$M$826, 5, FALSE)</f>
        <v>#N/A</v>
      </c>
      <c r="G973" t="e">
        <f>VLOOKUP($C973, Egli_UPEC_metadata_provided!$A$2:$M$826, 6, FALSE)</f>
        <v>#N/A</v>
      </c>
      <c r="H973" t="e">
        <f>VLOOKUP($C973, Egli_UPEC_metadata_provided!$A$2:$M$826, 7, FALSE)</f>
        <v>#N/A</v>
      </c>
      <c r="I973" t="e">
        <f>VLOOKUP($C973, Egli_UPEC_metadata_provided!$A$2:$M$826, 8, FALSE)</f>
        <v>#N/A</v>
      </c>
      <c r="J973" t="e">
        <f>VLOOKUP($C973, Egli_UPEC_metadata_provided!$A$2:$M$826, 9, FALSE)</f>
        <v>#N/A</v>
      </c>
      <c r="K973" t="e">
        <f>VLOOKUP($C973, Egli_UPEC_metadata_provided!$A$2:$M$826, 10, FALSE)</f>
        <v>#N/A</v>
      </c>
      <c r="L973" t="e">
        <f>VLOOKUP($C973, Egli_UPEC_metadata_provided!$A$2:$M$826, 11, FALSE)</f>
        <v>#N/A</v>
      </c>
      <c r="M973" t="e">
        <f>VLOOKUP($C973, Egli_UPEC_metadata_provided!$A$2:$M$826, 12, FALSE)</f>
        <v>#N/A</v>
      </c>
      <c r="N973" t="e">
        <f>VLOOKUP($C973, Egli_UPEC_metadata_provided!$A$2:$M$826, 13, FALSE)</f>
        <v>#N/A</v>
      </c>
      <c r="O973" t="e">
        <f>VLOOKUP($C973, Egli_UPEC_metadata_provided!$A$2:$N$826, 14, FALSE)</f>
        <v>#N/A</v>
      </c>
    </row>
    <row r="974" spans="1:15" x14ac:dyDescent="0.2">
      <c r="A974" t="s">
        <v>2246</v>
      </c>
      <c r="B974" t="s">
        <v>4198</v>
      </c>
      <c r="C974" t="s">
        <v>4198</v>
      </c>
      <c r="D974" t="e">
        <f>VLOOKUP($C974, Egli_UPEC_metadata_provided!$A$2:$M$826, 3, FALSE)</f>
        <v>#N/A</v>
      </c>
      <c r="E974" t="e">
        <f>VLOOKUP($C974, Egli_UPEC_metadata_provided!$A$2:$M$826, 4, FALSE)</f>
        <v>#N/A</v>
      </c>
      <c r="F974" t="e">
        <f>VLOOKUP($C974, Egli_UPEC_metadata_provided!$A$2:$M$826, 5, FALSE)</f>
        <v>#N/A</v>
      </c>
      <c r="G974" t="e">
        <f>VLOOKUP($C974, Egli_UPEC_metadata_provided!$A$2:$M$826, 6, FALSE)</f>
        <v>#N/A</v>
      </c>
      <c r="H974" t="e">
        <f>VLOOKUP($C974, Egli_UPEC_metadata_provided!$A$2:$M$826, 7, FALSE)</f>
        <v>#N/A</v>
      </c>
      <c r="I974" t="e">
        <f>VLOOKUP($C974, Egli_UPEC_metadata_provided!$A$2:$M$826, 8, FALSE)</f>
        <v>#N/A</v>
      </c>
      <c r="J974" t="e">
        <f>VLOOKUP($C974, Egli_UPEC_metadata_provided!$A$2:$M$826, 9, FALSE)</f>
        <v>#N/A</v>
      </c>
      <c r="K974" t="e">
        <f>VLOOKUP($C974, Egli_UPEC_metadata_provided!$A$2:$M$826, 10, FALSE)</f>
        <v>#N/A</v>
      </c>
      <c r="L974" t="e">
        <f>VLOOKUP($C974, Egli_UPEC_metadata_provided!$A$2:$M$826, 11, FALSE)</f>
        <v>#N/A</v>
      </c>
      <c r="M974" t="e">
        <f>VLOOKUP($C974, Egli_UPEC_metadata_provided!$A$2:$M$826, 12, FALSE)</f>
        <v>#N/A</v>
      </c>
      <c r="N974" t="e">
        <f>VLOOKUP($C974, Egli_UPEC_metadata_provided!$A$2:$M$826, 13, FALSE)</f>
        <v>#N/A</v>
      </c>
      <c r="O974" t="e">
        <f>VLOOKUP($C974, Egli_UPEC_metadata_provided!$A$2:$N$826, 14, FALSE)</f>
        <v>#N/A</v>
      </c>
    </row>
    <row r="975" spans="1:15" x14ac:dyDescent="0.2">
      <c r="A975" t="s">
        <v>2253</v>
      </c>
      <c r="B975" t="s">
        <v>4200</v>
      </c>
      <c r="C975" t="s">
        <v>4200</v>
      </c>
      <c r="D975" t="e">
        <f>VLOOKUP($C975, Egli_UPEC_metadata_provided!$A$2:$M$826, 3, FALSE)</f>
        <v>#N/A</v>
      </c>
      <c r="E975" t="e">
        <f>VLOOKUP($C975, Egli_UPEC_metadata_provided!$A$2:$M$826, 4, FALSE)</f>
        <v>#N/A</v>
      </c>
      <c r="F975" t="e">
        <f>VLOOKUP($C975, Egli_UPEC_metadata_provided!$A$2:$M$826, 5, FALSE)</f>
        <v>#N/A</v>
      </c>
      <c r="G975" t="e">
        <f>VLOOKUP($C975, Egli_UPEC_metadata_provided!$A$2:$M$826, 6, FALSE)</f>
        <v>#N/A</v>
      </c>
      <c r="H975" t="e">
        <f>VLOOKUP($C975, Egli_UPEC_metadata_provided!$A$2:$M$826, 7, FALSE)</f>
        <v>#N/A</v>
      </c>
      <c r="I975" t="e">
        <f>VLOOKUP($C975, Egli_UPEC_metadata_provided!$A$2:$M$826, 8, FALSE)</f>
        <v>#N/A</v>
      </c>
      <c r="J975" t="e">
        <f>VLOOKUP($C975, Egli_UPEC_metadata_provided!$A$2:$M$826, 9, FALSE)</f>
        <v>#N/A</v>
      </c>
      <c r="K975" t="e">
        <f>VLOOKUP($C975, Egli_UPEC_metadata_provided!$A$2:$M$826, 10, FALSE)</f>
        <v>#N/A</v>
      </c>
      <c r="L975" t="e">
        <f>VLOOKUP($C975, Egli_UPEC_metadata_provided!$A$2:$M$826, 11, FALSE)</f>
        <v>#N/A</v>
      </c>
      <c r="M975" t="e">
        <f>VLOOKUP($C975, Egli_UPEC_metadata_provided!$A$2:$M$826, 12, FALSE)</f>
        <v>#N/A</v>
      </c>
      <c r="N975" t="e">
        <f>VLOOKUP($C975, Egli_UPEC_metadata_provided!$A$2:$M$826, 13, FALSE)</f>
        <v>#N/A</v>
      </c>
      <c r="O975" t="e">
        <f>VLOOKUP($C975, Egli_UPEC_metadata_provided!$A$2:$N$826, 14, FALSE)</f>
        <v>#N/A</v>
      </c>
    </row>
    <row r="976" spans="1:15" x14ac:dyDescent="0.2">
      <c r="A976" t="s">
        <v>2256</v>
      </c>
      <c r="B976" t="s">
        <v>4367</v>
      </c>
      <c r="C976" t="s">
        <v>4367</v>
      </c>
      <c r="D976" t="e">
        <f>VLOOKUP($C976, Egli_UPEC_metadata_provided!$A$2:$M$826, 3, FALSE)</f>
        <v>#N/A</v>
      </c>
      <c r="E976" t="e">
        <f>VLOOKUP($C976, Egli_UPEC_metadata_provided!$A$2:$M$826, 4, FALSE)</f>
        <v>#N/A</v>
      </c>
      <c r="F976" t="e">
        <f>VLOOKUP($C976, Egli_UPEC_metadata_provided!$A$2:$M$826, 5, FALSE)</f>
        <v>#N/A</v>
      </c>
      <c r="G976" t="e">
        <f>VLOOKUP($C976, Egli_UPEC_metadata_provided!$A$2:$M$826, 6, FALSE)</f>
        <v>#N/A</v>
      </c>
      <c r="H976" t="e">
        <f>VLOOKUP($C976, Egli_UPEC_metadata_provided!$A$2:$M$826, 7, FALSE)</f>
        <v>#N/A</v>
      </c>
      <c r="I976" t="e">
        <f>VLOOKUP($C976, Egli_UPEC_metadata_provided!$A$2:$M$826, 8, FALSE)</f>
        <v>#N/A</v>
      </c>
      <c r="J976" t="e">
        <f>VLOOKUP($C976, Egli_UPEC_metadata_provided!$A$2:$M$826, 9, FALSE)</f>
        <v>#N/A</v>
      </c>
      <c r="K976" t="e">
        <f>VLOOKUP($C976, Egli_UPEC_metadata_provided!$A$2:$M$826, 10, FALSE)</f>
        <v>#N/A</v>
      </c>
      <c r="L976" t="e">
        <f>VLOOKUP($C976, Egli_UPEC_metadata_provided!$A$2:$M$826, 11, FALSE)</f>
        <v>#N/A</v>
      </c>
      <c r="M976" t="e">
        <f>VLOOKUP($C976, Egli_UPEC_metadata_provided!$A$2:$M$826, 12, FALSE)</f>
        <v>#N/A</v>
      </c>
      <c r="N976" t="e">
        <f>VLOOKUP($C976, Egli_UPEC_metadata_provided!$A$2:$M$826, 13, FALSE)</f>
        <v>#N/A</v>
      </c>
      <c r="O976" t="e">
        <f>VLOOKUP($C976, Egli_UPEC_metadata_provided!$A$2:$N$826, 14, FALSE)</f>
        <v>#N/A</v>
      </c>
    </row>
    <row r="977" spans="1:15" x14ac:dyDescent="0.2">
      <c r="A977" t="s">
        <v>2259</v>
      </c>
      <c r="B977" t="s">
        <v>4265</v>
      </c>
      <c r="C977" t="s">
        <v>4402</v>
      </c>
      <c r="D977" t="e">
        <f>VLOOKUP($C977, Egli_UPEC_metadata_provided!$A$2:$M$826, 3, FALSE)</f>
        <v>#N/A</v>
      </c>
      <c r="E977" t="e">
        <f>VLOOKUP($C977, Egli_UPEC_metadata_provided!$A$2:$M$826, 4, FALSE)</f>
        <v>#N/A</v>
      </c>
      <c r="F977" t="e">
        <f>VLOOKUP($C977, Egli_UPEC_metadata_provided!$A$2:$M$826, 5, FALSE)</f>
        <v>#N/A</v>
      </c>
      <c r="G977" t="e">
        <f>VLOOKUP($C977, Egli_UPEC_metadata_provided!$A$2:$M$826, 6, FALSE)</f>
        <v>#N/A</v>
      </c>
      <c r="H977" t="e">
        <f>VLOOKUP($C977, Egli_UPEC_metadata_provided!$A$2:$M$826, 7, FALSE)</f>
        <v>#N/A</v>
      </c>
      <c r="I977" t="e">
        <f>VLOOKUP($C977, Egli_UPEC_metadata_provided!$A$2:$M$826, 8, FALSE)</f>
        <v>#N/A</v>
      </c>
      <c r="J977" t="e">
        <f>VLOOKUP($C977, Egli_UPEC_metadata_provided!$A$2:$M$826, 9, FALSE)</f>
        <v>#N/A</v>
      </c>
      <c r="K977" t="e">
        <f>VLOOKUP($C977, Egli_UPEC_metadata_provided!$A$2:$M$826, 10, FALSE)</f>
        <v>#N/A</v>
      </c>
      <c r="L977" t="e">
        <f>VLOOKUP($C977, Egli_UPEC_metadata_provided!$A$2:$M$826, 11, FALSE)</f>
        <v>#N/A</v>
      </c>
      <c r="M977" t="e">
        <f>VLOOKUP($C977, Egli_UPEC_metadata_provided!$A$2:$M$826, 12, FALSE)</f>
        <v>#N/A</v>
      </c>
      <c r="N977" t="e">
        <f>VLOOKUP($C977, Egli_UPEC_metadata_provided!$A$2:$M$826, 13, FALSE)</f>
        <v>#N/A</v>
      </c>
      <c r="O977" t="e">
        <f>VLOOKUP($C977, Egli_UPEC_metadata_provided!$A$2:$N$826, 14, FALSE)</f>
        <v>#N/A</v>
      </c>
    </row>
    <row r="978" spans="1:15" x14ac:dyDescent="0.2">
      <c r="A978" t="s">
        <v>2262</v>
      </c>
      <c r="B978" t="s">
        <v>4368</v>
      </c>
      <c r="C978" t="s">
        <v>4402</v>
      </c>
      <c r="D978" t="e">
        <f>VLOOKUP($C978, Egli_UPEC_metadata_provided!$A$2:$M$826, 3, FALSE)</f>
        <v>#N/A</v>
      </c>
      <c r="E978" t="e">
        <f>VLOOKUP($C978, Egli_UPEC_metadata_provided!$A$2:$M$826, 4, FALSE)</f>
        <v>#N/A</v>
      </c>
      <c r="F978" t="e">
        <f>VLOOKUP($C978, Egli_UPEC_metadata_provided!$A$2:$M$826, 5, FALSE)</f>
        <v>#N/A</v>
      </c>
      <c r="G978" t="e">
        <f>VLOOKUP($C978, Egli_UPEC_metadata_provided!$A$2:$M$826, 6, FALSE)</f>
        <v>#N/A</v>
      </c>
      <c r="H978" t="e">
        <f>VLOOKUP($C978, Egli_UPEC_metadata_provided!$A$2:$M$826, 7, FALSE)</f>
        <v>#N/A</v>
      </c>
      <c r="I978" t="e">
        <f>VLOOKUP($C978, Egli_UPEC_metadata_provided!$A$2:$M$826, 8, FALSE)</f>
        <v>#N/A</v>
      </c>
      <c r="J978" t="e">
        <f>VLOOKUP($C978, Egli_UPEC_metadata_provided!$A$2:$M$826, 9, FALSE)</f>
        <v>#N/A</v>
      </c>
      <c r="K978" t="e">
        <f>VLOOKUP($C978, Egli_UPEC_metadata_provided!$A$2:$M$826, 10, FALSE)</f>
        <v>#N/A</v>
      </c>
      <c r="L978" t="e">
        <f>VLOOKUP($C978, Egli_UPEC_metadata_provided!$A$2:$M$826, 11, FALSE)</f>
        <v>#N/A</v>
      </c>
      <c r="M978" t="e">
        <f>VLOOKUP($C978, Egli_UPEC_metadata_provided!$A$2:$M$826, 12, FALSE)</f>
        <v>#N/A</v>
      </c>
      <c r="N978" t="e">
        <f>VLOOKUP($C978, Egli_UPEC_metadata_provided!$A$2:$M$826, 13, FALSE)</f>
        <v>#N/A</v>
      </c>
      <c r="O978" t="e">
        <f>VLOOKUP($C978, Egli_UPEC_metadata_provided!$A$2:$N$826, 14, FALSE)</f>
        <v>#N/A</v>
      </c>
    </row>
    <row r="979" spans="1:15" x14ac:dyDescent="0.2">
      <c r="A979" t="s">
        <v>2275</v>
      </c>
      <c r="B979" t="s">
        <v>4369</v>
      </c>
      <c r="C979" t="s">
        <v>4369</v>
      </c>
      <c r="D979" t="e">
        <f>VLOOKUP($C979, Egli_UPEC_metadata_provided!$A$2:$M$826, 3, FALSE)</f>
        <v>#N/A</v>
      </c>
      <c r="E979" t="e">
        <f>VLOOKUP($C979, Egli_UPEC_metadata_provided!$A$2:$M$826, 4, FALSE)</f>
        <v>#N/A</v>
      </c>
      <c r="F979" t="e">
        <f>VLOOKUP($C979, Egli_UPEC_metadata_provided!$A$2:$M$826, 5, FALSE)</f>
        <v>#N/A</v>
      </c>
      <c r="G979" t="e">
        <f>VLOOKUP($C979, Egli_UPEC_metadata_provided!$A$2:$M$826, 6, FALSE)</f>
        <v>#N/A</v>
      </c>
      <c r="H979" t="e">
        <f>VLOOKUP($C979, Egli_UPEC_metadata_provided!$A$2:$M$826, 7, FALSE)</f>
        <v>#N/A</v>
      </c>
      <c r="I979" t="e">
        <f>VLOOKUP($C979, Egli_UPEC_metadata_provided!$A$2:$M$826, 8, FALSE)</f>
        <v>#N/A</v>
      </c>
      <c r="J979" t="e">
        <f>VLOOKUP($C979, Egli_UPEC_metadata_provided!$A$2:$M$826, 9, FALSE)</f>
        <v>#N/A</v>
      </c>
      <c r="K979" t="e">
        <f>VLOOKUP($C979, Egli_UPEC_metadata_provided!$A$2:$M$826, 10, FALSE)</f>
        <v>#N/A</v>
      </c>
      <c r="L979" t="e">
        <f>VLOOKUP($C979, Egli_UPEC_metadata_provided!$A$2:$M$826, 11, FALSE)</f>
        <v>#N/A</v>
      </c>
      <c r="M979" t="e">
        <f>VLOOKUP($C979, Egli_UPEC_metadata_provided!$A$2:$M$826, 12, FALSE)</f>
        <v>#N/A</v>
      </c>
      <c r="N979" t="e">
        <f>VLOOKUP($C979, Egli_UPEC_metadata_provided!$A$2:$M$826, 13, FALSE)</f>
        <v>#N/A</v>
      </c>
      <c r="O979" t="e">
        <f>VLOOKUP($C979, Egli_UPEC_metadata_provided!$A$2:$N$826, 14, FALSE)</f>
        <v>#N/A</v>
      </c>
    </row>
    <row r="980" spans="1:15" x14ac:dyDescent="0.2">
      <c r="A980" t="s">
        <v>2290</v>
      </c>
      <c r="B980" t="s">
        <v>4268</v>
      </c>
      <c r="C980" t="s">
        <v>4268</v>
      </c>
      <c r="D980" t="e">
        <f>VLOOKUP($C980, Egli_UPEC_metadata_provided!$A$2:$M$826, 3, FALSE)</f>
        <v>#N/A</v>
      </c>
      <c r="E980" t="e">
        <f>VLOOKUP($C980, Egli_UPEC_metadata_provided!$A$2:$M$826, 4, FALSE)</f>
        <v>#N/A</v>
      </c>
      <c r="F980" t="e">
        <f>VLOOKUP($C980, Egli_UPEC_metadata_provided!$A$2:$M$826, 5, FALSE)</f>
        <v>#N/A</v>
      </c>
      <c r="G980" t="e">
        <f>VLOOKUP($C980, Egli_UPEC_metadata_provided!$A$2:$M$826, 6, FALSE)</f>
        <v>#N/A</v>
      </c>
      <c r="H980" t="e">
        <f>VLOOKUP($C980, Egli_UPEC_metadata_provided!$A$2:$M$826, 7, FALSE)</f>
        <v>#N/A</v>
      </c>
      <c r="I980" t="e">
        <f>VLOOKUP($C980, Egli_UPEC_metadata_provided!$A$2:$M$826, 8, FALSE)</f>
        <v>#N/A</v>
      </c>
      <c r="J980" t="e">
        <f>VLOOKUP($C980, Egli_UPEC_metadata_provided!$A$2:$M$826, 9, FALSE)</f>
        <v>#N/A</v>
      </c>
      <c r="K980" t="e">
        <f>VLOOKUP($C980, Egli_UPEC_metadata_provided!$A$2:$M$826, 10, FALSE)</f>
        <v>#N/A</v>
      </c>
      <c r="L980" t="e">
        <f>VLOOKUP($C980, Egli_UPEC_metadata_provided!$A$2:$M$826, 11, FALSE)</f>
        <v>#N/A</v>
      </c>
      <c r="M980" t="e">
        <f>VLOOKUP($C980, Egli_UPEC_metadata_provided!$A$2:$M$826, 12, FALSE)</f>
        <v>#N/A</v>
      </c>
      <c r="N980" t="e">
        <f>VLOOKUP($C980, Egli_UPEC_metadata_provided!$A$2:$M$826, 13, FALSE)</f>
        <v>#N/A</v>
      </c>
      <c r="O980" t="e">
        <f>VLOOKUP($C980, Egli_UPEC_metadata_provided!$A$2:$N$826, 14, FALSE)</f>
        <v>#N/A</v>
      </c>
    </row>
    <row r="981" spans="1:15" x14ac:dyDescent="0.2">
      <c r="A981" t="s">
        <v>2293</v>
      </c>
      <c r="B981" t="s">
        <v>4370</v>
      </c>
      <c r="C981" t="s">
        <v>4370</v>
      </c>
      <c r="D981" t="e">
        <f>VLOOKUP($C981, Egli_UPEC_metadata_provided!$A$2:$M$826, 3, FALSE)</f>
        <v>#N/A</v>
      </c>
      <c r="E981" t="e">
        <f>VLOOKUP($C981, Egli_UPEC_metadata_provided!$A$2:$M$826, 4, FALSE)</f>
        <v>#N/A</v>
      </c>
      <c r="F981" t="e">
        <f>VLOOKUP($C981, Egli_UPEC_metadata_provided!$A$2:$M$826, 5, FALSE)</f>
        <v>#N/A</v>
      </c>
      <c r="G981" t="e">
        <f>VLOOKUP($C981, Egli_UPEC_metadata_provided!$A$2:$M$826, 6, FALSE)</f>
        <v>#N/A</v>
      </c>
      <c r="H981" t="e">
        <f>VLOOKUP($C981, Egli_UPEC_metadata_provided!$A$2:$M$826, 7, FALSE)</f>
        <v>#N/A</v>
      </c>
      <c r="I981" t="e">
        <f>VLOOKUP($C981, Egli_UPEC_metadata_provided!$A$2:$M$826, 8, FALSE)</f>
        <v>#N/A</v>
      </c>
      <c r="J981" t="e">
        <f>VLOOKUP($C981, Egli_UPEC_metadata_provided!$A$2:$M$826, 9, FALSE)</f>
        <v>#N/A</v>
      </c>
      <c r="K981" t="e">
        <f>VLOOKUP($C981, Egli_UPEC_metadata_provided!$A$2:$M$826, 10, FALSE)</f>
        <v>#N/A</v>
      </c>
      <c r="L981" t="e">
        <f>VLOOKUP($C981, Egli_UPEC_metadata_provided!$A$2:$M$826, 11, FALSE)</f>
        <v>#N/A</v>
      </c>
      <c r="M981" t="e">
        <f>VLOOKUP($C981, Egli_UPEC_metadata_provided!$A$2:$M$826, 12, FALSE)</f>
        <v>#N/A</v>
      </c>
      <c r="N981" t="e">
        <f>VLOOKUP($C981, Egli_UPEC_metadata_provided!$A$2:$M$826, 13, FALSE)</f>
        <v>#N/A</v>
      </c>
      <c r="O981" t="e">
        <f>VLOOKUP($C981, Egli_UPEC_metadata_provided!$A$2:$N$826, 14, FALSE)</f>
        <v>#N/A</v>
      </c>
    </row>
    <row r="982" spans="1:15" x14ac:dyDescent="0.2">
      <c r="A982" t="s">
        <v>2302</v>
      </c>
      <c r="B982" t="s">
        <v>4269</v>
      </c>
      <c r="C982" t="s">
        <v>4401</v>
      </c>
      <c r="D982" t="e">
        <f>VLOOKUP($C982, Egli_UPEC_metadata_provided!$A$2:$M$826, 3, FALSE)</f>
        <v>#N/A</v>
      </c>
      <c r="E982" t="e">
        <f>VLOOKUP($C982, Egli_UPEC_metadata_provided!$A$2:$M$826, 4, FALSE)</f>
        <v>#N/A</v>
      </c>
      <c r="F982" t="e">
        <f>VLOOKUP($C982, Egli_UPEC_metadata_provided!$A$2:$M$826, 5, FALSE)</f>
        <v>#N/A</v>
      </c>
      <c r="G982" t="e">
        <f>VLOOKUP($C982, Egli_UPEC_metadata_provided!$A$2:$M$826, 6, FALSE)</f>
        <v>#N/A</v>
      </c>
      <c r="H982" t="e">
        <f>VLOOKUP($C982, Egli_UPEC_metadata_provided!$A$2:$M$826, 7, FALSE)</f>
        <v>#N/A</v>
      </c>
      <c r="I982" t="e">
        <f>VLOOKUP($C982, Egli_UPEC_metadata_provided!$A$2:$M$826, 8, FALSE)</f>
        <v>#N/A</v>
      </c>
      <c r="J982" t="e">
        <f>VLOOKUP($C982, Egli_UPEC_metadata_provided!$A$2:$M$826, 9, FALSE)</f>
        <v>#N/A</v>
      </c>
      <c r="K982" t="e">
        <f>VLOOKUP($C982, Egli_UPEC_metadata_provided!$A$2:$M$826, 10, FALSE)</f>
        <v>#N/A</v>
      </c>
      <c r="L982" t="e">
        <f>VLOOKUP($C982, Egli_UPEC_metadata_provided!$A$2:$M$826, 11, FALSE)</f>
        <v>#N/A</v>
      </c>
      <c r="M982" t="e">
        <f>VLOOKUP($C982, Egli_UPEC_metadata_provided!$A$2:$M$826, 12, FALSE)</f>
        <v>#N/A</v>
      </c>
      <c r="N982" t="e">
        <f>VLOOKUP($C982, Egli_UPEC_metadata_provided!$A$2:$M$826, 13, FALSE)</f>
        <v>#N/A</v>
      </c>
      <c r="O982" t="e">
        <f>VLOOKUP($C982, Egli_UPEC_metadata_provided!$A$2:$N$826, 14, FALSE)</f>
        <v>#N/A</v>
      </c>
    </row>
    <row r="983" spans="1:15" x14ac:dyDescent="0.2">
      <c r="A983" t="s">
        <v>2305</v>
      </c>
      <c r="B983" t="s">
        <v>4371</v>
      </c>
      <c r="C983" t="s">
        <v>4401</v>
      </c>
      <c r="D983" t="e">
        <f>VLOOKUP($C983, Egli_UPEC_metadata_provided!$A$2:$M$826, 3, FALSE)</f>
        <v>#N/A</v>
      </c>
      <c r="E983" t="e">
        <f>VLOOKUP($C983, Egli_UPEC_metadata_provided!$A$2:$M$826, 4, FALSE)</f>
        <v>#N/A</v>
      </c>
      <c r="F983" t="e">
        <f>VLOOKUP($C983, Egli_UPEC_metadata_provided!$A$2:$M$826, 5, FALSE)</f>
        <v>#N/A</v>
      </c>
      <c r="G983" t="e">
        <f>VLOOKUP($C983, Egli_UPEC_metadata_provided!$A$2:$M$826, 6, FALSE)</f>
        <v>#N/A</v>
      </c>
      <c r="H983" t="e">
        <f>VLOOKUP($C983, Egli_UPEC_metadata_provided!$A$2:$M$826, 7, FALSE)</f>
        <v>#N/A</v>
      </c>
      <c r="I983" t="e">
        <f>VLOOKUP($C983, Egli_UPEC_metadata_provided!$A$2:$M$826, 8, FALSE)</f>
        <v>#N/A</v>
      </c>
      <c r="J983" t="e">
        <f>VLOOKUP($C983, Egli_UPEC_metadata_provided!$A$2:$M$826, 9, FALSE)</f>
        <v>#N/A</v>
      </c>
      <c r="K983" t="e">
        <f>VLOOKUP($C983, Egli_UPEC_metadata_provided!$A$2:$M$826, 10, FALSE)</f>
        <v>#N/A</v>
      </c>
      <c r="L983" t="e">
        <f>VLOOKUP($C983, Egli_UPEC_metadata_provided!$A$2:$M$826, 11, FALSE)</f>
        <v>#N/A</v>
      </c>
      <c r="M983" t="e">
        <f>VLOOKUP($C983, Egli_UPEC_metadata_provided!$A$2:$M$826, 12, FALSE)</f>
        <v>#N/A</v>
      </c>
      <c r="N983" t="e">
        <f>VLOOKUP($C983, Egli_UPEC_metadata_provided!$A$2:$M$826, 13, FALSE)</f>
        <v>#N/A</v>
      </c>
      <c r="O983" t="e">
        <f>VLOOKUP($C983, Egli_UPEC_metadata_provided!$A$2:$N$826, 14, FALSE)</f>
        <v>#N/A</v>
      </c>
    </row>
    <row r="984" spans="1:15" x14ac:dyDescent="0.2">
      <c r="A984" t="s">
        <v>2338</v>
      </c>
      <c r="B984" t="s">
        <v>4204</v>
      </c>
      <c r="C984" t="s">
        <v>4204</v>
      </c>
      <c r="D984" t="e">
        <f>VLOOKUP($C984, Egli_UPEC_metadata_provided!$A$2:$M$826, 3, FALSE)</f>
        <v>#N/A</v>
      </c>
      <c r="E984" t="e">
        <f>VLOOKUP($C984, Egli_UPEC_metadata_provided!$A$2:$M$826, 4, FALSE)</f>
        <v>#N/A</v>
      </c>
      <c r="F984" t="e">
        <f>VLOOKUP($C984, Egli_UPEC_metadata_provided!$A$2:$M$826, 5, FALSE)</f>
        <v>#N/A</v>
      </c>
      <c r="G984" t="e">
        <f>VLOOKUP($C984, Egli_UPEC_metadata_provided!$A$2:$M$826, 6, FALSE)</f>
        <v>#N/A</v>
      </c>
      <c r="H984" t="e">
        <f>VLOOKUP($C984, Egli_UPEC_metadata_provided!$A$2:$M$826, 7, FALSE)</f>
        <v>#N/A</v>
      </c>
      <c r="I984" t="e">
        <f>VLOOKUP($C984, Egli_UPEC_metadata_provided!$A$2:$M$826, 8, FALSE)</f>
        <v>#N/A</v>
      </c>
      <c r="J984" t="e">
        <f>VLOOKUP($C984, Egli_UPEC_metadata_provided!$A$2:$M$826, 9, FALSE)</f>
        <v>#N/A</v>
      </c>
      <c r="K984" t="e">
        <f>VLOOKUP($C984, Egli_UPEC_metadata_provided!$A$2:$M$826, 10, FALSE)</f>
        <v>#N/A</v>
      </c>
      <c r="L984" t="e">
        <f>VLOOKUP($C984, Egli_UPEC_metadata_provided!$A$2:$M$826, 11, FALSE)</f>
        <v>#N/A</v>
      </c>
      <c r="M984" t="e">
        <f>VLOOKUP($C984, Egli_UPEC_metadata_provided!$A$2:$M$826, 12, FALSE)</f>
        <v>#N/A</v>
      </c>
      <c r="N984" t="e">
        <f>VLOOKUP($C984, Egli_UPEC_metadata_provided!$A$2:$M$826, 13, FALSE)</f>
        <v>#N/A</v>
      </c>
      <c r="O984" t="e">
        <f>VLOOKUP($C984, Egli_UPEC_metadata_provided!$A$2:$N$826, 14, FALSE)</f>
        <v>#N/A</v>
      </c>
    </row>
    <row r="985" spans="1:15" x14ac:dyDescent="0.2">
      <c r="A985" t="s">
        <v>2349</v>
      </c>
      <c r="B985" t="s">
        <v>4270</v>
      </c>
      <c r="C985" t="s">
        <v>4270</v>
      </c>
      <c r="D985" t="e">
        <f>VLOOKUP($C985, Egli_UPEC_metadata_provided!$A$2:$M$826, 3, FALSE)</f>
        <v>#N/A</v>
      </c>
      <c r="E985" t="e">
        <f>VLOOKUP($C985, Egli_UPEC_metadata_provided!$A$2:$M$826, 4, FALSE)</f>
        <v>#N/A</v>
      </c>
      <c r="F985" t="e">
        <f>VLOOKUP($C985, Egli_UPEC_metadata_provided!$A$2:$M$826, 5, FALSE)</f>
        <v>#N/A</v>
      </c>
      <c r="G985" t="e">
        <f>VLOOKUP($C985, Egli_UPEC_metadata_provided!$A$2:$M$826, 6, FALSE)</f>
        <v>#N/A</v>
      </c>
      <c r="H985" t="e">
        <f>VLOOKUP($C985, Egli_UPEC_metadata_provided!$A$2:$M$826, 7, FALSE)</f>
        <v>#N/A</v>
      </c>
      <c r="I985" t="e">
        <f>VLOOKUP($C985, Egli_UPEC_metadata_provided!$A$2:$M$826, 8, FALSE)</f>
        <v>#N/A</v>
      </c>
      <c r="J985" t="e">
        <f>VLOOKUP($C985, Egli_UPEC_metadata_provided!$A$2:$M$826, 9, FALSE)</f>
        <v>#N/A</v>
      </c>
      <c r="K985" t="e">
        <f>VLOOKUP($C985, Egli_UPEC_metadata_provided!$A$2:$M$826, 10, FALSE)</f>
        <v>#N/A</v>
      </c>
      <c r="L985" t="e">
        <f>VLOOKUP($C985, Egli_UPEC_metadata_provided!$A$2:$M$826, 11, FALSE)</f>
        <v>#N/A</v>
      </c>
      <c r="M985" t="e">
        <f>VLOOKUP($C985, Egli_UPEC_metadata_provided!$A$2:$M$826, 12, FALSE)</f>
        <v>#N/A</v>
      </c>
      <c r="N985" t="e">
        <f>VLOOKUP($C985, Egli_UPEC_metadata_provided!$A$2:$M$826, 13, FALSE)</f>
        <v>#N/A</v>
      </c>
      <c r="O985" t="e">
        <f>VLOOKUP($C985, Egli_UPEC_metadata_provided!$A$2:$N$826, 14, FALSE)</f>
        <v>#N/A</v>
      </c>
    </row>
    <row r="986" spans="1:15" x14ac:dyDescent="0.2">
      <c r="A986" t="s">
        <v>2352</v>
      </c>
      <c r="B986" t="s">
        <v>4372</v>
      </c>
      <c r="C986" t="s">
        <v>4372</v>
      </c>
      <c r="D986" t="e">
        <f>VLOOKUP($C986, Egli_UPEC_metadata_provided!$A$2:$M$826, 3, FALSE)</f>
        <v>#N/A</v>
      </c>
      <c r="E986" t="e">
        <f>VLOOKUP($C986, Egli_UPEC_metadata_provided!$A$2:$M$826, 4, FALSE)</f>
        <v>#N/A</v>
      </c>
      <c r="F986" t="e">
        <f>VLOOKUP($C986, Egli_UPEC_metadata_provided!$A$2:$M$826, 5, FALSE)</f>
        <v>#N/A</v>
      </c>
      <c r="G986" t="e">
        <f>VLOOKUP($C986, Egli_UPEC_metadata_provided!$A$2:$M$826, 6, FALSE)</f>
        <v>#N/A</v>
      </c>
      <c r="H986" t="e">
        <f>VLOOKUP($C986, Egli_UPEC_metadata_provided!$A$2:$M$826, 7, FALSE)</f>
        <v>#N/A</v>
      </c>
      <c r="I986" t="e">
        <f>VLOOKUP($C986, Egli_UPEC_metadata_provided!$A$2:$M$826, 8, FALSE)</f>
        <v>#N/A</v>
      </c>
      <c r="J986" t="e">
        <f>VLOOKUP($C986, Egli_UPEC_metadata_provided!$A$2:$M$826, 9, FALSE)</f>
        <v>#N/A</v>
      </c>
      <c r="K986" t="e">
        <f>VLOOKUP($C986, Egli_UPEC_metadata_provided!$A$2:$M$826, 10, FALSE)</f>
        <v>#N/A</v>
      </c>
      <c r="L986" t="e">
        <f>VLOOKUP($C986, Egli_UPEC_metadata_provided!$A$2:$M$826, 11, FALSE)</f>
        <v>#N/A</v>
      </c>
      <c r="M986" t="e">
        <f>VLOOKUP($C986, Egli_UPEC_metadata_provided!$A$2:$M$826, 12, FALSE)</f>
        <v>#N/A</v>
      </c>
      <c r="N986" t="e">
        <f>VLOOKUP($C986, Egli_UPEC_metadata_provided!$A$2:$M$826, 13, FALSE)</f>
        <v>#N/A</v>
      </c>
      <c r="O986" t="e">
        <f>VLOOKUP($C986, Egli_UPEC_metadata_provided!$A$2:$N$826, 14, FALSE)</f>
        <v>#N/A</v>
      </c>
    </row>
    <row r="987" spans="1:15" x14ac:dyDescent="0.2">
      <c r="A987" t="s">
        <v>2361</v>
      </c>
      <c r="B987" t="s">
        <v>4205</v>
      </c>
      <c r="C987" t="s">
        <v>4205</v>
      </c>
      <c r="D987" t="e">
        <f>VLOOKUP($C987, Egli_UPEC_metadata_provided!$A$2:$M$826, 3, FALSE)</f>
        <v>#N/A</v>
      </c>
      <c r="E987" t="e">
        <f>VLOOKUP($C987, Egli_UPEC_metadata_provided!$A$2:$M$826, 4, FALSE)</f>
        <v>#N/A</v>
      </c>
      <c r="F987" t="e">
        <f>VLOOKUP($C987, Egli_UPEC_metadata_provided!$A$2:$M$826, 5, FALSE)</f>
        <v>#N/A</v>
      </c>
      <c r="G987" t="e">
        <f>VLOOKUP($C987, Egli_UPEC_metadata_provided!$A$2:$M$826, 6, FALSE)</f>
        <v>#N/A</v>
      </c>
      <c r="H987" t="e">
        <f>VLOOKUP($C987, Egli_UPEC_metadata_provided!$A$2:$M$826, 7, FALSE)</f>
        <v>#N/A</v>
      </c>
      <c r="I987" t="e">
        <f>VLOOKUP($C987, Egli_UPEC_metadata_provided!$A$2:$M$826, 8, FALSE)</f>
        <v>#N/A</v>
      </c>
      <c r="J987" t="e">
        <f>VLOOKUP($C987, Egli_UPEC_metadata_provided!$A$2:$M$826, 9, FALSE)</f>
        <v>#N/A</v>
      </c>
      <c r="K987" t="e">
        <f>VLOOKUP($C987, Egli_UPEC_metadata_provided!$A$2:$M$826, 10, FALSE)</f>
        <v>#N/A</v>
      </c>
      <c r="L987" t="e">
        <f>VLOOKUP($C987, Egli_UPEC_metadata_provided!$A$2:$M$826, 11, FALSE)</f>
        <v>#N/A</v>
      </c>
      <c r="M987" t="e">
        <f>VLOOKUP($C987, Egli_UPEC_metadata_provided!$A$2:$M$826, 12, FALSE)</f>
        <v>#N/A</v>
      </c>
      <c r="N987" t="e">
        <f>VLOOKUP($C987, Egli_UPEC_metadata_provided!$A$2:$M$826, 13, FALSE)</f>
        <v>#N/A</v>
      </c>
      <c r="O987" t="e">
        <f>VLOOKUP($C987, Egli_UPEC_metadata_provided!$A$2:$N$826, 14, FALSE)</f>
        <v>#N/A</v>
      </c>
    </row>
    <row r="988" spans="1:15" x14ac:dyDescent="0.2">
      <c r="A988" t="s">
        <v>2376</v>
      </c>
      <c r="B988" t="s">
        <v>4207</v>
      </c>
      <c r="C988" t="s">
        <v>4207</v>
      </c>
      <c r="D988" t="e">
        <f>VLOOKUP($C988, Egli_UPEC_metadata_provided!$A$2:$M$826, 3, FALSE)</f>
        <v>#N/A</v>
      </c>
      <c r="E988" t="e">
        <f>VLOOKUP($C988, Egli_UPEC_metadata_provided!$A$2:$M$826, 4, FALSE)</f>
        <v>#N/A</v>
      </c>
      <c r="F988" t="e">
        <f>VLOOKUP($C988, Egli_UPEC_metadata_provided!$A$2:$M$826, 5, FALSE)</f>
        <v>#N/A</v>
      </c>
      <c r="G988" t="e">
        <f>VLOOKUP($C988, Egli_UPEC_metadata_provided!$A$2:$M$826, 6, FALSE)</f>
        <v>#N/A</v>
      </c>
      <c r="H988" t="e">
        <f>VLOOKUP($C988, Egli_UPEC_metadata_provided!$A$2:$M$826, 7, FALSE)</f>
        <v>#N/A</v>
      </c>
      <c r="I988" t="e">
        <f>VLOOKUP($C988, Egli_UPEC_metadata_provided!$A$2:$M$826, 8, FALSE)</f>
        <v>#N/A</v>
      </c>
      <c r="J988" t="e">
        <f>VLOOKUP($C988, Egli_UPEC_metadata_provided!$A$2:$M$826, 9, FALSE)</f>
        <v>#N/A</v>
      </c>
      <c r="K988" t="e">
        <f>VLOOKUP($C988, Egli_UPEC_metadata_provided!$A$2:$M$826, 10, FALSE)</f>
        <v>#N/A</v>
      </c>
      <c r="L988" t="e">
        <f>VLOOKUP($C988, Egli_UPEC_metadata_provided!$A$2:$M$826, 11, FALSE)</f>
        <v>#N/A</v>
      </c>
      <c r="M988" t="e">
        <f>VLOOKUP($C988, Egli_UPEC_metadata_provided!$A$2:$M$826, 12, FALSE)</f>
        <v>#N/A</v>
      </c>
      <c r="N988" t="e">
        <f>VLOOKUP($C988, Egli_UPEC_metadata_provided!$A$2:$M$826, 13, FALSE)</f>
        <v>#N/A</v>
      </c>
      <c r="O988" t="e">
        <f>VLOOKUP($C988, Egli_UPEC_metadata_provided!$A$2:$N$826, 14, FALSE)</f>
        <v>#N/A</v>
      </c>
    </row>
    <row r="989" spans="1:15" x14ac:dyDescent="0.2">
      <c r="A989" t="s">
        <v>2379</v>
      </c>
      <c r="B989" t="s">
        <v>4271</v>
      </c>
      <c r="C989" t="s">
        <v>4271</v>
      </c>
      <c r="D989" t="e">
        <f>VLOOKUP($C989, Egli_UPEC_metadata_provided!$A$2:$M$826, 3, FALSE)</f>
        <v>#N/A</v>
      </c>
      <c r="E989" t="e">
        <f>VLOOKUP($C989, Egli_UPEC_metadata_provided!$A$2:$M$826, 4, FALSE)</f>
        <v>#N/A</v>
      </c>
      <c r="F989" t="e">
        <f>VLOOKUP($C989, Egli_UPEC_metadata_provided!$A$2:$M$826, 5, FALSE)</f>
        <v>#N/A</v>
      </c>
      <c r="G989" t="e">
        <f>VLOOKUP($C989, Egli_UPEC_metadata_provided!$A$2:$M$826, 6, FALSE)</f>
        <v>#N/A</v>
      </c>
      <c r="H989" t="e">
        <f>VLOOKUP($C989, Egli_UPEC_metadata_provided!$A$2:$M$826, 7, FALSE)</f>
        <v>#N/A</v>
      </c>
      <c r="I989" t="e">
        <f>VLOOKUP($C989, Egli_UPEC_metadata_provided!$A$2:$M$826, 8, FALSE)</f>
        <v>#N/A</v>
      </c>
      <c r="J989" t="e">
        <f>VLOOKUP($C989, Egli_UPEC_metadata_provided!$A$2:$M$826, 9, FALSE)</f>
        <v>#N/A</v>
      </c>
      <c r="K989" t="e">
        <f>VLOOKUP($C989, Egli_UPEC_metadata_provided!$A$2:$M$826, 10, FALSE)</f>
        <v>#N/A</v>
      </c>
      <c r="L989" t="e">
        <f>VLOOKUP($C989, Egli_UPEC_metadata_provided!$A$2:$M$826, 11, FALSE)</f>
        <v>#N/A</v>
      </c>
      <c r="M989" t="e">
        <f>VLOOKUP($C989, Egli_UPEC_metadata_provided!$A$2:$M$826, 12, FALSE)</f>
        <v>#N/A</v>
      </c>
      <c r="N989" t="e">
        <f>VLOOKUP($C989, Egli_UPEC_metadata_provided!$A$2:$M$826, 13, FALSE)</f>
        <v>#N/A</v>
      </c>
      <c r="O989" t="e">
        <f>VLOOKUP($C989, Egli_UPEC_metadata_provided!$A$2:$N$826, 14, FALSE)</f>
        <v>#N/A</v>
      </c>
    </row>
    <row r="990" spans="1:15" x14ac:dyDescent="0.2">
      <c r="A990" t="s">
        <v>2382</v>
      </c>
      <c r="B990" t="s">
        <v>4373</v>
      </c>
      <c r="C990" t="s">
        <v>4373</v>
      </c>
      <c r="D990" t="e">
        <f>VLOOKUP($C990, Egli_UPEC_metadata_provided!$A$2:$M$826, 3, FALSE)</f>
        <v>#N/A</v>
      </c>
      <c r="E990" t="e">
        <f>VLOOKUP($C990, Egli_UPEC_metadata_provided!$A$2:$M$826, 4, FALSE)</f>
        <v>#N/A</v>
      </c>
      <c r="F990" t="e">
        <f>VLOOKUP($C990, Egli_UPEC_metadata_provided!$A$2:$M$826, 5, FALSE)</f>
        <v>#N/A</v>
      </c>
      <c r="G990" t="e">
        <f>VLOOKUP($C990, Egli_UPEC_metadata_provided!$A$2:$M$826, 6, FALSE)</f>
        <v>#N/A</v>
      </c>
      <c r="H990" t="e">
        <f>VLOOKUP($C990, Egli_UPEC_metadata_provided!$A$2:$M$826, 7, FALSE)</f>
        <v>#N/A</v>
      </c>
      <c r="I990" t="e">
        <f>VLOOKUP($C990, Egli_UPEC_metadata_provided!$A$2:$M$826, 8, FALSE)</f>
        <v>#N/A</v>
      </c>
      <c r="J990" t="e">
        <f>VLOOKUP($C990, Egli_UPEC_metadata_provided!$A$2:$M$826, 9, FALSE)</f>
        <v>#N/A</v>
      </c>
      <c r="K990" t="e">
        <f>VLOOKUP($C990, Egli_UPEC_metadata_provided!$A$2:$M$826, 10, FALSE)</f>
        <v>#N/A</v>
      </c>
      <c r="L990" t="e">
        <f>VLOOKUP($C990, Egli_UPEC_metadata_provided!$A$2:$M$826, 11, FALSE)</f>
        <v>#N/A</v>
      </c>
      <c r="M990" t="e">
        <f>VLOOKUP($C990, Egli_UPEC_metadata_provided!$A$2:$M$826, 12, FALSE)</f>
        <v>#N/A</v>
      </c>
      <c r="N990" t="e">
        <f>VLOOKUP($C990, Egli_UPEC_metadata_provided!$A$2:$M$826, 13, FALSE)</f>
        <v>#N/A</v>
      </c>
      <c r="O990" t="e">
        <f>VLOOKUP($C990, Egli_UPEC_metadata_provided!$A$2:$N$826, 14, FALSE)</f>
        <v>#N/A</v>
      </c>
    </row>
    <row r="991" spans="1:15" x14ac:dyDescent="0.2">
      <c r="A991" t="s">
        <v>2385</v>
      </c>
      <c r="B991" t="s">
        <v>4209</v>
      </c>
      <c r="C991" t="s">
        <v>4209</v>
      </c>
      <c r="D991" t="e">
        <f>VLOOKUP($C991, Egli_UPEC_metadata_provided!$A$2:$M$826, 3, FALSE)</f>
        <v>#N/A</v>
      </c>
      <c r="E991" t="e">
        <f>VLOOKUP($C991, Egli_UPEC_metadata_provided!$A$2:$M$826, 4, FALSE)</f>
        <v>#N/A</v>
      </c>
      <c r="F991" t="e">
        <f>VLOOKUP($C991, Egli_UPEC_metadata_provided!$A$2:$M$826, 5, FALSE)</f>
        <v>#N/A</v>
      </c>
      <c r="G991" t="e">
        <f>VLOOKUP($C991, Egli_UPEC_metadata_provided!$A$2:$M$826, 6, FALSE)</f>
        <v>#N/A</v>
      </c>
      <c r="H991" t="e">
        <f>VLOOKUP($C991, Egli_UPEC_metadata_provided!$A$2:$M$826, 7, FALSE)</f>
        <v>#N/A</v>
      </c>
      <c r="I991" t="e">
        <f>VLOOKUP($C991, Egli_UPEC_metadata_provided!$A$2:$M$826, 8, FALSE)</f>
        <v>#N/A</v>
      </c>
      <c r="J991" t="e">
        <f>VLOOKUP($C991, Egli_UPEC_metadata_provided!$A$2:$M$826, 9, FALSE)</f>
        <v>#N/A</v>
      </c>
      <c r="K991" t="e">
        <f>VLOOKUP($C991, Egli_UPEC_metadata_provided!$A$2:$M$826, 10, FALSE)</f>
        <v>#N/A</v>
      </c>
      <c r="L991" t="e">
        <f>VLOOKUP($C991, Egli_UPEC_metadata_provided!$A$2:$M$826, 11, FALSE)</f>
        <v>#N/A</v>
      </c>
      <c r="M991" t="e">
        <f>VLOOKUP($C991, Egli_UPEC_metadata_provided!$A$2:$M$826, 12, FALSE)</f>
        <v>#N/A</v>
      </c>
      <c r="N991" t="e">
        <f>VLOOKUP($C991, Egli_UPEC_metadata_provided!$A$2:$M$826, 13, FALSE)</f>
        <v>#N/A</v>
      </c>
      <c r="O991" t="e">
        <f>VLOOKUP($C991, Egli_UPEC_metadata_provided!$A$2:$N$826, 14, FALSE)</f>
        <v>#N/A</v>
      </c>
    </row>
    <row r="992" spans="1:15" x14ac:dyDescent="0.2">
      <c r="A992" t="s">
        <v>2388</v>
      </c>
      <c r="B992" t="s">
        <v>4210</v>
      </c>
      <c r="C992" t="s">
        <v>4210</v>
      </c>
      <c r="D992" t="e">
        <f>VLOOKUP($C992, Egli_UPEC_metadata_provided!$A$2:$M$826, 3, FALSE)</f>
        <v>#N/A</v>
      </c>
      <c r="E992" t="e">
        <f>VLOOKUP($C992, Egli_UPEC_metadata_provided!$A$2:$M$826, 4, FALSE)</f>
        <v>#N/A</v>
      </c>
      <c r="F992" t="e">
        <f>VLOOKUP($C992, Egli_UPEC_metadata_provided!$A$2:$M$826, 5, FALSE)</f>
        <v>#N/A</v>
      </c>
      <c r="G992" t="e">
        <f>VLOOKUP($C992, Egli_UPEC_metadata_provided!$A$2:$M$826, 6, FALSE)</f>
        <v>#N/A</v>
      </c>
      <c r="H992" t="e">
        <f>VLOOKUP($C992, Egli_UPEC_metadata_provided!$A$2:$M$826, 7, FALSE)</f>
        <v>#N/A</v>
      </c>
      <c r="I992" t="e">
        <f>VLOOKUP($C992, Egli_UPEC_metadata_provided!$A$2:$M$826, 8, FALSE)</f>
        <v>#N/A</v>
      </c>
      <c r="J992" t="e">
        <f>VLOOKUP($C992, Egli_UPEC_metadata_provided!$A$2:$M$826, 9, FALSE)</f>
        <v>#N/A</v>
      </c>
      <c r="K992" t="e">
        <f>VLOOKUP($C992, Egli_UPEC_metadata_provided!$A$2:$M$826, 10, FALSE)</f>
        <v>#N/A</v>
      </c>
      <c r="L992" t="e">
        <f>VLOOKUP($C992, Egli_UPEC_metadata_provided!$A$2:$M$826, 11, FALSE)</f>
        <v>#N/A</v>
      </c>
      <c r="M992" t="e">
        <f>VLOOKUP($C992, Egli_UPEC_metadata_provided!$A$2:$M$826, 12, FALSE)</f>
        <v>#N/A</v>
      </c>
      <c r="N992" t="e">
        <f>VLOOKUP($C992, Egli_UPEC_metadata_provided!$A$2:$M$826, 13, FALSE)</f>
        <v>#N/A</v>
      </c>
      <c r="O992" t="e">
        <f>VLOOKUP($C992, Egli_UPEC_metadata_provided!$A$2:$N$826, 14, FALSE)</f>
        <v>#N/A</v>
      </c>
    </row>
    <row r="993" spans="1:15" x14ac:dyDescent="0.2">
      <c r="A993" t="s">
        <v>2391</v>
      </c>
      <c r="B993" t="s">
        <v>4272</v>
      </c>
      <c r="C993" t="s">
        <v>4272</v>
      </c>
      <c r="D993" t="e">
        <f>VLOOKUP($C993, Egli_UPEC_metadata_provided!$A$2:$M$826, 3, FALSE)</f>
        <v>#N/A</v>
      </c>
      <c r="E993" t="e">
        <f>VLOOKUP($C993, Egli_UPEC_metadata_provided!$A$2:$M$826, 4, FALSE)</f>
        <v>#N/A</v>
      </c>
      <c r="F993" t="e">
        <f>VLOOKUP($C993, Egli_UPEC_metadata_provided!$A$2:$M$826, 5, FALSE)</f>
        <v>#N/A</v>
      </c>
      <c r="G993" t="e">
        <f>VLOOKUP($C993, Egli_UPEC_metadata_provided!$A$2:$M$826, 6, FALSE)</f>
        <v>#N/A</v>
      </c>
      <c r="H993" t="e">
        <f>VLOOKUP($C993, Egli_UPEC_metadata_provided!$A$2:$M$826, 7, FALSE)</f>
        <v>#N/A</v>
      </c>
      <c r="I993" t="e">
        <f>VLOOKUP($C993, Egli_UPEC_metadata_provided!$A$2:$M$826, 8, FALSE)</f>
        <v>#N/A</v>
      </c>
      <c r="J993" t="e">
        <f>VLOOKUP($C993, Egli_UPEC_metadata_provided!$A$2:$M$826, 9, FALSE)</f>
        <v>#N/A</v>
      </c>
      <c r="K993" t="e">
        <f>VLOOKUP($C993, Egli_UPEC_metadata_provided!$A$2:$M$826, 10, FALSE)</f>
        <v>#N/A</v>
      </c>
      <c r="L993" t="e">
        <f>VLOOKUP($C993, Egli_UPEC_metadata_provided!$A$2:$M$826, 11, FALSE)</f>
        <v>#N/A</v>
      </c>
      <c r="M993" t="e">
        <f>VLOOKUP($C993, Egli_UPEC_metadata_provided!$A$2:$M$826, 12, FALSE)</f>
        <v>#N/A</v>
      </c>
      <c r="N993" t="e">
        <f>VLOOKUP($C993, Egli_UPEC_metadata_provided!$A$2:$M$826, 13, FALSE)</f>
        <v>#N/A</v>
      </c>
      <c r="O993" t="e">
        <f>VLOOKUP($C993, Egli_UPEC_metadata_provided!$A$2:$N$826, 14, FALSE)</f>
        <v>#N/A</v>
      </c>
    </row>
    <row r="994" spans="1:15" x14ac:dyDescent="0.2">
      <c r="A994" t="s">
        <v>2408</v>
      </c>
      <c r="B994" t="s">
        <v>4213</v>
      </c>
      <c r="C994" t="s">
        <v>4213</v>
      </c>
      <c r="D994" t="e">
        <f>VLOOKUP($C994, Egli_UPEC_metadata_provided!$A$2:$M$826, 3, FALSE)</f>
        <v>#N/A</v>
      </c>
      <c r="E994" t="e">
        <f>VLOOKUP($C994, Egli_UPEC_metadata_provided!$A$2:$M$826, 4, FALSE)</f>
        <v>#N/A</v>
      </c>
      <c r="F994" t="e">
        <f>VLOOKUP($C994, Egli_UPEC_metadata_provided!$A$2:$M$826, 5, FALSE)</f>
        <v>#N/A</v>
      </c>
      <c r="G994" t="e">
        <f>VLOOKUP($C994, Egli_UPEC_metadata_provided!$A$2:$M$826, 6, FALSE)</f>
        <v>#N/A</v>
      </c>
      <c r="H994" t="e">
        <f>VLOOKUP($C994, Egli_UPEC_metadata_provided!$A$2:$M$826, 7, FALSE)</f>
        <v>#N/A</v>
      </c>
      <c r="I994" t="e">
        <f>VLOOKUP($C994, Egli_UPEC_metadata_provided!$A$2:$M$826, 8, FALSE)</f>
        <v>#N/A</v>
      </c>
      <c r="J994" t="e">
        <f>VLOOKUP($C994, Egli_UPEC_metadata_provided!$A$2:$M$826, 9, FALSE)</f>
        <v>#N/A</v>
      </c>
      <c r="K994" t="e">
        <f>VLOOKUP($C994, Egli_UPEC_metadata_provided!$A$2:$M$826, 10, FALSE)</f>
        <v>#N/A</v>
      </c>
      <c r="L994" t="e">
        <f>VLOOKUP($C994, Egli_UPEC_metadata_provided!$A$2:$M$826, 11, FALSE)</f>
        <v>#N/A</v>
      </c>
      <c r="M994" t="e">
        <f>VLOOKUP($C994, Egli_UPEC_metadata_provided!$A$2:$M$826, 12, FALSE)</f>
        <v>#N/A</v>
      </c>
      <c r="N994" t="e">
        <f>VLOOKUP($C994, Egli_UPEC_metadata_provided!$A$2:$M$826, 13, FALSE)</f>
        <v>#N/A</v>
      </c>
      <c r="O994" t="e">
        <f>VLOOKUP($C994, Egli_UPEC_metadata_provided!$A$2:$N$826, 14, FALSE)</f>
        <v>#N/A</v>
      </c>
    </row>
    <row r="995" spans="1:15" x14ac:dyDescent="0.2">
      <c r="A995" t="s">
        <v>2423</v>
      </c>
      <c r="B995" t="s">
        <v>4273</v>
      </c>
      <c r="C995" t="s">
        <v>4273</v>
      </c>
      <c r="D995" t="e">
        <f>VLOOKUP($C995, Egli_UPEC_metadata_provided!$A$2:$M$826, 3, FALSE)</f>
        <v>#N/A</v>
      </c>
      <c r="E995" t="e">
        <f>VLOOKUP($C995, Egli_UPEC_metadata_provided!$A$2:$M$826, 4, FALSE)</f>
        <v>#N/A</v>
      </c>
      <c r="F995" t="e">
        <f>VLOOKUP($C995, Egli_UPEC_metadata_provided!$A$2:$M$826, 5, FALSE)</f>
        <v>#N/A</v>
      </c>
      <c r="G995" t="e">
        <f>VLOOKUP($C995, Egli_UPEC_metadata_provided!$A$2:$M$826, 6, FALSE)</f>
        <v>#N/A</v>
      </c>
      <c r="H995" t="e">
        <f>VLOOKUP($C995, Egli_UPEC_metadata_provided!$A$2:$M$826, 7, FALSE)</f>
        <v>#N/A</v>
      </c>
      <c r="I995" t="e">
        <f>VLOOKUP($C995, Egli_UPEC_metadata_provided!$A$2:$M$826, 8, FALSE)</f>
        <v>#N/A</v>
      </c>
      <c r="J995" t="e">
        <f>VLOOKUP($C995, Egli_UPEC_metadata_provided!$A$2:$M$826, 9, FALSE)</f>
        <v>#N/A</v>
      </c>
      <c r="K995" t="e">
        <f>VLOOKUP($C995, Egli_UPEC_metadata_provided!$A$2:$M$826, 10, FALSE)</f>
        <v>#N/A</v>
      </c>
      <c r="L995" t="e">
        <f>VLOOKUP($C995, Egli_UPEC_metadata_provided!$A$2:$M$826, 11, FALSE)</f>
        <v>#N/A</v>
      </c>
      <c r="M995" t="e">
        <f>VLOOKUP($C995, Egli_UPEC_metadata_provided!$A$2:$M$826, 12, FALSE)</f>
        <v>#N/A</v>
      </c>
      <c r="N995" t="e">
        <f>VLOOKUP($C995, Egli_UPEC_metadata_provided!$A$2:$M$826, 13, FALSE)</f>
        <v>#N/A</v>
      </c>
      <c r="O995" t="e">
        <f>VLOOKUP($C995, Egli_UPEC_metadata_provided!$A$2:$N$826, 14, FALSE)</f>
        <v>#N/A</v>
      </c>
    </row>
    <row r="996" spans="1:15" x14ac:dyDescent="0.2">
      <c r="A996" t="s">
        <v>2426</v>
      </c>
      <c r="B996" t="s">
        <v>4216</v>
      </c>
      <c r="C996" t="s">
        <v>4216</v>
      </c>
      <c r="D996" t="e">
        <f>VLOOKUP($C996, Egli_UPEC_metadata_provided!$A$2:$M$826, 3, FALSE)</f>
        <v>#N/A</v>
      </c>
      <c r="E996" t="e">
        <f>VLOOKUP($C996, Egli_UPEC_metadata_provided!$A$2:$M$826, 4, FALSE)</f>
        <v>#N/A</v>
      </c>
      <c r="F996" t="e">
        <f>VLOOKUP($C996, Egli_UPEC_metadata_provided!$A$2:$M$826, 5, FALSE)</f>
        <v>#N/A</v>
      </c>
      <c r="G996" t="e">
        <f>VLOOKUP($C996, Egli_UPEC_metadata_provided!$A$2:$M$826, 6, FALSE)</f>
        <v>#N/A</v>
      </c>
      <c r="H996" t="e">
        <f>VLOOKUP($C996, Egli_UPEC_metadata_provided!$A$2:$M$826, 7, FALSE)</f>
        <v>#N/A</v>
      </c>
      <c r="I996" t="e">
        <f>VLOOKUP($C996, Egli_UPEC_metadata_provided!$A$2:$M$826, 8, FALSE)</f>
        <v>#N/A</v>
      </c>
      <c r="J996" t="e">
        <f>VLOOKUP($C996, Egli_UPEC_metadata_provided!$A$2:$M$826, 9, FALSE)</f>
        <v>#N/A</v>
      </c>
      <c r="K996" t="e">
        <f>VLOOKUP($C996, Egli_UPEC_metadata_provided!$A$2:$M$826, 10, FALSE)</f>
        <v>#N/A</v>
      </c>
      <c r="L996" t="e">
        <f>VLOOKUP($C996, Egli_UPEC_metadata_provided!$A$2:$M$826, 11, FALSE)</f>
        <v>#N/A</v>
      </c>
      <c r="M996" t="e">
        <f>VLOOKUP($C996, Egli_UPEC_metadata_provided!$A$2:$M$826, 12, FALSE)</f>
        <v>#N/A</v>
      </c>
      <c r="N996" t="e">
        <f>VLOOKUP($C996, Egli_UPEC_metadata_provided!$A$2:$M$826, 13, FALSE)</f>
        <v>#N/A</v>
      </c>
      <c r="O996" t="e">
        <f>VLOOKUP($C996, Egli_UPEC_metadata_provided!$A$2:$N$826, 14, FALSE)</f>
        <v>#N/A</v>
      </c>
    </row>
    <row r="997" spans="1:15" x14ac:dyDescent="0.2">
      <c r="A997" t="s">
        <v>2433</v>
      </c>
      <c r="B997" t="s">
        <v>4218</v>
      </c>
      <c r="C997" t="s">
        <v>4218</v>
      </c>
      <c r="D997" t="e">
        <f>VLOOKUP($C997, Egli_UPEC_metadata_provided!$A$2:$M$826, 3, FALSE)</f>
        <v>#N/A</v>
      </c>
      <c r="E997" t="e">
        <f>VLOOKUP($C997, Egli_UPEC_metadata_provided!$A$2:$M$826, 4, FALSE)</f>
        <v>#N/A</v>
      </c>
      <c r="F997" t="e">
        <f>VLOOKUP($C997, Egli_UPEC_metadata_provided!$A$2:$M$826, 5, FALSE)</f>
        <v>#N/A</v>
      </c>
      <c r="G997" t="e">
        <f>VLOOKUP($C997, Egli_UPEC_metadata_provided!$A$2:$M$826, 6, FALSE)</f>
        <v>#N/A</v>
      </c>
      <c r="H997" t="e">
        <f>VLOOKUP($C997, Egli_UPEC_metadata_provided!$A$2:$M$826, 7, FALSE)</f>
        <v>#N/A</v>
      </c>
      <c r="I997" t="e">
        <f>VLOOKUP($C997, Egli_UPEC_metadata_provided!$A$2:$M$826, 8, FALSE)</f>
        <v>#N/A</v>
      </c>
      <c r="J997" t="e">
        <f>VLOOKUP($C997, Egli_UPEC_metadata_provided!$A$2:$M$826, 9, FALSE)</f>
        <v>#N/A</v>
      </c>
      <c r="K997" t="e">
        <f>VLOOKUP($C997, Egli_UPEC_metadata_provided!$A$2:$M$826, 10, FALSE)</f>
        <v>#N/A</v>
      </c>
      <c r="L997" t="e">
        <f>VLOOKUP($C997, Egli_UPEC_metadata_provided!$A$2:$M$826, 11, FALSE)</f>
        <v>#N/A</v>
      </c>
      <c r="M997" t="e">
        <f>VLOOKUP($C997, Egli_UPEC_metadata_provided!$A$2:$M$826, 12, FALSE)</f>
        <v>#N/A</v>
      </c>
      <c r="N997" t="e">
        <f>VLOOKUP($C997, Egli_UPEC_metadata_provided!$A$2:$M$826, 13, FALSE)</f>
        <v>#N/A</v>
      </c>
      <c r="O997" t="e">
        <f>VLOOKUP($C997, Egli_UPEC_metadata_provided!$A$2:$N$826, 14, FALSE)</f>
        <v>#N/A</v>
      </c>
    </row>
    <row r="998" spans="1:15" x14ac:dyDescent="0.2">
      <c r="A998" t="s">
        <v>2456</v>
      </c>
      <c r="B998" t="s">
        <v>4223</v>
      </c>
      <c r="C998" t="s">
        <v>4223</v>
      </c>
      <c r="D998" t="e">
        <f>VLOOKUP($C998, Egli_UPEC_metadata_provided!$A$2:$M$826, 3, FALSE)</f>
        <v>#N/A</v>
      </c>
      <c r="E998" t="e">
        <f>VLOOKUP($C998, Egli_UPEC_metadata_provided!$A$2:$M$826, 4, FALSE)</f>
        <v>#N/A</v>
      </c>
      <c r="F998" t="e">
        <f>VLOOKUP($C998, Egli_UPEC_metadata_provided!$A$2:$M$826, 5, FALSE)</f>
        <v>#N/A</v>
      </c>
      <c r="G998" t="e">
        <f>VLOOKUP($C998, Egli_UPEC_metadata_provided!$A$2:$M$826, 6, FALSE)</f>
        <v>#N/A</v>
      </c>
      <c r="H998" t="e">
        <f>VLOOKUP($C998, Egli_UPEC_metadata_provided!$A$2:$M$826, 7, FALSE)</f>
        <v>#N/A</v>
      </c>
      <c r="I998" t="e">
        <f>VLOOKUP($C998, Egli_UPEC_metadata_provided!$A$2:$M$826, 8, FALSE)</f>
        <v>#N/A</v>
      </c>
      <c r="J998" t="e">
        <f>VLOOKUP($C998, Egli_UPEC_metadata_provided!$A$2:$M$826, 9, FALSE)</f>
        <v>#N/A</v>
      </c>
      <c r="K998" t="e">
        <f>VLOOKUP($C998, Egli_UPEC_metadata_provided!$A$2:$M$826, 10, FALSE)</f>
        <v>#N/A</v>
      </c>
      <c r="L998" t="e">
        <f>VLOOKUP($C998, Egli_UPEC_metadata_provided!$A$2:$M$826, 11, FALSE)</f>
        <v>#N/A</v>
      </c>
      <c r="M998" t="e">
        <f>VLOOKUP($C998, Egli_UPEC_metadata_provided!$A$2:$M$826, 12, FALSE)</f>
        <v>#N/A</v>
      </c>
      <c r="N998" t="e">
        <f>VLOOKUP($C998, Egli_UPEC_metadata_provided!$A$2:$M$826, 13, FALSE)</f>
        <v>#N/A</v>
      </c>
      <c r="O998" t="e">
        <f>VLOOKUP($C998, Egli_UPEC_metadata_provided!$A$2:$N$826, 14, FALSE)</f>
        <v>#N/A</v>
      </c>
    </row>
    <row r="999" spans="1:15" x14ac:dyDescent="0.2">
      <c r="A999" t="s">
        <v>2475</v>
      </c>
      <c r="B999" t="s">
        <v>4275</v>
      </c>
      <c r="C999" t="s">
        <v>4275</v>
      </c>
      <c r="D999" t="e">
        <f>VLOOKUP($C999, Egli_UPEC_metadata_provided!$A$2:$M$826, 3, FALSE)</f>
        <v>#N/A</v>
      </c>
      <c r="E999" t="e">
        <f>VLOOKUP($C999, Egli_UPEC_metadata_provided!$A$2:$M$826, 4, FALSE)</f>
        <v>#N/A</v>
      </c>
      <c r="F999" t="e">
        <f>VLOOKUP($C999, Egli_UPEC_metadata_provided!$A$2:$M$826, 5, FALSE)</f>
        <v>#N/A</v>
      </c>
      <c r="G999" t="e">
        <f>VLOOKUP($C999, Egli_UPEC_metadata_provided!$A$2:$M$826, 6, FALSE)</f>
        <v>#N/A</v>
      </c>
      <c r="H999" t="e">
        <f>VLOOKUP($C999, Egli_UPEC_metadata_provided!$A$2:$M$826, 7, FALSE)</f>
        <v>#N/A</v>
      </c>
      <c r="I999" t="e">
        <f>VLOOKUP($C999, Egli_UPEC_metadata_provided!$A$2:$M$826, 8, FALSE)</f>
        <v>#N/A</v>
      </c>
      <c r="J999" t="e">
        <f>VLOOKUP($C999, Egli_UPEC_metadata_provided!$A$2:$M$826, 9, FALSE)</f>
        <v>#N/A</v>
      </c>
      <c r="K999" t="e">
        <f>VLOOKUP($C999, Egli_UPEC_metadata_provided!$A$2:$M$826, 10, FALSE)</f>
        <v>#N/A</v>
      </c>
      <c r="L999" t="e">
        <f>VLOOKUP($C999, Egli_UPEC_metadata_provided!$A$2:$M$826, 11, FALSE)</f>
        <v>#N/A</v>
      </c>
      <c r="M999" t="e">
        <f>VLOOKUP($C999, Egli_UPEC_metadata_provided!$A$2:$M$826, 12, FALSE)</f>
        <v>#N/A</v>
      </c>
      <c r="N999" t="e">
        <f>VLOOKUP($C999, Egli_UPEC_metadata_provided!$A$2:$M$826, 13, FALSE)</f>
        <v>#N/A</v>
      </c>
      <c r="O999" t="e">
        <f>VLOOKUP($C999, Egli_UPEC_metadata_provided!$A$2:$N$826, 14, FALSE)</f>
        <v>#N/A</v>
      </c>
    </row>
    <row r="1000" spans="1:15" x14ac:dyDescent="0.2">
      <c r="A1000" t="s">
        <v>2478</v>
      </c>
      <c r="B1000" t="s">
        <v>4225</v>
      </c>
      <c r="C1000" t="s">
        <v>4225</v>
      </c>
      <c r="D1000" t="e">
        <f>VLOOKUP($C1000, Egli_UPEC_metadata_provided!$A$2:$M$826, 3, FALSE)</f>
        <v>#N/A</v>
      </c>
      <c r="E1000" t="e">
        <f>VLOOKUP($C1000, Egli_UPEC_metadata_provided!$A$2:$M$826, 4, FALSE)</f>
        <v>#N/A</v>
      </c>
      <c r="F1000" t="e">
        <f>VLOOKUP($C1000, Egli_UPEC_metadata_provided!$A$2:$M$826, 5, FALSE)</f>
        <v>#N/A</v>
      </c>
      <c r="G1000" t="e">
        <f>VLOOKUP($C1000, Egli_UPEC_metadata_provided!$A$2:$M$826, 6, FALSE)</f>
        <v>#N/A</v>
      </c>
      <c r="H1000" t="e">
        <f>VLOOKUP($C1000, Egli_UPEC_metadata_provided!$A$2:$M$826, 7, FALSE)</f>
        <v>#N/A</v>
      </c>
      <c r="I1000" t="e">
        <f>VLOOKUP($C1000, Egli_UPEC_metadata_provided!$A$2:$M$826, 8, FALSE)</f>
        <v>#N/A</v>
      </c>
      <c r="J1000" t="e">
        <f>VLOOKUP($C1000, Egli_UPEC_metadata_provided!$A$2:$M$826, 9, FALSE)</f>
        <v>#N/A</v>
      </c>
      <c r="K1000" t="e">
        <f>VLOOKUP($C1000, Egli_UPEC_metadata_provided!$A$2:$M$826, 10, FALSE)</f>
        <v>#N/A</v>
      </c>
      <c r="L1000" t="e">
        <f>VLOOKUP($C1000, Egli_UPEC_metadata_provided!$A$2:$M$826, 11, FALSE)</f>
        <v>#N/A</v>
      </c>
      <c r="M1000" t="e">
        <f>VLOOKUP($C1000, Egli_UPEC_metadata_provided!$A$2:$M$826, 12, FALSE)</f>
        <v>#N/A</v>
      </c>
      <c r="N1000" t="e">
        <f>VLOOKUP($C1000, Egli_UPEC_metadata_provided!$A$2:$M$826, 13, FALSE)</f>
        <v>#N/A</v>
      </c>
      <c r="O1000" t="e">
        <f>VLOOKUP($C1000, Egli_UPEC_metadata_provided!$A$2:$N$826, 14, FALSE)</f>
        <v>#N/A</v>
      </c>
    </row>
    <row r="1001" spans="1:15" x14ac:dyDescent="0.2">
      <c r="A1001" t="s">
        <v>2481</v>
      </c>
      <c r="B1001" t="s">
        <v>4226</v>
      </c>
      <c r="C1001" t="s">
        <v>4226</v>
      </c>
      <c r="D1001" t="e">
        <f>VLOOKUP($C1001, Egli_UPEC_metadata_provided!$A$2:$M$826, 3, FALSE)</f>
        <v>#N/A</v>
      </c>
      <c r="E1001" t="e">
        <f>VLOOKUP($C1001, Egli_UPEC_metadata_provided!$A$2:$M$826, 4, FALSE)</f>
        <v>#N/A</v>
      </c>
      <c r="F1001" t="e">
        <f>VLOOKUP($C1001, Egli_UPEC_metadata_provided!$A$2:$M$826, 5, FALSE)</f>
        <v>#N/A</v>
      </c>
      <c r="G1001" t="e">
        <f>VLOOKUP($C1001, Egli_UPEC_metadata_provided!$A$2:$M$826, 6, FALSE)</f>
        <v>#N/A</v>
      </c>
      <c r="H1001" t="e">
        <f>VLOOKUP($C1001, Egli_UPEC_metadata_provided!$A$2:$M$826, 7, FALSE)</f>
        <v>#N/A</v>
      </c>
      <c r="I1001" t="e">
        <f>VLOOKUP($C1001, Egli_UPEC_metadata_provided!$A$2:$M$826, 8, FALSE)</f>
        <v>#N/A</v>
      </c>
      <c r="J1001" t="e">
        <f>VLOOKUP($C1001, Egli_UPEC_metadata_provided!$A$2:$M$826, 9, FALSE)</f>
        <v>#N/A</v>
      </c>
      <c r="K1001" t="e">
        <f>VLOOKUP($C1001, Egli_UPEC_metadata_provided!$A$2:$M$826, 10, FALSE)</f>
        <v>#N/A</v>
      </c>
      <c r="L1001" t="e">
        <f>VLOOKUP($C1001, Egli_UPEC_metadata_provided!$A$2:$M$826, 11, FALSE)</f>
        <v>#N/A</v>
      </c>
      <c r="M1001" t="e">
        <f>VLOOKUP($C1001, Egli_UPEC_metadata_provided!$A$2:$M$826, 12, FALSE)</f>
        <v>#N/A</v>
      </c>
      <c r="N1001" t="e">
        <f>VLOOKUP($C1001, Egli_UPEC_metadata_provided!$A$2:$M$826, 13, FALSE)</f>
        <v>#N/A</v>
      </c>
      <c r="O1001" t="e">
        <f>VLOOKUP($C1001, Egli_UPEC_metadata_provided!$A$2:$N$826, 14, FALSE)</f>
        <v>#N/A</v>
      </c>
    </row>
    <row r="1002" spans="1:15" x14ac:dyDescent="0.2">
      <c r="A1002" t="s">
        <v>2484</v>
      </c>
      <c r="B1002" t="s">
        <v>4374</v>
      </c>
      <c r="C1002" t="s">
        <v>4374</v>
      </c>
      <c r="D1002" t="e">
        <f>VLOOKUP($C1002, Egli_UPEC_metadata_provided!$A$2:$M$826, 3, FALSE)</f>
        <v>#N/A</v>
      </c>
      <c r="E1002" t="e">
        <f>VLOOKUP($C1002, Egli_UPEC_metadata_provided!$A$2:$M$826, 4, FALSE)</f>
        <v>#N/A</v>
      </c>
      <c r="F1002" t="e">
        <f>VLOOKUP($C1002, Egli_UPEC_metadata_provided!$A$2:$M$826, 5, FALSE)</f>
        <v>#N/A</v>
      </c>
      <c r="G1002" t="e">
        <f>VLOOKUP($C1002, Egli_UPEC_metadata_provided!$A$2:$M$826, 6, FALSE)</f>
        <v>#N/A</v>
      </c>
      <c r="H1002" t="e">
        <f>VLOOKUP($C1002, Egli_UPEC_metadata_provided!$A$2:$M$826, 7, FALSE)</f>
        <v>#N/A</v>
      </c>
      <c r="I1002" t="e">
        <f>VLOOKUP($C1002, Egli_UPEC_metadata_provided!$A$2:$M$826, 8, FALSE)</f>
        <v>#N/A</v>
      </c>
      <c r="J1002" t="e">
        <f>VLOOKUP($C1002, Egli_UPEC_metadata_provided!$A$2:$M$826, 9, FALSE)</f>
        <v>#N/A</v>
      </c>
      <c r="K1002" t="e">
        <f>VLOOKUP($C1002, Egli_UPEC_metadata_provided!$A$2:$M$826, 10, FALSE)</f>
        <v>#N/A</v>
      </c>
      <c r="L1002" t="e">
        <f>VLOOKUP($C1002, Egli_UPEC_metadata_provided!$A$2:$M$826, 11, FALSE)</f>
        <v>#N/A</v>
      </c>
      <c r="M1002" t="e">
        <f>VLOOKUP($C1002, Egli_UPEC_metadata_provided!$A$2:$M$826, 12, FALSE)</f>
        <v>#N/A</v>
      </c>
      <c r="N1002" t="e">
        <f>VLOOKUP($C1002, Egli_UPEC_metadata_provided!$A$2:$M$826, 13, FALSE)</f>
        <v>#N/A</v>
      </c>
      <c r="O1002" t="e">
        <f>VLOOKUP($C1002, Egli_UPEC_metadata_provided!$A$2:$N$826, 14, FALSE)</f>
        <v>#N/A</v>
      </c>
    </row>
    <row r="1003" spans="1:15" x14ac:dyDescent="0.2">
      <c r="A1003" t="s">
        <v>2491</v>
      </c>
      <c r="B1003" t="s">
        <v>4375</v>
      </c>
      <c r="C1003" t="s">
        <v>4375</v>
      </c>
      <c r="D1003" t="e">
        <f>VLOOKUP($C1003, Egli_UPEC_metadata_provided!$A$2:$M$826, 3, FALSE)</f>
        <v>#N/A</v>
      </c>
      <c r="E1003" t="e">
        <f>VLOOKUP($C1003, Egli_UPEC_metadata_provided!$A$2:$M$826, 4, FALSE)</f>
        <v>#N/A</v>
      </c>
      <c r="F1003" t="e">
        <f>VLOOKUP($C1003, Egli_UPEC_metadata_provided!$A$2:$M$826, 5, FALSE)</f>
        <v>#N/A</v>
      </c>
      <c r="G1003" t="e">
        <f>VLOOKUP($C1003, Egli_UPEC_metadata_provided!$A$2:$M$826, 6, FALSE)</f>
        <v>#N/A</v>
      </c>
      <c r="H1003" t="e">
        <f>VLOOKUP($C1003, Egli_UPEC_metadata_provided!$A$2:$M$826, 7, FALSE)</f>
        <v>#N/A</v>
      </c>
      <c r="I1003" t="e">
        <f>VLOOKUP($C1003, Egli_UPEC_metadata_provided!$A$2:$M$826, 8, FALSE)</f>
        <v>#N/A</v>
      </c>
      <c r="J1003" t="e">
        <f>VLOOKUP($C1003, Egli_UPEC_metadata_provided!$A$2:$M$826, 9, FALSE)</f>
        <v>#N/A</v>
      </c>
      <c r="K1003" t="e">
        <f>VLOOKUP($C1003, Egli_UPEC_metadata_provided!$A$2:$M$826, 10, FALSE)</f>
        <v>#N/A</v>
      </c>
      <c r="L1003" t="e">
        <f>VLOOKUP($C1003, Egli_UPEC_metadata_provided!$A$2:$M$826, 11, FALSE)</f>
        <v>#N/A</v>
      </c>
      <c r="M1003" t="e">
        <f>VLOOKUP($C1003, Egli_UPEC_metadata_provided!$A$2:$M$826, 12, FALSE)</f>
        <v>#N/A</v>
      </c>
      <c r="N1003" t="e">
        <f>VLOOKUP($C1003, Egli_UPEC_metadata_provided!$A$2:$M$826, 13, FALSE)</f>
        <v>#N/A</v>
      </c>
      <c r="O1003" t="e">
        <f>VLOOKUP($C1003, Egli_UPEC_metadata_provided!$A$2:$N$826, 14, FALSE)</f>
        <v>#N/A</v>
      </c>
    </row>
    <row r="1004" spans="1:15" x14ac:dyDescent="0.2">
      <c r="A1004" t="s">
        <v>2500</v>
      </c>
      <c r="B1004" t="s">
        <v>4277</v>
      </c>
      <c r="C1004" t="s">
        <v>4277</v>
      </c>
      <c r="D1004" t="e">
        <f>VLOOKUP($C1004, Egli_UPEC_metadata_provided!$A$2:$M$826, 3, FALSE)</f>
        <v>#N/A</v>
      </c>
      <c r="E1004" t="e">
        <f>VLOOKUP($C1004, Egli_UPEC_metadata_provided!$A$2:$M$826, 4, FALSE)</f>
        <v>#N/A</v>
      </c>
      <c r="F1004" t="e">
        <f>VLOOKUP($C1004, Egli_UPEC_metadata_provided!$A$2:$M$826, 5, FALSE)</f>
        <v>#N/A</v>
      </c>
      <c r="G1004" t="e">
        <f>VLOOKUP($C1004, Egli_UPEC_metadata_provided!$A$2:$M$826, 6, FALSE)</f>
        <v>#N/A</v>
      </c>
      <c r="H1004" t="e">
        <f>VLOOKUP($C1004, Egli_UPEC_metadata_provided!$A$2:$M$826, 7, FALSE)</f>
        <v>#N/A</v>
      </c>
      <c r="I1004" t="e">
        <f>VLOOKUP($C1004, Egli_UPEC_metadata_provided!$A$2:$M$826, 8, FALSE)</f>
        <v>#N/A</v>
      </c>
      <c r="J1004" t="e">
        <f>VLOOKUP($C1004, Egli_UPEC_metadata_provided!$A$2:$M$826, 9, FALSE)</f>
        <v>#N/A</v>
      </c>
      <c r="K1004" t="e">
        <f>VLOOKUP($C1004, Egli_UPEC_metadata_provided!$A$2:$M$826, 10, FALSE)</f>
        <v>#N/A</v>
      </c>
      <c r="L1004" t="e">
        <f>VLOOKUP($C1004, Egli_UPEC_metadata_provided!$A$2:$M$826, 11, FALSE)</f>
        <v>#N/A</v>
      </c>
      <c r="M1004" t="e">
        <f>VLOOKUP($C1004, Egli_UPEC_metadata_provided!$A$2:$M$826, 12, FALSE)</f>
        <v>#N/A</v>
      </c>
      <c r="N1004" t="e">
        <f>VLOOKUP($C1004, Egli_UPEC_metadata_provided!$A$2:$M$826, 13, FALSE)</f>
        <v>#N/A</v>
      </c>
      <c r="O1004" t="e">
        <f>VLOOKUP($C1004, Egli_UPEC_metadata_provided!$A$2:$N$826, 14, FALSE)</f>
        <v>#N/A</v>
      </c>
    </row>
    <row r="1005" spans="1:15" x14ac:dyDescent="0.2">
      <c r="A1005" t="s">
        <v>2509</v>
      </c>
      <c r="B1005" t="s">
        <v>4229</v>
      </c>
      <c r="C1005" t="s">
        <v>4229</v>
      </c>
      <c r="D1005" t="e">
        <f>VLOOKUP($C1005, Egli_UPEC_metadata_provided!$A$2:$M$826, 3, FALSE)</f>
        <v>#N/A</v>
      </c>
      <c r="E1005" t="e">
        <f>VLOOKUP($C1005, Egli_UPEC_metadata_provided!$A$2:$M$826, 4, FALSE)</f>
        <v>#N/A</v>
      </c>
      <c r="F1005" t="e">
        <f>VLOOKUP($C1005, Egli_UPEC_metadata_provided!$A$2:$M$826, 5, FALSE)</f>
        <v>#N/A</v>
      </c>
      <c r="G1005" t="e">
        <f>VLOOKUP($C1005, Egli_UPEC_metadata_provided!$A$2:$M$826, 6, FALSE)</f>
        <v>#N/A</v>
      </c>
      <c r="H1005" t="e">
        <f>VLOOKUP($C1005, Egli_UPEC_metadata_provided!$A$2:$M$826, 7, FALSE)</f>
        <v>#N/A</v>
      </c>
      <c r="I1005" t="e">
        <f>VLOOKUP($C1005, Egli_UPEC_metadata_provided!$A$2:$M$826, 8, FALSE)</f>
        <v>#N/A</v>
      </c>
      <c r="J1005" t="e">
        <f>VLOOKUP($C1005, Egli_UPEC_metadata_provided!$A$2:$M$826, 9, FALSE)</f>
        <v>#N/A</v>
      </c>
      <c r="K1005" t="e">
        <f>VLOOKUP($C1005, Egli_UPEC_metadata_provided!$A$2:$M$826, 10, FALSE)</f>
        <v>#N/A</v>
      </c>
      <c r="L1005" t="e">
        <f>VLOOKUP($C1005, Egli_UPEC_metadata_provided!$A$2:$M$826, 11, FALSE)</f>
        <v>#N/A</v>
      </c>
      <c r="M1005" t="e">
        <f>VLOOKUP($C1005, Egli_UPEC_metadata_provided!$A$2:$M$826, 12, FALSE)</f>
        <v>#N/A</v>
      </c>
      <c r="N1005" t="e">
        <f>VLOOKUP($C1005, Egli_UPEC_metadata_provided!$A$2:$M$826, 13, FALSE)</f>
        <v>#N/A</v>
      </c>
      <c r="O1005" t="e">
        <f>VLOOKUP($C1005, Egli_UPEC_metadata_provided!$A$2:$N$826, 14, FALSE)</f>
        <v>#N/A</v>
      </c>
    </row>
    <row r="1006" spans="1:15" x14ac:dyDescent="0.2">
      <c r="A1006" t="s">
        <v>2552</v>
      </c>
      <c r="B1006" t="s">
        <v>4234</v>
      </c>
      <c r="C1006" t="s">
        <v>4234</v>
      </c>
      <c r="D1006" t="e">
        <f>VLOOKUP($C1006, Egli_UPEC_metadata_provided!$A$2:$M$826, 3, FALSE)</f>
        <v>#N/A</v>
      </c>
      <c r="E1006" t="e">
        <f>VLOOKUP($C1006, Egli_UPEC_metadata_provided!$A$2:$M$826, 4, FALSE)</f>
        <v>#N/A</v>
      </c>
      <c r="F1006" t="e">
        <f>VLOOKUP($C1006, Egli_UPEC_metadata_provided!$A$2:$M$826, 5, FALSE)</f>
        <v>#N/A</v>
      </c>
      <c r="G1006" t="e">
        <f>VLOOKUP($C1006, Egli_UPEC_metadata_provided!$A$2:$M$826, 6, FALSE)</f>
        <v>#N/A</v>
      </c>
      <c r="H1006" t="e">
        <f>VLOOKUP($C1006, Egli_UPEC_metadata_provided!$A$2:$M$826, 7, FALSE)</f>
        <v>#N/A</v>
      </c>
      <c r="I1006" t="e">
        <f>VLOOKUP($C1006, Egli_UPEC_metadata_provided!$A$2:$M$826, 8, FALSE)</f>
        <v>#N/A</v>
      </c>
      <c r="J1006" t="e">
        <f>VLOOKUP($C1006, Egli_UPEC_metadata_provided!$A$2:$M$826, 9, FALSE)</f>
        <v>#N/A</v>
      </c>
      <c r="K1006" t="e">
        <f>VLOOKUP($C1006, Egli_UPEC_metadata_provided!$A$2:$M$826, 10, FALSE)</f>
        <v>#N/A</v>
      </c>
      <c r="L1006" t="e">
        <f>VLOOKUP($C1006, Egli_UPEC_metadata_provided!$A$2:$M$826, 11, FALSE)</f>
        <v>#N/A</v>
      </c>
      <c r="M1006" t="e">
        <f>VLOOKUP($C1006, Egli_UPEC_metadata_provided!$A$2:$M$826, 12, FALSE)</f>
        <v>#N/A</v>
      </c>
      <c r="N1006" t="e">
        <f>VLOOKUP($C1006, Egli_UPEC_metadata_provided!$A$2:$M$826, 13, FALSE)</f>
        <v>#N/A</v>
      </c>
      <c r="O1006" t="e">
        <f>VLOOKUP($C1006, Egli_UPEC_metadata_provided!$A$2:$N$826, 14, FALSE)</f>
        <v>#N/A</v>
      </c>
    </row>
    <row r="1007" spans="1:15" x14ac:dyDescent="0.2">
      <c r="A1007" t="s">
        <v>2557</v>
      </c>
      <c r="B1007" t="s">
        <v>4280</v>
      </c>
      <c r="C1007" t="s">
        <v>4280</v>
      </c>
      <c r="D1007" t="e">
        <f>VLOOKUP($C1007, Egli_UPEC_metadata_provided!$A$2:$M$826, 3, FALSE)</f>
        <v>#N/A</v>
      </c>
      <c r="E1007" t="e">
        <f>VLOOKUP($C1007, Egli_UPEC_metadata_provided!$A$2:$M$826, 4, FALSE)</f>
        <v>#N/A</v>
      </c>
      <c r="F1007" t="e">
        <f>VLOOKUP($C1007, Egli_UPEC_metadata_provided!$A$2:$M$826, 5, FALSE)</f>
        <v>#N/A</v>
      </c>
      <c r="G1007" t="e">
        <f>VLOOKUP($C1007, Egli_UPEC_metadata_provided!$A$2:$M$826, 6, FALSE)</f>
        <v>#N/A</v>
      </c>
      <c r="H1007" t="e">
        <f>VLOOKUP($C1007, Egli_UPEC_metadata_provided!$A$2:$M$826, 7, FALSE)</f>
        <v>#N/A</v>
      </c>
      <c r="I1007" t="e">
        <f>VLOOKUP($C1007, Egli_UPEC_metadata_provided!$A$2:$M$826, 8, FALSE)</f>
        <v>#N/A</v>
      </c>
      <c r="J1007" t="e">
        <f>VLOOKUP($C1007, Egli_UPEC_metadata_provided!$A$2:$M$826, 9, FALSE)</f>
        <v>#N/A</v>
      </c>
      <c r="K1007" t="e">
        <f>VLOOKUP($C1007, Egli_UPEC_metadata_provided!$A$2:$M$826, 10, FALSE)</f>
        <v>#N/A</v>
      </c>
      <c r="L1007" t="e">
        <f>VLOOKUP($C1007, Egli_UPEC_metadata_provided!$A$2:$M$826, 11, FALSE)</f>
        <v>#N/A</v>
      </c>
      <c r="M1007" t="e">
        <f>VLOOKUP($C1007, Egli_UPEC_metadata_provided!$A$2:$M$826, 12, FALSE)</f>
        <v>#N/A</v>
      </c>
      <c r="N1007" t="e">
        <f>VLOOKUP($C1007, Egli_UPEC_metadata_provided!$A$2:$M$826, 13, FALSE)</f>
        <v>#N/A</v>
      </c>
      <c r="O1007" t="e">
        <f>VLOOKUP($C1007, Egli_UPEC_metadata_provided!$A$2:$N$826, 14, FALSE)</f>
        <v>#N/A</v>
      </c>
    </row>
    <row r="1008" spans="1:15" x14ac:dyDescent="0.2">
      <c r="A1008" t="s">
        <v>2560</v>
      </c>
      <c r="B1008" t="s">
        <v>4281</v>
      </c>
      <c r="C1008" t="s">
        <v>4281</v>
      </c>
      <c r="D1008" t="e">
        <f>VLOOKUP($C1008, Egli_UPEC_metadata_provided!$A$2:$M$826, 3, FALSE)</f>
        <v>#N/A</v>
      </c>
      <c r="E1008" t="e">
        <f>VLOOKUP($C1008, Egli_UPEC_metadata_provided!$A$2:$M$826, 4, FALSE)</f>
        <v>#N/A</v>
      </c>
      <c r="F1008" t="e">
        <f>VLOOKUP($C1008, Egli_UPEC_metadata_provided!$A$2:$M$826, 5, FALSE)</f>
        <v>#N/A</v>
      </c>
      <c r="G1008" t="e">
        <f>VLOOKUP($C1008, Egli_UPEC_metadata_provided!$A$2:$M$826, 6, FALSE)</f>
        <v>#N/A</v>
      </c>
      <c r="H1008" t="e">
        <f>VLOOKUP($C1008, Egli_UPEC_metadata_provided!$A$2:$M$826, 7, FALSE)</f>
        <v>#N/A</v>
      </c>
      <c r="I1008" t="e">
        <f>VLOOKUP($C1008, Egli_UPEC_metadata_provided!$A$2:$M$826, 8, FALSE)</f>
        <v>#N/A</v>
      </c>
      <c r="J1008" t="e">
        <f>VLOOKUP($C1008, Egli_UPEC_metadata_provided!$A$2:$M$826, 9, FALSE)</f>
        <v>#N/A</v>
      </c>
      <c r="K1008" t="e">
        <f>VLOOKUP($C1008, Egli_UPEC_metadata_provided!$A$2:$M$826, 10, FALSE)</f>
        <v>#N/A</v>
      </c>
      <c r="L1008" t="e">
        <f>VLOOKUP($C1008, Egli_UPEC_metadata_provided!$A$2:$M$826, 11, FALSE)</f>
        <v>#N/A</v>
      </c>
      <c r="M1008" t="e">
        <f>VLOOKUP($C1008, Egli_UPEC_metadata_provided!$A$2:$M$826, 12, FALSE)</f>
        <v>#N/A</v>
      </c>
      <c r="N1008" t="e">
        <f>VLOOKUP($C1008, Egli_UPEC_metadata_provided!$A$2:$M$826, 13, FALSE)</f>
        <v>#N/A</v>
      </c>
      <c r="O1008" t="e">
        <f>VLOOKUP($C1008, Egli_UPEC_metadata_provided!$A$2:$N$826, 14, FALSE)</f>
        <v>#N/A</v>
      </c>
    </row>
    <row r="1009" spans="1:15" x14ac:dyDescent="0.2">
      <c r="A1009" t="s">
        <v>2585</v>
      </c>
      <c r="B1009" t="s">
        <v>4282</v>
      </c>
      <c r="C1009" t="s">
        <v>4282</v>
      </c>
      <c r="D1009" t="e">
        <f>VLOOKUP($C1009, Egli_UPEC_metadata_provided!$A$2:$M$826, 3, FALSE)</f>
        <v>#N/A</v>
      </c>
      <c r="E1009" t="e">
        <f>VLOOKUP($C1009, Egli_UPEC_metadata_provided!$A$2:$M$826, 4, FALSE)</f>
        <v>#N/A</v>
      </c>
      <c r="F1009" t="e">
        <f>VLOOKUP($C1009, Egli_UPEC_metadata_provided!$A$2:$M$826, 5, FALSE)</f>
        <v>#N/A</v>
      </c>
      <c r="G1009" t="e">
        <f>VLOOKUP($C1009, Egli_UPEC_metadata_provided!$A$2:$M$826, 6, FALSE)</f>
        <v>#N/A</v>
      </c>
      <c r="H1009" t="e">
        <f>VLOOKUP($C1009, Egli_UPEC_metadata_provided!$A$2:$M$826, 7, FALSE)</f>
        <v>#N/A</v>
      </c>
      <c r="I1009" t="e">
        <f>VLOOKUP($C1009, Egli_UPEC_metadata_provided!$A$2:$M$826, 8, FALSE)</f>
        <v>#N/A</v>
      </c>
      <c r="J1009" t="e">
        <f>VLOOKUP($C1009, Egli_UPEC_metadata_provided!$A$2:$M$826, 9, FALSE)</f>
        <v>#N/A</v>
      </c>
      <c r="K1009" t="e">
        <f>VLOOKUP($C1009, Egli_UPEC_metadata_provided!$A$2:$M$826, 10, FALSE)</f>
        <v>#N/A</v>
      </c>
      <c r="L1009" t="e">
        <f>VLOOKUP($C1009, Egli_UPEC_metadata_provided!$A$2:$M$826, 11, FALSE)</f>
        <v>#N/A</v>
      </c>
      <c r="M1009" t="e">
        <f>VLOOKUP($C1009, Egli_UPEC_metadata_provided!$A$2:$M$826, 12, FALSE)</f>
        <v>#N/A</v>
      </c>
      <c r="N1009" t="e">
        <f>VLOOKUP($C1009, Egli_UPEC_metadata_provided!$A$2:$M$826, 13, FALSE)</f>
        <v>#N/A</v>
      </c>
      <c r="O1009" t="e">
        <f>VLOOKUP($C1009, Egli_UPEC_metadata_provided!$A$2:$N$826, 14, FALSE)</f>
        <v>#N/A</v>
      </c>
    </row>
    <row r="1010" spans="1:15" x14ac:dyDescent="0.2">
      <c r="A1010" t="s">
        <v>2594</v>
      </c>
      <c r="B1010" t="s">
        <v>4240</v>
      </c>
      <c r="C1010" t="s">
        <v>4400</v>
      </c>
      <c r="D1010" t="e">
        <f>VLOOKUP($C1010, Egli_UPEC_metadata_provided!$A$2:$M$826, 3, FALSE)</f>
        <v>#N/A</v>
      </c>
      <c r="E1010" t="e">
        <f>VLOOKUP($C1010, Egli_UPEC_metadata_provided!$A$2:$M$826, 4, FALSE)</f>
        <v>#N/A</v>
      </c>
      <c r="F1010" t="e">
        <f>VLOOKUP($C1010, Egli_UPEC_metadata_provided!$A$2:$M$826, 5, FALSE)</f>
        <v>#N/A</v>
      </c>
      <c r="G1010" t="e">
        <f>VLOOKUP($C1010, Egli_UPEC_metadata_provided!$A$2:$M$826, 6, FALSE)</f>
        <v>#N/A</v>
      </c>
      <c r="H1010" t="e">
        <f>VLOOKUP($C1010, Egli_UPEC_metadata_provided!$A$2:$M$826, 7, FALSE)</f>
        <v>#N/A</v>
      </c>
      <c r="I1010" t="e">
        <f>VLOOKUP($C1010, Egli_UPEC_metadata_provided!$A$2:$M$826, 8, FALSE)</f>
        <v>#N/A</v>
      </c>
      <c r="J1010" t="e">
        <f>VLOOKUP($C1010, Egli_UPEC_metadata_provided!$A$2:$M$826, 9, FALSE)</f>
        <v>#N/A</v>
      </c>
      <c r="K1010" t="e">
        <f>VLOOKUP($C1010, Egli_UPEC_metadata_provided!$A$2:$M$826, 10, FALSE)</f>
        <v>#N/A</v>
      </c>
      <c r="L1010" t="e">
        <f>VLOOKUP($C1010, Egli_UPEC_metadata_provided!$A$2:$M$826, 11, FALSE)</f>
        <v>#N/A</v>
      </c>
      <c r="M1010" t="e">
        <f>VLOOKUP($C1010, Egli_UPEC_metadata_provided!$A$2:$M$826, 12, FALSE)</f>
        <v>#N/A</v>
      </c>
      <c r="N1010" t="e">
        <f>VLOOKUP($C1010, Egli_UPEC_metadata_provided!$A$2:$M$826, 13, FALSE)</f>
        <v>#N/A</v>
      </c>
      <c r="O1010" t="e">
        <f>VLOOKUP($C1010, Egli_UPEC_metadata_provided!$A$2:$N$826, 14, FALSE)</f>
        <v>#N/A</v>
      </c>
    </row>
    <row r="1011" spans="1:15" x14ac:dyDescent="0.2">
      <c r="A1011" t="s">
        <v>2621</v>
      </c>
      <c r="B1011" t="s">
        <v>4376</v>
      </c>
      <c r="C1011" t="s">
        <v>4400</v>
      </c>
      <c r="D1011" t="e">
        <f>VLOOKUP($C1011, Egli_UPEC_metadata_provided!$A$2:$M$826, 3, FALSE)</f>
        <v>#N/A</v>
      </c>
      <c r="E1011" t="e">
        <f>VLOOKUP($C1011, Egli_UPEC_metadata_provided!$A$2:$M$826, 4, FALSE)</f>
        <v>#N/A</v>
      </c>
      <c r="F1011" t="e">
        <f>VLOOKUP($C1011, Egli_UPEC_metadata_provided!$A$2:$M$826, 5, FALSE)</f>
        <v>#N/A</v>
      </c>
      <c r="G1011" t="e">
        <f>VLOOKUP($C1011, Egli_UPEC_metadata_provided!$A$2:$M$826, 6, FALSE)</f>
        <v>#N/A</v>
      </c>
      <c r="H1011" t="e">
        <f>VLOOKUP($C1011, Egli_UPEC_metadata_provided!$A$2:$M$826, 7, FALSE)</f>
        <v>#N/A</v>
      </c>
      <c r="I1011" t="e">
        <f>VLOOKUP($C1011, Egli_UPEC_metadata_provided!$A$2:$M$826, 8, FALSE)</f>
        <v>#N/A</v>
      </c>
      <c r="J1011" t="e">
        <f>VLOOKUP($C1011, Egli_UPEC_metadata_provided!$A$2:$M$826, 9, FALSE)</f>
        <v>#N/A</v>
      </c>
      <c r="K1011" t="e">
        <f>VLOOKUP($C1011, Egli_UPEC_metadata_provided!$A$2:$M$826, 10, FALSE)</f>
        <v>#N/A</v>
      </c>
      <c r="L1011" t="e">
        <f>VLOOKUP($C1011, Egli_UPEC_metadata_provided!$A$2:$M$826, 11, FALSE)</f>
        <v>#N/A</v>
      </c>
      <c r="M1011" t="e">
        <f>VLOOKUP($C1011, Egli_UPEC_metadata_provided!$A$2:$M$826, 12, FALSE)</f>
        <v>#N/A</v>
      </c>
      <c r="N1011" t="e">
        <f>VLOOKUP($C1011, Egli_UPEC_metadata_provided!$A$2:$M$826, 13, FALSE)</f>
        <v>#N/A</v>
      </c>
      <c r="O1011" t="e">
        <f>VLOOKUP($C1011, Egli_UPEC_metadata_provided!$A$2:$N$826, 14, FALSE)</f>
        <v>#N/A</v>
      </c>
    </row>
    <row r="1012" spans="1:15" x14ac:dyDescent="0.2">
      <c r="A1012" t="s">
        <v>2612</v>
      </c>
      <c r="B1012" t="s">
        <v>4283</v>
      </c>
      <c r="C1012" t="s">
        <v>4400</v>
      </c>
      <c r="D1012" t="e">
        <f>VLOOKUP($C1012, Egli_UPEC_metadata_provided!$A$2:$M$826, 3, FALSE)</f>
        <v>#N/A</v>
      </c>
      <c r="E1012" t="e">
        <f>VLOOKUP($C1012, Egli_UPEC_metadata_provided!$A$2:$M$826, 4, FALSE)</f>
        <v>#N/A</v>
      </c>
      <c r="F1012" t="e">
        <f>VLOOKUP($C1012, Egli_UPEC_metadata_provided!$A$2:$M$826, 5, FALSE)</f>
        <v>#N/A</v>
      </c>
      <c r="G1012" t="e">
        <f>VLOOKUP($C1012, Egli_UPEC_metadata_provided!$A$2:$M$826, 6, FALSE)</f>
        <v>#N/A</v>
      </c>
      <c r="H1012" t="e">
        <f>VLOOKUP($C1012, Egli_UPEC_metadata_provided!$A$2:$M$826, 7, FALSE)</f>
        <v>#N/A</v>
      </c>
      <c r="I1012" t="e">
        <f>VLOOKUP($C1012, Egli_UPEC_metadata_provided!$A$2:$M$826, 8, FALSE)</f>
        <v>#N/A</v>
      </c>
      <c r="J1012" t="e">
        <f>VLOOKUP($C1012, Egli_UPEC_metadata_provided!$A$2:$M$826, 9, FALSE)</f>
        <v>#N/A</v>
      </c>
      <c r="K1012" t="e">
        <f>VLOOKUP($C1012, Egli_UPEC_metadata_provided!$A$2:$M$826, 10, FALSE)</f>
        <v>#N/A</v>
      </c>
      <c r="L1012" t="e">
        <f>VLOOKUP($C1012, Egli_UPEC_metadata_provided!$A$2:$M$826, 11, FALSE)</f>
        <v>#N/A</v>
      </c>
      <c r="M1012" t="e">
        <f>VLOOKUP($C1012, Egli_UPEC_metadata_provided!$A$2:$M$826, 12, FALSE)</f>
        <v>#N/A</v>
      </c>
      <c r="N1012" t="e">
        <f>VLOOKUP($C1012, Egli_UPEC_metadata_provided!$A$2:$M$826, 13, FALSE)</f>
        <v>#N/A</v>
      </c>
      <c r="O1012" t="e">
        <f>VLOOKUP($C1012, Egli_UPEC_metadata_provided!$A$2:$N$826, 14, FALSE)</f>
        <v>#N/A</v>
      </c>
    </row>
    <row r="1013" spans="1:15" x14ac:dyDescent="0.2">
      <c r="A1013" t="s">
        <v>2615</v>
      </c>
      <c r="B1013" t="s">
        <v>4284</v>
      </c>
      <c r="C1013" t="s">
        <v>4400</v>
      </c>
      <c r="D1013" t="e">
        <f>VLOOKUP($C1013, Egli_UPEC_metadata_provided!$A$2:$M$826, 3, FALSE)</f>
        <v>#N/A</v>
      </c>
      <c r="E1013" t="e">
        <f>VLOOKUP($C1013, Egli_UPEC_metadata_provided!$A$2:$M$826, 4, FALSE)</f>
        <v>#N/A</v>
      </c>
      <c r="F1013" t="e">
        <f>VLOOKUP($C1013, Egli_UPEC_metadata_provided!$A$2:$M$826, 5, FALSE)</f>
        <v>#N/A</v>
      </c>
      <c r="G1013" t="e">
        <f>VLOOKUP($C1013, Egli_UPEC_metadata_provided!$A$2:$M$826, 6, FALSE)</f>
        <v>#N/A</v>
      </c>
      <c r="H1013" t="e">
        <f>VLOOKUP($C1013, Egli_UPEC_metadata_provided!$A$2:$M$826, 7, FALSE)</f>
        <v>#N/A</v>
      </c>
      <c r="I1013" t="e">
        <f>VLOOKUP($C1013, Egli_UPEC_metadata_provided!$A$2:$M$826, 8, FALSE)</f>
        <v>#N/A</v>
      </c>
      <c r="J1013" t="e">
        <f>VLOOKUP($C1013, Egli_UPEC_metadata_provided!$A$2:$M$826, 9, FALSE)</f>
        <v>#N/A</v>
      </c>
      <c r="K1013" t="e">
        <f>VLOOKUP($C1013, Egli_UPEC_metadata_provided!$A$2:$M$826, 10, FALSE)</f>
        <v>#N/A</v>
      </c>
      <c r="L1013" t="e">
        <f>VLOOKUP($C1013, Egli_UPEC_metadata_provided!$A$2:$M$826, 11, FALSE)</f>
        <v>#N/A</v>
      </c>
      <c r="M1013" t="e">
        <f>VLOOKUP($C1013, Egli_UPEC_metadata_provided!$A$2:$M$826, 12, FALSE)</f>
        <v>#N/A</v>
      </c>
      <c r="N1013" t="e">
        <f>VLOOKUP($C1013, Egli_UPEC_metadata_provided!$A$2:$M$826, 13, FALSE)</f>
        <v>#N/A</v>
      </c>
      <c r="O1013" t="e">
        <f>VLOOKUP($C1013, Egli_UPEC_metadata_provided!$A$2:$N$826, 14, FALSE)</f>
        <v>#N/A</v>
      </c>
    </row>
    <row r="1014" spans="1:15" x14ac:dyDescent="0.2">
      <c r="A1014" t="s">
        <v>2597</v>
      </c>
      <c r="B1014" t="s">
        <v>4241</v>
      </c>
      <c r="C1014" t="s">
        <v>4400</v>
      </c>
      <c r="D1014" t="e">
        <f>VLOOKUP($C1014, Egli_UPEC_metadata_provided!$A$2:$M$826, 3, FALSE)</f>
        <v>#N/A</v>
      </c>
      <c r="E1014" t="e">
        <f>VLOOKUP($C1014, Egli_UPEC_metadata_provided!$A$2:$M$826, 4, FALSE)</f>
        <v>#N/A</v>
      </c>
      <c r="F1014" t="e">
        <f>VLOOKUP($C1014, Egli_UPEC_metadata_provided!$A$2:$M$826, 5, FALSE)</f>
        <v>#N/A</v>
      </c>
      <c r="G1014" t="e">
        <f>VLOOKUP($C1014, Egli_UPEC_metadata_provided!$A$2:$M$826, 6, FALSE)</f>
        <v>#N/A</v>
      </c>
      <c r="H1014" t="e">
        <f>VLOOKUP($C1014, Egli_UPEC_metadata_provided!$A$2:$M$826, 7, FALSE)</f>
        <v>#N/A</v>
      </c>
      <c r="I1014" t="e">
        <f>VLOOKUP($C1014, Egli_UPEC_metadata_provided!$A$2:$M$826, 8, FALSE)</f>
        <v>#N/A</v>
      </c>
      <c r="J1014" t="e">
        <f>VLOOKUP($C1014, Egli_UPEC_metadata_provided!$A$2:$M$826, 9, FALSE)</f>
        <v>#N/A</v>
      </c>
      <c r="K1014" t="e">
        <f>VLOOKUP($C1014, Egli_UPEC_metadata_provided!$A$2:$M$826, 10, FALSE)</f>
        <v>#N/A</v>
      </c>
      <c r="L1014" t="e">
        <f>VLOOKUP($C1014, Egli_UPEC_metadata_provided!$A$2:$M$826, 11, FALSE)</f>
        <v>#N/A</v>
      </c>
      <c r="M1014" t="e">
        <f>VLOOKUP($C1014, Egli_UPEC_metadata_provided!$A$2:$M$826, 12, FALSE)</f>
        <v>#N/A</v>
      </c>
      <c r="N1014" t="e">
        <f>VLOOKUP($C1014, Egli_UPEC_metadata_provided!$A$2:$M$826, 13, FALSE)</f>
        <v>#N/A</v>
      </c>
      <c r="O1014" t="e">
        <f>VLOOKUP($C1014, Egli_UPEC_metadata_provided!$A$2:$N$826, 14, FALSE)</f>
        <v>#N/A</v>
      </c>
    </row>
    <row r="1015" spans="1:15" x14ac:dyDescent="0.2">
      <c r="A1015" t="s">
        <v>2600</v>
      </c>
      <c r="B1015" t="s">
        <v>4245</v>
      </c>
      <c r="C1015" t="s">
        <v>4400</v>
      </c>
      <c r="D1015" t="e">
        <f>VLOOKUP($C1015, Egli_UPEC_metadata_provided!$A$2:$M$826, 3, FALSE)</f>
        <v>#N/A</v>
      </c>
      <c r="E1015" t="e">
        <f>VLOOKUP($C1015, Egli_UPEC_metadata_provided!$A$2:$M$826, 4, FALSE)</f>
        <v>#N/A</v>
      </c>
      <c r="F1015" t="e">
        <f>VLOOKUP($C1015, Egli_UPEC_metadata_provided!$A$2:$M$826, 5, FALSE)</f>
        <v>#N/A</v>
      </c>
      <c r="G1015" t="e">
        <f>VLOOKUP($C1015, Egli_UPEC_metadata_provided!$A$2:$M$826, 6, FALSE)</f>
        <v>#N/A</v>
      </c>
      <c r="H1015" t="e">
        <f>VLOOKUP($C1015, Egli_UPEC_metadata_provided!$A$2:$M$826, 7, FALSE)</f>
        <v>#N/A</v>
      </c>
      <c r="I1015" t="e">
        <f>VLOOKUP($C1015, Egli_UPEC_metadata_provided!$A$2:$M$826, 8, FALSE)</f>
        <v>#N/A</v>
      </c>
      <c r="J1015" t="e">
        <f>VLOOKUP($C1015, Egli_UPEC_metadata_provided!$A$2:$M$826, 9, FALSE)</f>
        <v>#N/A</v>
      </c>
      <c r="K1015" t="e">
        <f>VLOOKUP($C1015, Egli_UPEC_metadata_provided!$A$2:$M$826, 10, FALSE)</f>
        <v>#N/A</v>
      </c>
      <c r="L1015" t="e">
        <f>VLOOKUP($C1015, Egli_UPEC_metadata_provided!$A$2:$M$826, 11, FALSE)</f>
        <v>#N/A</v>
      </c>
      <c r="M1015" t="e">
        <f>VLOOKUP($C1015, Egli_UPEC_metadata_provided!$A$2:$M$826, 12, FALSE)</f>
        <v>#N/A</v>
      </c>
      <c r="N1015" t="e">
        <f>VLOOKUP($C1015, Egli_UPEC_metadata_provided!$A$2:$M$826, 13, FALSE)</f>
        <v>#N/A</v>
      </c>
      <c r="O1015" t="e">
        <f>VLOOKUP($C1015, Egli_UPEC_metadata_provided!$A$2:$N$826, 14, FALSE)</f>
        <v>#N/A</v>
      </c>
    </row>
    <row r="1016" spans="1:15" x14ac:dyDescent="0.2">
      <c r="A1016" t="s">
        <v>2618</v>
      </c>
      <c r="B1016" t="s">
        <v>4285</v>
      </c>
      <c r="C1016" t="s">
        <v>4400</v>
      </c>
      <c r="D1016" t="e">
        <f>VLOOKUP($C1016, Egli_UPEC_metadata_provided!$A$2:$M$826, 3, FALSE)</f>
        <v>#N/A</v>
      </c>
      <c r="E1016" t="e">
        <f>VLOOKUP($C1016, Egli_UPEC_metadata_provided!$A$2:$M$826, 4, FALSE)</f>
        <v>#N/A</v>
      </c>
      <c r="F1016" t="e">
        <f>VLOOKUP($C1016, Egli_UPEC_metadata_provided!$A$2:$M$826, 5, FALSE)</f>
        <v>#N/A</v>
      </c>
      <c r="G1016" t="e">
        <f>VLOOKUP($C1016, Egli_UPEC_metadata_provided!$A$2:$M$826, 6, FALSE)</f>
        <v>#N/A</v>
      </c>
      <c r="H1016" t="e">
        <f>VLOOKUP($C1016, Egli_UPEC_metadata_provided!$A$2:$M$826, 7, FALSE)</f>
        <v>#N/A</v>
      </c>
      <c r="I1016" t="e">
        <f>VLOOKUP($C1016, Egli_UPEC_metadata_provided!$A$2:$M$826, 8, FALSE)</f>
        <v>#N/A</v>
      </c>
      <c r="J1016" t="e">
        <f>VLOOKUP($C1016, Egli_UPEC_metadata_provided!$A$2:$M$826, 9, FALSE)</f>
        <v>#N/A</v>
      </c>
      <c r="K1016" t="e">
        <f>VLOOKUP($C1016, Egli_UPEC_metadata_provided!$A$2:$M$826, 10, FALSE)</f>
        <v>#N/A</v>
      </c>
      <c r="L1016" t="e">
        <f>VLOOKUP($C1016, Egli_UPEC_metadata_provided!$A$2:$M$826, 11, FALSE)</f>
        <v>#N/A</v>
      </c>
      <c r="M1016" t="e">
        <f>VLOOKUP($C1016, Egli_UPEC_metadata_provided!$A$2:$M$826, 12, FALSE)</f>
        <v>#N/A</v>
      </c>
      <c r="N1016" t="e">
        <f>VLOOKUP($C1016, Egli_UPEC_metadata_provided!$A$2:$M$826, 13, FALSE)</f>
        <v>#N/A</v>
      </c>
      <c r="O1016" t="e">
        <f>VLOOKUP($C1016, Egli_UPEC_metadata_provided!$A$2:$N$826, 14, FALSE)</f>
        <v>#N/A</v>
      </c>
    </row>
    <row r="1017" spans="1:15" x14ac:dyDescent="0.2">
      <c r="A1017" t="s">
        <v>2603</v>
      </c>
      <c r="B1017" t="s">
        <v>4247</v>
      </c>
      <c r="C1017" t="s">
        <v>4400</v>
      </c>
      <c r="D1017" t="e">
        <f>VLOOKUP($C1017, Egli_UPEC_metadata_provided!$A$2:$M$826, 3, FALSE)</f>
        <v>#N/A</v>
      </c>
      <c r="E1017" t="e">
        <f>VLOOKUP($C1017, Egli_UPEC_metadata_provided!$A$2:$M$826, 4, FALSE)</f>
        <v>#N/A</v>
      </c>
      <c r="F1017" t="e">
        <f>VLOOKUP($C1017, Egli_UPEC_metadata_provided!$A$2:$M$826, 5, FALSE)</f>
        <v>#N/A</v>
      </c>
      <c r="G1017" t="e">
        <f>VLOOKUP($C1017, Egli_UPEC_metadata_provided!$A$2:$M$826, 6, FALSE)</f>
        <v>#N/A</v>
      </c>
      <c r="H1017" t="e">
        <f>VLOOKUP($C1017, Egli_UPEC_metadata_provided!$A$2:$M$826, 7, FALSE)</f>
        <v>#N/A</v>
      </c>
      <c r="I1017" t="e">
        <f>VLOOKUP($C1017, Egli_UPEC_metadata_provided!$A$2:$M$826, 8, FALSE)</f>
        <v>#N/A</v>
      </c>
      <c r="J1017" t="e">
        <f>VLOOKUP($C1017, Egli_UPEC_metadata_provided!$A$2:$M$826, 9, FALSE)</f>
        <v>#N/A</v>
      </c>
      <c r="K1017" t="e">
        <f>VLOOKUP($C1017, Egli_UPEC_metadata_provided!$A$2:$M$826, 10, FALSE)</f>
        <v>#N/A</v>
      </c>
      <c r="L1017" t="e">
        <f>VLOOKUP($C1017, Egli_UPEC_metadata_provided!$A$2:$M$826, 11, FALSE)</f>
        <v>#N/A</v>
      </c>
      <c r="M1017" t="e">
        <f>VLOOKUP($C1017, Egli_UPEC_metadata_provided!$A$2:$M$826, 12, FALSE)</f>
        <v>#N/A</v>
      </c>
      <c r="N1017" t="e">
        <f>VLOOKUP($C1017, Egli_UPEC_metadata_provided!$A$2:$M$826, 13, FALSE)</f>
        <v>#N/A</v>
      </c>
      <c r="O1017" t="e">
        <f>VLOOKUP($C1017, Egli_UPEC_metadata_provided!$A$2:$N$826, 14, FALSE)</f>
        <v>#N/A</v>
      </c>
    </row>
    <row r="1018" spans="1:15" x14ac:dyDescent="0.2">
      <c r="A1018" t="s">
        <v>2606</v>
      </c>
      <c r="B1018" t="s">
        <v>4249</v>
      </c>
      <c r="C1018" t="s">
        <v>4400</v>
      </c>
      <c r="D1018" t="e">
        <f>VLOOKUP($C1018, Egli_UPEC_metadata_provided!$A$2:$M$826, 3, FALSE)</f>
        <v>#N/A</v>
      </c>
      <c r="E1018" t="e">
        <f>VLOOKUP($C1018, Egli_UPEC_metadata_provided!$A$2:$M$826, 4, FALSE)</f>
        <v>#N/A</v>
      </c>
      <c r="F1018" t="e">
        <f>VLOOKUP($C1018, Egli_UPEC_metadata_provided!$A$2:$M$826, 5, FALSE)</f>
        <v>#N/A</v>
      </c>
      <c r="G1018" t="e">
        <f>VLOOKUP($C1018, Egli_UPEC_metadata_provided!$A$2:$M$826, 6, FALSE)</f>
        <v>#N/A</v>
      </c>
      <c r="H1018" t="e">
        <f>VLOOKUP($C1018, Egli_UPEC_metadata_provided!$A$2:$M$826, 7, FALSE)</f>
        <v>#N/A</v>
      </c>
      <c r="I1018" t="e">
        <f>VLOOKUP($C1018, Egli_UPEC_metadata_provided!$A$2:$M$826, 8, FALSE)</f>
        <v>#N/A</v>
      </c>
      <c r="J1018" t="e">
        <f>VLOOKUP($C1018, Egli_UPEC_metadata_provided!$A$2:$M$826, 9, FALSE)</f>
        <v>#N/A</v>
      </c>
      <c r="K1018" t="e">
        <f>VLOOKUP($C1018, Egli_UPEC_metadata_provided!$A$2:$M$826, 10, FALSE)</f>
        <v>#N/A</v>
      </c>
      <c r="L1018" t="e">
        <f>VLOOKUP($C1018, Egli_UPEC_metadata_provided!$A$2:$M$826, 11, FALSE)</f>
        <v>#N/A</v>
      </c>
      <c r="M1018" t="e">
        <f>VLOOKUP($C1018, Egli_UPEC_metadata_provided!$A$2:$M$826, 12, FALSE)</f>
        <v>#N/A</v>
      </c>
      <c r="N1018" t="e">
        <f>VLOOKUP($C1018, Egli_UPEC_metadata_provided!$A$2:$M$826, 13, FALSE)</f>
        <v>#N/A</v>
      </c>
      <c r="O1018" t="e">
        <f>VLOOKUP($C1018, Egli_UPEC_metadata_provided!$A$2:$N$826, 14, FALSE)</f>
        <v>#N/A</v>
      </c>
    </row>
    <row r="1019" spans="1:15" x14ac:dyDescent="0.2">
      <c r="A1019" t="s">
        <v>2609</v>
      </c>
      <c r="B1019" t="s">
        <v>4251</v>
      </c>
      <c r="C1019" t="s">
        <v>4400</v>
      </c>
      <c r="D1019" t="e">
        <f>VLOOKUP($C1019, Egli_UPEC_metadata_provided!$A$2:$M$826, 3, FALSE)</f>
        <v>#N/A</v>
      </c>
      <c r="E1019" t="e">
        <f>VLOOKUP($C1019, Egli_UPEC_metadata_provided!$A$2:$M$826, 4, FALSE)</f>
        <v>#N/A</v>
      </c>
      <c r="F1019" t="e">
        <f>VLOOKUP($C1019, Egli_UPEC_metadata_provided!$A$2:$M$826, 5, FALSE)</f>
        <v>#N/A</v>
      </c>
      <c r="G1019" t="e">
        <f>VLOOKUP($C1019, Egli_UPEC_metadata_provided!$A$2:$M$826, 6, FALSE)</f>
        <v>#N/A</v>
      </c>
      <c r="H1019" t="e">
        <f>VLOOKUP($C1019, Egli_UPEC_metadata_provided!$A$2:$M$826, 7, FALSE)</f>
        <v>#N/A</v>
      </c>
      <c r="I1019" t="e">
        <f>VLOOKUP($C1019, Egli_UPEC_metadata_provided!$A$2:$M$826, 8, FALSE)</f>
        <v>#N/A</v>
      </c>
      <c r="J1019" t="e">
        <f>VLOOKUP($C1019, Egli_UPEC_metadata_provided!$A$2:$M$826, 9, FALSE)</f>
        <v>#N/A</v>
      </c>
      <c r="K1019" t="e">
        <f>VLOOKUP($C1019, Egli_UPEC_metadata_provided!$A$2:$M$826, 10, FALSE)</f>
        <v>#N/A</v>
      </c>
      <c r="L1019" t="e">
        <f>VLOOKUP($C1019, Egli_UPEC_metadata_provided!$A$2:$M$826, 11, FALSE)</f>
        <v>#N/A</v>
      </c>
      <c r="M1019" t="e">
        <f>VLOOKUP($C1019, Egli_UPEC_metadata_provided!$A$2:$M$826, 12, FALSE)</f>
        <v>#N/A</v>
      </c>
      <c r="N1019" t="e">
        <f>VLOOKUP($C1019, Egli_UPEC_metadata_provided!$A$2:$M$826, 13, FALSE)</f>
        <v>#N/A</v>
      </c>
      <c r="O1019" t="e">
        <f>VLOOKUP($C1019, Egli_UPEC_metadata_provided!$A$2:$N$826, 14, FALSE)</f>
        <v>#N/A</v>
      </c>
    </row>
    <row r="1020" spans="1:15" x14ac:dyDescent="0.2">
      <c r="A1020" t="s">
        <v>2634</v>
      </c>
      <c r="B1020" t="s">
        <v>4286</v>
      </c>
      <c r="C1020" t="s">
        <v>4286</v>
      </c>
      <c r="D1020" t="e">
        <f>VLOOKUP($C1020, Egli_UPEC_metadata_provided!$A$2:$M$826, 3, FALSE)</f>
        <v>#N/A</v>
      </c>
      <c r="E1020" t="e">
        <f>VLOOKUP($C1020, Egli_UPEC_metadata_provided!$A$2:$M$826, 4, FALSE)</f>
        <v>#N/A</v>
      </c>
      <c r="F1020" t="e">
        <f>VLOOKUP($C1020, Egli_UPEC_metadata_provided!$A$2:$M$826, 5, FALSE)</f>
        <v>#N/A</v>
      </c>
      <c r="G1020" t="e">
        <f>VLOOKUP($C1020, Egli_UPEC_metadata_provided!$A$2:$M$826, 6, FALSE)</f>
        <v>#N/A</v>
      </c>
      <c r="H1020" t="e">
        <f>VLOOKUP($C1020, Egli_UPEC_metadata_provided!$A$2:$M$826, 7, FALSE)</f>
        <v>#N/A</v>
      </c>
      <c r="I1020" t="e">
        <f>VLOOKUP($C1020, Egli_UPEC_metadata_provided!$A$2:$M$826, 8, FALSE)</f>
        <v>#N/A</v>
      </c>
      <c r="J1020" t="e">
        <f>VLOOKUP($C1020, Egli_UPEC_metadata_provided!$A$2:$M$826, 9, FALSE)</f>
        <v>#N/A</v>
      </c>
      <c r="K1020" t="e">
        <f>VLOOKUP($C1020, Egli_UPEC_metadata_provided!$A$2:$M$826, 10, FALSE)</f>
        <v>#N/A</v>
      </c>
      <c r="L1020" t="e">
        <f>VLOOKUP($C1020, Egli_UPEC_metadata_provided!$A$2:$M$826, 11, FALSE)</f>
        <v>#N/A</v>
      </c>
      <c r="M1020" t="e">
        <f>VLOOKUP($C1020, Egli_UPEC_metadata_provided!$A$2:$M$826, 12, FALSE)</f>
        <v>#N/A</v>
      </c>
      <c r="N1020" t="e">
        <f>VLOOKUP($C1020, Egli_UPEC_metadata_provided!$A$2:$M$826, 13, FALSE)</f>
        <v>#N/A</v>
      </c>
      <c r="O1020" t="e">
        <f>VLOOKUP($C1020, Egli_UPEC_metadata_provided!$A$2:$N$826, 14, FALSE)</f>
        <v>#N/A</v>
      </c>
    </row>
    <row r="1021" spans="1:15" x14ac:dyDescent="0.2">
      <c r="A1021" t="s">
        <v>2643</v>
      </c>
      <c r="B1021" t="s">
        <v>4377</v>
      </c>
      <c r="C1021" t="s">
        <v>4377</v>
      </c>
      <c r="D1021" t="e">
        <f>VLOOKUP($C1021, Egli_UPEC_metadata_provided!$A$2:$M$826, 3, FALSE)</f>
        <v>#N/A</v>
      </c>
      <c r="E1021" t="e">
        <f>VLOOKUP($C1021, Egli_UPEC_metadata_provided!$A$2:$M$826, 4, FALSE)</f>
        <v>#N/A</v>
      </c>
      <c r="F1021" t="e">
        <f>VLOOKUP($C1021, Egli_UPEC_metadata_provided!$A$2:$M$826, 5, FALSE)</f>
        <v>#N/A</v>
      </c>
      <c r="G1021" t="e">
        <f>VLOOKUP($C1021, Egli_UPEC_metadata_provided!$A$2:$M$826, 6, FALSE)</f>
        <v>#N/A</v>
      </c>
      <c r="H1021" t="e">
        <f>VLOOKUP($C1021, Egli_UPEC_metadata_provided!$A$2:$M$826, 7, FALSE)</f>
        <v>#N/A</v>
      </c>
      <c r="I1021" t="e">
        <f>VLOOKUP($C1021, Egli_UPEC_metadata_provided!$A$2:$M$826, 8, FALSE)</f>
        <v>#N/A</v>
      </c>
      <c r="J1021" t="e">
        <f>VLOOKUP($C1021, Egli_UPEC_metadata_provided!$A$2:$M$826, 9, FALSE)</f>
        <v>#N/A</v>
      </c>
      <c r="K1021" t="e">
        <f>VLOOKUP($C1021, Egli_UPEC_metadata_provided!$A$2:$M$826, 10, FALSE)</f>
        <v>#N/A</v>
      </c>
      <c r="L1021" t="e">
        <f>VLOOKUP($C1021, Egli_UPEC_metadata_provided!$A$2:$M$826, 11, FALSE)</f>
        <v>#N/A</v>
      </c>
      <c r="M1021" t="e">
        <f>VLOOKUP($C1021, Egli_UPEC_metadata_provided!$A$2:$M$826, 12, FALSE)</f>
        <v>#N/A</v>
      </c>
      <c r="N1021" t="e">
        <f>VLOOKUP($C1021, Egli_UPEC_metadata_provided!$A$2:$M$826, 13, FALSE)</f>
        <v>#N/A</v>
      </c>
      <c r="O1021" t="e">
        <f>VLOOKUP($C1021, Egli_UPEC_metadata_provided!$A$2:$N$826, 14, FALSE)</f>
        <v>#N/A</v>
      </c>
    </row>
    <row r="1022" spans="1:15" x14ac:dyDescent="0.2">
      <c r="A1022" t="s">
        <v>2646</v>
      </c>
      <c r="B1022" t="s">
        <v>4287</v>
      </c>
      <c r="C1022" t="s">
        <v>4287</v>
      </c>
      <c r="D1022" t="e">
        <f>VLOOKUP($C1022, Egli_UPEC_metadata_provided!$A$2:$M$826, 3, FALSE)</f>
        <v>#N/A</v>
      </c>
      <c r="E1022" t="e">
        <f>VLOOKUP($C1022, Egli_UPEC_metadata_provided!$A$2:$M$826, 4, FALSE)</f>
        <v>#N/A</v>
      </c>
      <c r="F1022" t="e">
        <f>VLOOKUP($C1022, Egli_UPEC_metadata_provided!$A$2:$M$826, 5, FALSE)</f>
        <v>#N/A</v>
      </c>
      <c r="G1022" t="e">
        <f>VLOOKUP($C1022, Egli_UPEC_metadata_provided!$A$2:$M$826, 6, FALSE)</f>
        <v>#N/A</v>
      </c>
      <c r="H1022" t="e">
        <f>VLOOKUP($C1022, Egli_UPEC_metadata_provided!$A$2:$M$826, 7, FALSE)</f>
        <v>#N/A</v>
      </c>
      <c r="I1022" t="e">
        <f>VLOOKUP($C1022, Egli_UPEC_metadata_provided!$A$2:$M$826, 8, FALSE)</f>
        <v>#N/A</v>
      </c>
      <c r="J1022" t="e">
        <f>VLOOKUP($C1022, Egli_UPEC_metadata_provided!$A$2:$M$826, 9, FALSE)</f>
        <v>#N/A</v>
      </c>
      <c r="K1022" t="e">
        <f>VLOOKUP($C1022, Egli_UPEC_metadata_provided!$A$2:$M$826, 10, FALSE)</f>
        <v>#N/A</v>
      </c>
      <c r="L1022" t="e">
        <f>VLOOKUP($C1022, Egli_UPEC_metadata_provided!$A$2:$M$826, 11, FALSE)</f>
        <v>#N/A</v>
      </c>
      <c r="M1022" t="e">
        <f>VLOOKUP($C1022, Egli_UPEC_metadata_provided!$A$2:$M$826, 12, FALSE)</f>
        <v>#N/A</v>
      </c>
      <c r="N1022" t="e">
        <f>VLOOKUP($C1022, Egli_UPEC_metadata_provided!$A$2:$M$826, 13, FALSE)</f>
        <v>#N/A</v>
      </c>
      <c r="O1022" t="e">
        <f>VLOOKUP($C1022, Egli_UPEC_metadata_provided!$A$2:$N$826, 14, FALSE)</f>
        <v>#N/A</v>
      </c>
    </row>
    <row r="1023" spans="1:15" x14ac:dyDescent="0.2">
      <c r="A1023" t="s">
        <v>2659</v>
      </c>
      <c r="B1023" t="s">
        <v>4378</v>
      </c>
      <c r="C1023" t="s">
        <v>4378</v>
      </c>
      <c r="D1023" t="e">
        <f>VLOOKUP($C1023, Egli_UPEC_metadata_provided!$A$2:$M$826, 3, FALSE)</f>
        <v>#N/A</v>
      </c>
      <c r="E1023" t="e">
        <f>VLOOKUP($C1023, Egli_UPEC_metadata_provided!$A$2:$M$826, 4, FALSE)</f>
        <v>#N/A</v>
      </c>
      <c r="F1023" t="e">
        <f>VLOOKUP($C1023, Egli_UPEC_metadata_provided!$A$2:$M$826, 5, FALSE)</f>
        <v>#N/A</v>
      </c>
      <c r="G1023" t="e">
        <f>VLOOKUP($C1023, Egli_UPEC_metadata_provided!$A$2:$M$826, 6, FALSE)</f>
        <v>#N/A</v>
      </c>
      <c r="H1023" t="e">
        <f>VLOOKUP($C1023, Egli_UPEC_metadata_provided!$A$2:$M$826, 7, FALSE)</f>
        <v>#N/A</v>
      </c>
      <c r="I1023" t="e">
        <f>VLOOKUP($C1023, Egli_UPEC_metadata_provided!$A$2:$M$826, 8, FALSE)</f>
        <v>#N/A</v>
      </c>
      <c r="J1023" t="e">
        <f>VLOOKUP($C1023, Egli_UPEC_metadata_provided!$A$2:$M$826, 9, FALSE)</f>
        <v>#N/A</v>
      </c>
      <c r="K1023" t="e">
        <f>VLOOKUP($C1023, Egli_UPEC_metadata_provided!$A$2:$M$826, 10, FALSE)</f>
        <v>#N/A</v>
      </c>
      <c r="L1023" t="e">
        <f>VLOOKUP($C1023, Egli_UPEC_metadata_provided!$A$2:$M$826, 11, FALSE)</f>
        <v>#N/A</v>
      </c>
      <c r="M1023" t="e">
        <f>VLOOKUP($C1023, Egli_UPEC_metadata_provided!$A$2:$M$826, 12, FALSE)</f>
        <v>#N/A</v>
      </c>
      <c r="N1023" t="e">
        <f>VLOOKUP($C1023, Egli_UPEC_metadata_provided!$A$2:$M$826, 13, FALSE)</f>
        <v>#N/A</v>
      </c>
      <c r="O1023" t="e">
        <f>VLOOKUP($C1023, Egli_UPEC_metadata_provided!$A$2:$N$826, 14, FALSE)</f>
        <v>#N/A</v>
      </c>
    </row>
    <row r="1024" spans="1:15" x14ac:dyDescent="0.2">
      <c r="A1024" t="s">
        <v>2662</v>
      </c>
      <c r="B1024" t="s">
        <v>4288</v>
      </c>
      <c r="C1024" t="s">
        <v>4288</v>
      </c>
      <c r="D1024" t="e">
        <f>VLOOKUP($C1024, Egli_UPEC_metadata_provided!$A$2:$M$826, 3, FALSE)</f>
        <v>#N/A</v>
      </c>
      <c r="E1024" t="e">
        <f>VLOOKUP($C1024, Egli_UPEC_metadata_provided!$A$2:$M$826, 4, FALSE)</f>
        <v>#N/A</v>
      </c>
      <c r="F1024" t="e">
        <f>VLOOKUP($C1024, Egli_UPEC_metadata_provided!$A$2:$M$826, 5, FALSE)</f>
        <v>#N/A</v>
      </c>
      <c r="G1024" t="e">
        <f>VLOOKUP($C1024, Egli_UPEC_metadata_provided!$A$2:$M$826, 6, FALSE)</f>
        <v>#N/A</v>
      </c>
      <c r="H1024" t="e">
        <f>VLOOKUP($C1024, Egli_UPEC_metadata_provided!$A$2:$M$826, 7, FALSE)</f>
        <v>#N/A</v>
      </c>
      <c r="I1024" t="e">
        <f>VLOOKUP($C1024, Egli_UPEC_metadata_provided!$A$2:$M$826, 8, FALSE)</f>
        <v>#N/A</v>
      </c>
      <c r="J1024" t="e">
        <f>VLOOKUP($C1024, Egli_UPEC_metadata_provided!$A$2:$M$826, 9, FALSE)</f>
        <v>#N/A</v>
      </c>
      <c r="K1024" t="e">
        <f>VLOOKUP($C1024, Egli_UPEC_metadata_provided!$A$2:$M$826, 10, FALSE)</f>
        <v>#N/A</v>
      </c>
      <c r="L1024" t="e">
        <f>VLOOKUP($C1024, Egli_UPEC_metadata_provided!$A$2:$M$826, 11, FALSE)</f>
        <v>#N/A</v>
      </c>
      <c r="M1024" t="e">
        <f>VLOOKUP($C1024, Egli_UPEC_metadata_provided!$A$2:$M$826, 12, FALSE)</f>
        <v>#N/A</v>
      </c>
      <c r="N1024" t="e">
        <f>VLOOKUP($C1024, Egli_UPEC_metadata_provided!$A$2:$M$826, 13, FALSE)</f>
        <v>#N/A</v>
      </c>
      <c r="O1024" t="e">
        <f>VLOOKUP($C1024, Egli_UPEC_metadata_provided!$A$2:$N$826, 14, FALSE)</f>
        <v>#N/A</v>
      </c>
    </row>
    <row r="1025" spans="1:15" x14ac:dyDescent="0.2">
      <c r="A1025" t="s">
        <v>2665</v>
      </c>
      <c r="B1025" t="s">
        <v>4379</v>
      </c>
      <c r="C1025" t="s">
        <v>4379</v>
      </c>
      <c r="D1025" t="e">
        <f>VLOOKUP($C1025, Egli_UPEC_metadata_provided!$A$2:$M$826, 3, FALSE)</f>
        <v>#N/A</v>
      </c>
      <c r="E1025" t="e">
        <f>VLOOKUP($C1025, Egli_UPEC_metadata_provided!$A$2:$M$826, 4, FALSE)</f>
        <v>#N/A</v>
      </c>
      <c r="F1025" t="e">
        <f>VLOOKUP($C1025, Egli_UPEC_metadata_provided!$A$2:$M$826, 5, FALSE)</f>
        <v>#N/A</v>
      </c>
      <c r="G1025" t="e">
        <f>VLOOKUP($C1025, Egli_UPEC_metadata_provided!$A$2:$M$826, 6, FALSE)</f>
        <v>#N/A</v>
      </c>
      <c r="H1025" t="e">
        <f>VLOOKUP($C1025, Egli_UPEC_metadata_provided!$A$2:$M$826, 7, FALSE)</f>
        <v>#N/A</v>
      </c>
      <c r="I1025" t="e">
        <f>VLOOKUP($C1025, Egli_UPEC_metadata_provided!$A$2:$M$826, 8, FALSE)</f>
        <v>#N/A</v>
      </c>
      <c r="J1025" t="e">
        <f>VLOOKUP($C1025, Egli_UPEC_metadata_provided!$A$2:$M$826, 9, FALSE)</f>
        <v>#N/A</v>
      </c>
      <c r="K1025" t="e">
        <f>VLOOKUP($C1025, Egli_UPEC_metadata_provided!$A$2:$M$826, 10, FALSE)</f>
        <v>#N/A</v>
      </c>
      <c r="L1025" t="e">
        <f>VLOOKUP($C1025, Egli_UPEC_metadata_provided!$A$2:$M$826, 11, FALSE)</f>
        <v>#N/A</v>
      </c>
      <c r="M1025" t="e">
        <f>VLOOKUP($C1025, Egli_UPEC_metadata_provided!$A$2:$M$826, 12, FALSE)</f>
        <v>#N/A</v>
      </c>
      <c r="N1025" t="e">
        <f>VLOOKUP($C1025, Egli_UPEC_metadata_provided!$A$2:$M$826, 13, FALSE)</f>
        <v>#N/A</v>
      </c>
      <c r="O1025" t="e">
        <f>VLOOKUP($C1025, Egli_UPEC_metadata_provided!$A$2:$N$826, 14, FALSE)</f>
        <v>#N/A</v>
      </c>
    </row>
    <row r="1026" spans="1:15" x14ac:dyDescent="0.2">
      <c r="A1026" t="s">
        <v>2668</v>
      </c>
      <c r="B1026" t="s">
        <v>4258</v>
      </c>
      <c r="C1026" t="s">
        <v>4258</v>
      </c>
      <c r="D1026" t="e">
        <f>VLOOKUP($C1026, Egli_UPEC_metadata_provided!$A$2:$M$826, 3, FALSE)</f>
        <v>#N/A</v>
      </c>
      <c r="E1026" t="e">
        <f>VLOOKUP($C1026, Egli_UPEC_metadata_provided!$A$2:$M$826, 4, FALSE)</f>
        <v>#N/A</v>
      </c>
      <c r="F1026" t="e">
        <f>VLOOKUP($C1026, Egli_UPEC_metadata_provided!$A$2:$M$826, 5, FALSE)</f>
        <v>#N/A</v>
      </c>
      <c r="G1026" t="e">
        <f>VLOOKUP($C1026, Egli_UPEC_metadata_provided!$A$2:$M$826, 6, FALSE)</f>
        <v>#N/A</v>
      </c>
      <c r="H1026" t="e">
        <f>VLOOKUP($C1026, Egli_UPEC_metadata_provided!$A$2:$M$826, 7, FALSE)</f>
        <v>#N/A</v>
      </c>
      <c r="I1026" t="e">
        <f>VLOOKUP($C1026, Egli_UPEC_metadata_provided!$A$2:$M$826, 8, FALSE)</f>
        <v>#N/A</v>
      </c>
      <c r="J1026" t="e">
        <f>VLOOKUP($C1026, Egli_UPEC_metadata_provided!$A$2:$M$826, 9, FALSE)</f>
        <v>#N/A</v>
      </c>
      <c r="K1026" t="e">
        <f>VLOOKUP($C1026, Egli_UPEC_metadata_provided!$A$2:$M$826, 10, FALSE)</f>
        <v>#N/A</v>
      </c>
      <c r="L1026" t="e">
        <f>VLOOKUP($C1026, Egli_UPEC_metadata_provided!$A$2:$M$826, 11, FALSE)</f>
        <v>#N/A</v>
      </c>
      <c r="M1026" t="e">
        <f>VLOOKUP($C1026, Egli_UPEC_metadata_provided!$A$2:$M$826, 12, FALSE)</f>
        <v>#N/A</v>
      </c>
      <c r="N1026" t="e">
        <f>VLOOKUP($C1026, Egli_UPEC_metadata_provided!$A$2:$M$826, 13, FALSE)</f>
        <v>#N/A</v>
      </c>
      <c r="O1026" t="e">
        <f>VLOOKUP($C1026, Egli_UPEC_metadata_provided!$A$2:$N$826, 14, FALSE)</f>
        <v>#N/A</v>
      </c>
    </row>
    <row r="1027" spans="1:15" x14ac:dyDescent="0.2">
      <c r="A1027" t="s">
        <v>2671</v>
      </c>
      <c r="B1027" t="s">
        <v>4380</v>
      </c>
      <c r="C1027" t="s">
        <v>4380</v>
      </c>
      <c r="D1027" t="e">
        <f>VLOOKUP($C1027, Egli_UPEC_metadata_provided!$A$2:$M$826, 3, FALSE)</f>
        <v>#N/A</v>
      </c>
      <c r="E1027" t="e">
        <f>VLOOKUP($C1027, Egli_UPEC_metadata_provided!$A$2:$M$826, 4, FALSE)</f>
        <v>#N/A</v>
      </c>
      <c r="F1027" t="e">
        <f>VLOOKUP($C1027, Egli_UPEC_metadata_provided!$A$2:$M$826, 5, FALSE)</f>
        <v>#N/A</v>
      </c>
      <c r="G1027" t="e">
        <f>VLOOKUP($C1027, Egli_UPEC_metadata_provided!$A$2:$M$826, 6, FALSE)</f>
        <v>#N/A</v>
      </c>
      <c r="H1027" t="e">
        <f>VLOOKUP($C1027, Egli_UPEC_metadata_provided!$A$2:$M$826, 7, FALSE)</f>
        <v>#N/A</v>
      </c>
      <c r="I1027" t="e">
        <f>VLOOKUP($C1027, Egli_UPEC_metadata_provided!$A$2:$M$826, 8, FALSE)</f>
        <v>#N/A</v>
      </c>
      <c r="J1027" t="e">
        <f>VLOOKUP($C1027, Egli_UPEC_metadata_provided!$A$2:$M$826, 9, FALSE)</f>
        <v>#N/A</v>
      </c>
      <c r="K1027" t="e">
        <f>VLOOKUP($C1027, Egli_UPEC_metadata_provided!$A$2:$M$826, 10, FALSE)</f>
        <v>#N/A</v>
      </c>
      <c r="L1027" t="e">
        <f>VLOOKUP($C1027, Egli_UPEC_metadata_provided!$A$2:$M$826, 11, FALSE)</f>
        <v>#N/A</v>
      </c>
      <c r="M1027" t="e">
        <f>VLOOKUP($C1027, Egli_UPEC_metadata_provided!$A$2:$M$826, 12, FALSE)</f>
        <v>#N/A</v>
      </c>
      <c r="N1027" t="e">
        <f>VLOOKUP($C1027, Egli_UPEC_metadata_provided!$A$2:$M$826, 13, FALSE)</f>
        <v>#N/A</v>
      </c>
      <c r="O1027" t="e">
        <f>VLOOKUP($C1027, Egli_UPEC_metadata_provided!$A$2:$N$826, 14, FALSE)</f>
        <v>#N/A</v>
      </c>
    </row>
    <row r="1028" spans="1:15" x14ac:dyDescent="0.2">
      <c r="A1028" t="s">
        <v>2761</v>
      </c>
      <c r="B1028" t="s">
        <v>4264</v>
      </c>
      <c r="C1028" t="s">
        <v>4264</v>
      </c>
      <c r="D1028" t="e">
        <f>VLOOKUP($C1028, Egli_UPEC_metadata_provided!$A$2:$M$826, 3, FALSE)</f>
        <v>#N/A</v>
      </c>
      <c r="E1028" t="e">
        <f>VLOOKUP($C1028, Egli_UPEC_metadata_provided!$A$2:$M$826, 4, FALSE)</f>
        <v>#N/A</v>
      </c>
      <c r="F1028" t="e">
        <f>VLOOKUP($C1028, Egli_UPEC_metadata_provided!$A$2:$M$826, 5, FALSE)</f>
        <v>#N/A</v>
      </c>
      <c r="G1028" t="e">
        <f>VLOOKUP($C1028, Egli_UPEC_metadata_provided!$A$2:$M$826, 6, FALSE)</f>
        <v>#N/A</v>
      </c>
      <c r="H1028" t="e">
        <f>VLOOKUP($C1028, Egli_UPEC_metadata_provided!$A$2:$M$826, 7, FALSE)</f>
        <v>#N/A</v>
      </c>
      <c r="I1028" t="e">
        <f>VLOOKUP($C1028, Egli_UPEC_metadata_provided!$A$2:$M$826, 8, FALSE)</f>
        <v>#N/A</v>
      </c>
      <c r="J1028" t="e">
        <f>VLOOKUP($C1028, Egli_UPEC_metadata_provided!$A$2:$M$826, 9, FALSE)</f>
        <v>#N/A</v>
      </c>
      <c r="K1028" t="e">
        <f>VLOOKUP($C1028, Egli_UPEC_metadata_provided!$A$2:$M$826, 10, FALSE)</f>
        <v>#N/A</v>
      </c>
      <c r="L1028" t="e">
        <f>VLOOKUP($C1028, Egli_UPEC_metadata_provided!$A$2:$M$826, 11, FALSE)</f>
        <v>#N/A</v>
      </c>
      <c r="M1028" t="e">
        <f>VLOOKUP($C1028, Egli_UPEC_metadata_provided!$A$2:$M$826, 12, FALSE)</f>
        <v>#N/A</v>
      </c>
      <c r="N1028" t="e">
        <f>VLOOKUP($C1028, Egli_UPEC_metadata_provided!$A$2:$M$826, 13, FALSE)</f>
        <v>#N/A</v>
      </c>
      <c r="O1028" t="e">
        <f>VLOOKUP($C1028, Egli_UPEC_metadata_provided!$A$2:$N$826, 14, FALSE)</f>
        <v>#N/A</v>
      </c>
    </row>
    <row r="1029" spans="1:15" x14ac:dyDescent="0.2">
      <c r="A1029" t="s">
        <v>2775</v>
      </c>
      <c r="B1029" t="s">
        <v>4291</v>
      </c>
      <c r="C1029" t="s">
        <v>4399</v>
      </c>
      <c r="D1029" t="e">
        <f>VLOOKUP($C1029, Egli_UPEC_metadata_provided!$A$2:$M$826, 3, FALSE)</f>
        <v>#N/A</v>
      </c>
      <c r="E1029" t="e">
        <f>VLOOKUP($C1029, Egli_UPEC_metadata_provided!$A$2:$M$826, 4, FALSE)</f>
        <v>#N/A</v>
      </c>
      <c r="F1029" t="e">
        <f>VLOOKUP($C1029, Egli_UPEC_metadata_provided!$A$2:$M$826, 5, FALSE)</f>
        <v>#N/A</v>
      </c>
      <c r="G1029" t="e">
        <f>VLOOKUP($C1029, Egli_UPEC_metadata_provided!$A$2:$M$826, 6, FALSE)</f>
        <v>#N/A</v>
      </c>
      <c r="H1029" t="e">
        <f>VLOOKUP($C1029, Egli_UPEC_metadata_provided!$A$2:$M$826, 7, FALSE)</f>
        <v>#N/A</v>
      </c>
      <c r="I1029" t="e">
        <f>VLOOKUP($C1029, Egli_UPEC_metadata_provided!$A$2:$M$826, 8, FALSE)</f>
        <v>#N/A</v>
      </c>
      <c r="J1029" t="e">
        <f>VLOOKUP($C1029, Egli_UPEC_metadata_provided!$A$2:$M$826, 9, FALSE)</f>
        <v>#N/A</v>
      </c>
      <c r="K1029" t="e">
        <f>VLOOKUP($C1029, Egli_UPEC_metadata_provided!$A$2:$M$826, 10, FALSE)</f>
        <v>#N/A</v>
      </c>
      <c r="L1029" t="e">
        <f>VLOOKUP($C1029, Egli_UPEC_metadata_provided!$A$2:$M$826, 11, FALSE)</f>
        <v>#N/A</v>
      </c>
      <c r="M1029" t="e">
        <f>VLOOKUP($C1029, Egli_UPEC_metadata_provided!$A$2:$M$826, 12, FALSE)</f>
        <v>#N/A</v>
      </c>
      <c r="N1029" t="e">
        <f>VLOOKUP($C1029, Egli_UPEC_metadata_provided!$A$2:$M$826, 13, FALSE)</f>
        <v>#N/A</v>
      </c>
      <c r="O1029" t="e">
        <f>VLOOKUP($C1029, Egli_UPEC_metadata_provided!$A$2:$N$826, 14, FALSE)</f>
        <v>#N/A</v>
      </c>
    </row>
    <row r="1030" spans="1:15" x14ac:dyDescent="0.2">
      <c r="A1030" t="s">
        <v>2778</v>
      </c>
      <c r="B1030" t="s">
        <v>4292</v>
      </c>
      <c r="C1030" t="s">
        <v>4399</v>
      </c>
      <c r="D1030" t="e">
        <f>VLOOKUP($C1030, Egli_UPEC_metadata_provided!$A$2:$M$826, 3, FALSE)</f>
        <v>#N/A</v>
      </c>
      <c r="E1030" t="e">
        <f>VLOOKUP($C1030, Egli_UPEC_metadata_provided!$A$2:$M$826, 4, FALSE)</f>
        <v>#N/A</v>
      </c>
      <c r="F1030" t="e">
        <f>VLOOKUP($C1030, Egli_UPEC_metadata_provided!$A$2:$M$826, 5, FALSE)</f>
        <v>#N/A</v>
      </c>
      <c r="G1030" t="e">
        <f>VLOOKUP($C1030, Egli_UPEC_metadata_provided!$A$2:$M$826, 6, FALSE)</f>
        <v>#N/A</v>
      </c>
      <c r="H1030" t="e">
        <f>VLOOKUP($C1030, Egli_UPEC_metadata_provided!$A$2:$M$826, 7, FALSE)</f>
        <v>#N/A</v>
      </c>
      <c r="I1030" t="e">
        <f>VLOOKUP($C1030, Egli_UPEC_metadata_provided!$A$2:$M$826, 8, FALSE)</f>
        <v>#N/A</v>
      </c>
      <c r="J1030" t="e">
        <f>VLOOKUP($C1030, Egli_UPEC_metadata_provided!$A$2:$M$826, 9, FALSE)</f>
        <v>#N/A</v>
      </c>
      <c r="K1030" t="e">
        <f>VLOOKUP($C1030, Egli_UPEC_metadata_provided!$A$2:$M$826, 10, FALSE)</f>
        <v>#N/A</v>
      </c>
      <c r="L1030" t="e">
        <f>VLOOKUP($C1030, Egli_UPEC_metadata_provided!$A$2:$M$826, 11, FALSE)</f>
        <v>#N/A</v>
      </c>
      <c r="M1030" t="e">
        <f>VLOOKUP($C1030, Egli_UPEC_metadata_provided!$A$2:$M$826, 12, FALSE)</f>
        <v>#N/A</v>
      </c>
      <c r="N1030" t="e">
        <f>VLOOKUP($C1030, Egli_UPEC_metadata_provided!$A$2:$M$826, 13, FALSE)</f>
        <v>#N/A</v>
      </c>
      <c r="O1030" t="e">
        <f>VLOOKUP($C1030, Egli_UPEC_metadata_provided!$A$2:$N$826, 14, FALSE)</f>
        <v>#N/A</v>
      </c>
    </row>
    <row r="1031" spans="1:15" x14ac:dyDescent="0.2">
      <c r="A1031" t="s">
        <v>2790</v>
      </c>
      <c r="B1031" t="s">
        <v>4293</v>
      </c>
      <c r="C1031" t="s">
        <v>4293</v>
      </c>
      <c r="D1031" t="e">
        <f>VLOOKUP($C1031, Egli_UPEC_metadata_provided!$A$2:$M$826, 3, FALSE)</f>
        <v>#N/A</v>
      </c>
      <c r="E1031" t="e">
        <f>VLOOKUP($C1031, Egli_UPEC_metadata_provided!$A$2:$M$826, 4, FALSE)</f>
        <v>#N/A</v>
      </c>
      <c r="F1031" t="e">
        <f>VLOOKUP($C1031, Egli_UPEC_metadata_provided!$A$2:$M$826, 5, FALSE)</f>
        <v>#N/A</v>
      </c>
      <c r="G1031" t="e">
        <f>VLOOKUP($C1031, Egli_UPEC_metadata_provided!$A$2:$M$826, 6, FALSE)</f>
        <v>#N/A</v>
      </c>
      <c r="H1031" t="e">
        <f>VLOOKUP($C1031, Egli_UPEC_metadata_provided!$A$2:$M$826, 7, FALSE)</f>
        <v>#N/A</v>
      </c>
      <c r="I1031" t="e">
        <f>VLOOKUP($C1031, Egli_UPEC_metadata_provided!$A$2:$M$826, 8, FALSE)</f>
        <v>#N/A</v>
      </c>
      <c r="J1031" t="e">
        <f>VLOOKUP($C1031, Egli_UPEC_metadata_provided!$A$2:$M$826, 9, FALSE)</f>
        <v>#N/A</v>
      </c>
      <c r="K1031" t="e">
        <f>VLOOKUP($C1031, Egli_UPEC_metadata_provided!$A$2:$M$826, 10, FALSE)</f>
        <v>#N/A</v>
      </c>
      <c r="L1031" t="e">
        <f>VLOOKUP($C1031, Egli_UPEC_metadata_provided!$A$2:$M$826, 11, FALSE)</f>
        <v>#N/A</v>
      </c>
      <c r="M1031" t="e">
        <f>VLOOKUP($C1031, Egli_UPEC_metadata_provided!$A$2:$M$826, 12, FALSE)</f>
        <v>#N/A</v>
      </c>
      <c r="N1031" t="e">
        <f>VLOOKUP($C1031, Egli_UPEC_metadata_provided!$A$2:$M$826, 13, FALSE)</f>
        <v>#N/A</v>
      </c>
      <c r="O1031" t="e">
        <f>VLOOKUP($C1031, Egli_UPEC_metadata_provided!$A$2:$N$826, 14, FALSE)</f>
        <v>#N/A</v>
      </c>
    </row>
    <row r="1032" spans="1:15" x14ac:dyDescent="0.2">
      <c r="A1032" t="s">
        <v>2793</v>
      </c>
      <c r="B1032" t="s">
        <v>4294</v>
      </c>
      <c r="C1032" t="s">
        <v>4294</v>
      </c>
      <c r="D1032" t="e">
        <f>VLOOKUP($C1032, Egli_UPEC_metadata_provided!$A$2:$M$826, 3, FALSE)</f>
        <v>#N/A</v>
      </c>
      <c r="E1032" t="e">
        <f>VLOOKUP($C1032, Egli_UPEC_metadata_provided!$A$2:$M$826, 4, FALSE)</f>
        <v>#N/A</v>
      </c>
      <c r="F1032" t="e">
        <f>VLOOKUP($C1032, Egli_UPEC_metadata_provided!$A$2:$M$826, 5, FALSE)</f>
        <v>#N/A</v>
      </c>
      <c r="G1032" t="e">
        <f>VLOOKUP($C1032, Egli_UPEC_metadata_provided!$A$2:$M$826, 6, FALSE)</f>
        <v>#N/A</v>
      </c>
      <c r="H1032" t="e">
        <f>VLOOKUP($C1032, Egli_UPEC_metadata_provided!$A$2:$M$826, 7, FALSE)</f>
        <v>#N/A</v>
      </c>
      <c r="I1032" t="e">
        <f>VLOOKUP($C1032, Egli_UPEC_metadata_provided!$A$2:$M$826, 8, FALSE)</f>
        <v>#N/A</v>
      </c>
      <c r="J1032" t="e">
        <f>VLOOKUP($C1032, Egli_UPEC_metadata_provided!$A$2:$M$826, 9, FALSE)</f>
        <v>#N/A</v>
      </c>
      <c r="K1032" t="e">
        <f>VLOOKUP($C1032, Egli_UPEC_metadata_provided!$A$2:$M$826, 10, FALSE)</f>
        <v>#N/A</v>
      </c>
      <c r="L1032" t="e">
        <f>VLOOKUP($C1032, Egli_UPEC_metadata_provided!$A$2:$M$826, 11, FALSE)</f>
        <v>#N/A</v>
      </c>
      <c r="M1032" t="e">
        <f>VLOOKUP($C1032, Egli_UPEC_metadata_provided!$A$2:$M$826, 12, FALSE)</f>
        <v>#N/A</v>
      </c>
      <c r="N1032" t="e">
        <f>VLOOKUP($C1032, Egli_UPEC_metadata_provided!$A$2:$M$826, 13, FALSE)</f>
        <v>#N/A</v>
      </c>
      <c r="O1032" t="e">
        <f>VLOOKUP($C1032, Egli_UPEC_metadata_provided!$A$2:$N$826, 14, FALSE)</f>
        <v>#N/A</v>
      </c>
    </row>
    <row r="1033" spans="1:15" x14ac:dyDescent="0.2">
      <c r="A1033" t="s">
        <v>2796</v>
      </c>
      <c r="B1033" t="s">
        <v>4266</v>
      </c>
      <c r="C1033" t="s">
        <v>4266</v>
      </c>
      <c r="D1033" t="e">
        <f>VLOOKUP($C1033, Egli_UPEC_metadata_provided!$A$2:$M$826, 3, FALSE)</f>
        <v>#N/A</v>
      </c>
      <c r="E1033" t="e">
        <f>VLOOKUP($C1033, Egli_UPEC_metadata_provided!$A$2:$M$826, 4, FALSE)</f>
        <v>#N/A</v>
      </c>
      <c r="F1033" t="e">
        <f>VLOOKUP($C1033, Egli_UPEC_metadata_provided!$A$2:$M$826, 5, FALSE)</f>
        <v>#N/A</v>
      </c>
      <c r="G1033" t="e">
        <f>VLOOKUP($C1033, Egli_UPEC_metadata_provided!$A$2:$M$826, 6, FALSE)</f>
        <v>#N/A</v>
      </c>
      <c r="H1033" t="e">
        <f>VLOOKUP($C1033, Egli_UPEC_metadata_provided!$A$2:$M$826, 7, FALSE)</f>
        <v>#N/A</v>
      </c>
      <c r="I1033" t="e">
        <f>VLOOKUP($C1033, Egli_UPEC_metadata_provided!$A$2:$M$826, 8, FALSE)</f>
        <v>#N/A</v>
      </c>
      <c r="J1033" t="e">
        <f>VLOOKUP($C1033, Egli_UPEC_metadata_provided!$A$2:$M$826, 9, FALSE)</f>
        <v>#N/A</v>
      </c>
      <c r="K1033" t="e">
        <f>VLOOKUP($C1033, Egli_UPEC_metadata_provided!$A$2:$M$826, 10, FALSE)</f>
        <v>#N/A</v>
      </c>
      <c r="L1033" t="e">
        <f>VLOOKUP($C1033, Egli_UPEC_metadata_provided!$A$2:$M$826, 11, FALSE)</f>
        <v>#N/A</v>
      </c>
      <c r="M1033" t="e">
        <f>VLOOKUP($C1033, Egli_UPEC_metadata_provided!$A$2:$M$826, 12, FALSE)</f>
        <v>#N/A</v>
      </c>
      <c r="N1033" t="e">
        <f>VLOOKUP($C1033, Egli_UPEC_metadata_provided!$A$2:$M$826, 13, FALSE)</f>
        <v>#N/A</v>
      </c>
      <c r="O1033" t="e">
        <f>VLOOKUP($C1033, Egli_UPEC_metadata_provided!$A$2:$N$826, 14, FALSE)</f>
        <v>#N/A</v>
      </c>
    </row>
    <row r="1034" spans="1:15" x14ac:dyDescent="0.2">
      <c r="A1034" t="s">
        <v>2807</v>
      </c>
      <c r="B1034" t="s">
        <v>4383</v>
      </c>
      <c r="C1034" t="s">
        <v>4383</v>
      </c>
      <c r="D1034" t="e">
        <f>VLOOKUP($C1034, Egli_UPEC_metadata_provided!$A$2:$M$826, 3, FALSE)</f>
        <v>#N/A</v>
      </c>
      <c r="E1034" t="e">
        <f>VLOOKUP($C1034, Egli_UPEC_metadata_provided!$A$2:$M$826, 4, FALSE)</f>
        <v>#N/A</v>
      </c>
      <c r="F1034" t="e">
        <f>VLOOKUP($C1034, Egli_UPEC_metadata_provided!$A$2:$M$826, 5, FALSE)</f>
        <v>#N/A</v>
      </c>
      <c r="G1034" t="e">
        <f>VLOOKUP($C1034, Egli_UPEC_metadata_provided!$A$2:$M$826, 6, FALSE)</f>
        <v>#N/A</v>
      </c>
      <c r="H1034" t="e">
        <f>VLOOKUP($C1034, Egli_UPEC_metadata_provided!$A$2:$M$826, 7, FALSE)</f>
        <v>#N/A</v>
      </c>
      <c r="I1034" t="e">
        <f>VLOOKUP($C1034, Egli_UPEC_metadata_provided!$A$2:$M$826, 8, FALSE)</f>
        <v>#N/A</v>
      </c>
      <c r="J1034" t="e">
        <f>VLOOKUP($C1034, Egli_UPEC_metadata_provided!$A$2:$M$826, 9, FALSE)</f>
        <v>#N/A</v>
      </c>
      <c r="K1034" t="e">
        <f>VLOOKUP($C1034, Egli_UPEC_metadata_provided!$A$2:$M$826, 10, FALSE)</f>
        <v>#N/A</v>
      </c>
      <c r="L1034" t="e">
        <f>VLOOKUP($C1034, Egli_UPEC_metadata_provided!$A$2:$M$826, 11, FALSE)</f>
        <v>#N/A</v>
      </c>
      <c r="M1034" t="e">
        <f>VLOOKUP($C1034, Egli_UPEC_metadata_provided!$A$2:$M$826, 12, FALSE)</f>
        <v>#N/A</v>
      </c>
      <c r="N1034" t="e">
        <f>VLOOKUP($C1034, Egli_UPEC_metadata_provided!$A$2:$M$826, 13, FALSE)</f>
        <v>#N/A</v>
      </c>
      <c r="O1034" t="e">
        <f>VLOOKUP($C1034, Egli_UPEC_metadata_provided!$A$2:$N$826, 14, FALSE)</f>
        <v>#N/A</v>
      </c>
    </row>
    <row r="1035" spans="1:15" x14ac:dyDescent="0.2">
      <c r="A1035" t="s">
        <v>2812</v>
      </c>
      <c r="B1035" t="s">
        <v>4295</v>
      </c>
      <c r="C1035" t="s">
        <v>4295</v>
      </c>
      <c r="D1035" t="e">
        <f>VLOOKUP($C1035, Egli_UPEC_metadata_provided!$A$2:$M$826, 3, FALSE)</f>
        <v>#N/A</v>
      </c>
      <c r="E1035" t="e">
        <f>VLOOKUP($C1035, Egli_UPEC_metadata_provided!$A$2:$M$826, 4, FALSE)</f>
        <v>#N/A</v>
      </c>
      <c r="F1035" t="e">
        <f>VLOOKUP($C1035, Egli_UPEC_metadata_provided!$A$2:$M$826, 5, FALSE)</f>
        <v>#N/A</v>
      </c>
      <c r="G1035" t="e">
        <f>VLOOKUP($C1035, Egli_UPEC_metadata_provided!$A$2:$M$826, 6, FALSE)</f>
        <v>#N/A</v>
      </c>
      <c r="H1035" t="e">
        <f>VLOOKUP($C1035, Egli_UPEC_metadata_provided!$A$2:$M$826, 7, FALSE)</f>
        <v>#N/A</v>
      </c>
      <c r="I1035" t="e">
        <f>VLOOKUP($C1035, Egli_UPEC_metadata_provided!$A$2:$M$826, 8, FALSE)</f>
        <v>#N/A</v>
      </c>
      <c r="J1035" t="e">
        <f>VLOOKUP($C1035, Egli_UPEC_metadata_provided!$A$2:$M$826, 9, FALSE)</f>
        <v>#N/A</v>
      </c>
      <c r="K1035" t="e">
        <f>VLOOKUP($C1035, Egli_UPEC_metadata_provided!$A$2:$M$826, 10, FALSE)</f>
        <v>#N/A</v>
      </c>
      <c r="L1035" t="e">
        <f>VLOOKUP($C1035, Egli_UPEC_metadata_provided!$A$2:$M$826, 11, FALSE)</f>
        <v>#N/A</v>
      </c>
      <c r="M1035" t="e">
        <f>VLOOKUP($C1035, Egli_UPEC_metadata_provided!$A$2:$M$826, 12, FALSE)</f>
        <v>#N/A</v>
      </c>
      <c r="N1035" t="e">
        <f>VLOOKUP($C1035, Egli_UPEC_metadata_provided!$A$2:$M$826, 13, FALSE)</f>
        <v>#N/A</v>
      </c>
      <c r="O1035" t="e">
        <f>VLOOKUP($C1035, Egli_UPEC_metadata_provided!$A$2:$N$826, 14, FALSE)</f>
        <v>#N/A</v>
      </c>
    </row>
    <row r="1036" spans="1:15" x14ac:dyDescent="0.2">
      <c r="A1036" t="s">
        <v>2841</v>
      </c>
      <c r="B1036" t="s">
        <v>4384</v>
      </c>
      <c r="C1036" t="s">
        <v>4384</v>
      </c>
      <c r="D1036" t="e">
        <f>VLOOKUP($C1036, Egli_UPEC_metadata_provided!$A$2:$M$826, 3, FALSE)</f>
        <v>#N/A</v>
      </c>
      <c r="E1036" t="e">
        <f>VLOOKUP($C1036, Egli_UPEC_metadata_provided!$A$2:$M$826, 4, FALSE)</f>
        <v>#N/A</v>
      </c>
      <c r="F1036" t="e">
        <f>VLOOKUP($C1036, Egli_UPEC_metadata_provided!$A$2:$M$826, 5, FALSE)</f>
        <v>#N/A</v>
      </c>
      <c r="G1036" t="e">
        <f>VLOOKUP($C1036, Egli_UPEC_metadata_provided!$A$2:$M$826, 6, FALSE)</f>
        <v>#N/A</v>
      </c>
      <c r="H1036" t="e">
        <f>VLOOKUP($C1036, Egli_UPEC_metadata_provided!$A$2:$M$826, 7, FALSE)</f>
        <v>#N/A</v>
      </c>
      <c r="I1036" t="e">
        <f>VLOOKUP($C1036, Egli_UPEC_metadata_provided!$A$2:$M$826, 8, FALSE)</f>
        <v>#N/A</v>
      </c>
      <c r="J1036" t="e">
        <f>VLOOKUP($C1036, Egli_UPEC_metadata_provided!$A$2:$M$826, 9, FALSE)</f>
        <v>#N/A</v>
      </c>
      <c r="K1036" t="e">
        <f>VLOOKUP($C1036, Egli_UPEC_metadata_provided!$A$2:$M$826, 10, FALSE)</f>
        <v>#N/A</v>
      </c>
      <c r="L1036" t="e">
        <f>VLOOKUP($C1036, Egli_UPEC_metadata_provided!$A$2:$M$826, 11, FALSE)</f>
        <v>#N/A</v>
      </c>
      <c r="M1036" t="e">
        <f>VLOOKUP($C1036, Egli_UPEC_metadata_provided!$A$2:$M$826, 12, FALSE)</f>
        <v>#N/A</v>
      </c>
      <c r="N1036" t="e">
        <f>VLOOKUP($C1036, Egli_UPEC_metadata_provided!$A$2:$M$826, 13, FALSE)</f>
        <v>#N/A</v>
      </c>
      <c r="O1036" t="e">
        <f>VLOOKUP($C1036, Egli_UPEC_metadata_provided!$A$2:$N$826, 14, FALSE)</f>
        <v>#N/A</v>
      </c>
    </row>
    <row r="1037" spans="1:15" x14ac:dyDescent="0.2">
      <c r="A1037" t="s">
        <v>2872</v>
      </c>
      <c r="B1037" t="s">
        <v>4385</v>
      </c>
      <c r="C1037" t="s">
        <v>4385</v>
      </c>
      <c r="D1037" t="e">
        <f>VLOOKUP($C1037, Egli_UPEC_metadata_provided!$A$2:$M$826, 3, FALSE)</f>
        <v>#N/A</v>
      </c>
      <c r="E1037" t="e">
        <f>VLOOKUP($C1037, Egli_UPEC_metadata_provided!$A$2:$M$826, 4, FALSE)</f>
        <v>#N/A</v>
      </c>
      <c r="F1037" t="e">
        <f>VLOOKUP($C1037, Egli_UPEC_metadata_provided!$A$2:$M$826, 5, FALSE)</f>
        <v>#N/A</v>
      </c>
      <c r="G1037" t="e">
        <f>VLOOKUP($C1037, Egli_UPEC_metadata_provided!$A$2:$M$826, 6, FALSE)</f>
        <v>#N/A</v>
      </c>
      <c r="H1037" t="e">
        <f>VLOOKUP($C1037, Egli_UPEC_metadata_provided!$A$2:$M$826, 7, FALSE)</f>
        <v>#N/A</v>
      </c>
      <c r="I1037" t="e">
        <f>VLOOKUP($C1037, Egli_UPEC_metadata_provided!$A$2:$M$826, 8, FALSE)</f>
        <v>#N/A</v>
      </c>
      <c r="J1037" t="e">
        <f>VLOOKUP($C1037, Egli_UPEC_metadata_provided!$A$2:$M$826, 9, FALSE)</f>
        <v>#N/A</v>
      </c>
      <c r="K1037" t="e">
        <f>VLOOKUP($C1037, Egli_UPEC_metadata_provided!$A$2:$M$826, 10, FALSE)</f>
        <v>#N/A</v>
      </c>
      <c r="L1037" t="e">
        <f>VLOOKUP($C1037, Egli_UPEC_metadata_provided!$A$2:$M$826, 11, FALSE)</f>
        <v>#N/A</v>
      </c>
      <c r="M1037" t="e">
        <f>VLOOKUP($C1037, Egli_UPEC_metadata_provided!$A$2:$M$826, 12, FALSE)</f>
        <v>#N/A</v>
      </c>
      <c r="N1037" t="e">
        <f>VLOOKUP($C1037, Egli_UPEC_metadata_provided!$A$2:$M$826, 13, FALSE)</f>
        <v>#N/A</v>
      </c>
      <c r="O1037" t="e">
        <f>VLOOKUP($C1037, Egli_UPEC_metadata_provided!$A$2:$N$826, 14, FALSE)</f>
        <v>#N/A</v>
      </c>
    </row>
    <row r="1038" spans="1:15" x14ac:dyDescent="0.2">
      <c r="A1038" t="s">
        <v>2875</v>
      </c>
      <c r="B1038" t="s">
        <v>4386</v>
      </c>
      <c r="C1038" t="s">
        <v>4386</v>
      </c>
      <c r="D1038" t="e">
        <f>VLOOKUP($C1038, Egli_UPEC_metadata_provided!$A$2:$M$826, 3, FALSE)</f>
        <v>#N/A</v>
      </c>
      <c r="E1038" t="e">
        <f>VLOOKUP($C1038, Egli_UPEC_metadata_provided!$A$2:$M$826, 4, FALSE)</f>
        <v>#N/A</v>
      </c>
      <c r="F1038" t="e">
        <f>VLOOKUP($C1038, Egli_UPEC_metadata_provided!$A$2:$M$826, 5, FALSE)</f>
        <v>#N/A</v>
      </c>
      <c r="G1038" t="e">
        <f>VLOOKUP($C1038, Egli_UPEC_metadata_provided!$A$2:$M$826, 6, FALSE)</f>
        <v>#N/A</v>
      </c>
      <c r="H1038" t="e">
        <f>VLOOKUP($C1038, Egli_UPEC_metadata_provided!$A$2:$M$826, 7, FALSE)</f>
        <v>#N/A</v>
      </c>
      <c r="I1038" t="e">
        <f>VLOOKUP($C1038, Egli_UPEC_metadata_provided!$A$2:$M$826, 8, FALSE)</f>
        <v>#N/A</v>
      </c>
      <c r="J1038" t="e">
        <f>VLOOKUP($C1038, Egli_UPEC_metadata_provided!$A$2:$M$826, 9, FALSE)</f>
        <v>#N/A</v>
      </c>
      <c r="K1038" t="e">
        <f>VLOOKUP($C1038, Egli_UPEC_metadata_provided!$A$2:$M$826, 10, FALSE)</f>
        <v>#N/A</v>
      </c>
      <c r="L1038" t="e">
        <f>VLOOKUP($C1038, Egli_UPEC_metadata_provided!$A$2:$M$826, 11, FALSE)</f>
        <v>#N/A</v>
      </c>
      <c r="M1038" t="e">
        <f>VLOOKUP($C1038, Egli_UPEC_metadata_provided!$A$2:$M$826, 12, FALSE)</f>
        <v>#N/A</v>
      </c>
      <c r="N1038" t="e">
        <f>VLOOKUP($C1038, Egli_UPEC_metadata_provided!$A$2:$M$826, 13, FALSE)</f>
        <v>#N/A</v>
      </c>
      <c r="O1038" t="e">
        <f>VLOOKUP($C1038, Egli_UPEC_metadata_provided!$A$2:$N$826, 14, FALSE)</f>
        <v>#N/A</v>
      </c>
    </row>
    <row r="1039" spans="1:15" x14ac:dyDescent="0.2">
      <c r="A1039" t="s">
        <v>2930</v>
      </c>
      <c r="B1039" t="s">
        <v>4297</v>
      </c>
      <c r="C1039" t="s">
        <v>4297</v>
      </c>
      <c r="D1039" t="e">
        <f>VLOOKUP($C1039, Egli_UPEC_metadata_provided!$A$2:$M$826, 3, FALSE)</f>
        <v>#N/A</v>
      </c>
      <c r="E1039" t="e">
        <f>VLOOKUP($C1039, Egli_UPEC_metadata_provided!$A$2:$M$826, 4, FALSE)</f>
        <v>#N/A</v>
      </c>
      <c r="F1039" t="e">
        <f>VLOOKUP($C1039, Egli_UPEC_metadata_provided!$A$2:$M$826, 5, FALSE)</f>
        <v>#N/A</v>
      </c>
      <c r="G1039" t="e">
        <f>VLOOKUP($C1039, Egli_UPEC_metadata_provided!$A$2:$M$826, 6, FALSE)</f>
        <v>#N/A</v>
      </c>
      <c r="H1039" t="e">
        <f>VLOOKUP($C1039, Egli_UPEC_metadata_provided!$A$2:$M$826, 7, FALSE)</f>
        <v>#N/A</v>
      </c>
      <c r="I1039" t="e">
        <f>VLOOKUP($C1039, Egli_UPEC_metadata_provided!$A$2:$M$826, 8, FALSE)</f>
        <v>#N/A</v>
      </c>
      <c r="J1039" t="e">
        <f>VLOOKUP($C1039, Egli_UPEC_metadata_provided!$A$2:$M$826, 9, FALSE)</f>
        <v>#N/A</v>
      </c>
      <c r="K1039" t="e">
        <f>VLOOKUP($C1039, Egli_UPEC_metadata_provided!$A$2:$M$826, 10, FALSE)</f>
        <v>#N/A</v>
      </c>
      <c r="L1039" t="e">
        <f>VLOOKUP($C1039, Egli_UPEC_metadata_provided!$A$2:$M$826, 11, FALSE)</f>
        <v>#N/A</v>
      </c>
      <c r="M1039" t="e">
        <f>VLOOKUP($C1039, Egli_UPEC_metadata_provided!$A$2:$M$826, 12, FALSE)</f>
        <v>#N/A</v>
      </c>
      <c r="N1039" t="e">
        <f>VLOOKUP($C1039, Egli_UPEC_metadata_provided!$A$2:$M$826, 13, FALSE)</f>
        <v>#N/A</v>
      </c>
      <c r="O1039" t="e">
        <f>VLOOKUP($C1039, Egli_UPEC_metadata_provided!$A$2:$N$826, 14, FALSE)</f>
        <v>#N/A</v>
      </c>
    </row>
    <row r="1040" spans="1:15" x14ac:dyDescent="0.2">
      <c r="A1040" t="s">
        <v>2941</v>
      </c>
      <c r="B1040" t="s">
        <v>4298</v>
      </c>
      <c r="C1040" t="s">
        <v>4298</v>
      </c>
      <c r="D1040" t="e">
        <f>VLOOKUP($C1040, Egli_UPEC_metadata_provided!$A$2:$M$826, 3, FALSE)</f>
        <v>#N/A</v>
      </c>
      <c r="E1040" t="e">
        <f>VLOOKUP($C1040, Egli_UPEC_metadata_provided!$A$2:$M$826, 4, FALSE)</f>
        <v>#N/A</v>
      </c>
      <c r="F1040" t="e">
        <f>VLOOKUP($C1040, Egli_UPEC_metadata_provided!$A$2:$M$826, 5, FALSE)</f>
        <v>#N/A</v>
      </c>
      <c r="G1040" t="e">
        <f>VLOOKUP($C1040, Egli_UPEC_metadata_provided!$A$2:$M$826, 6, FALSE)</f>
        <v>#N/A</v>
      </c>
      <c r="H1040" t="e">
        <f>VLOOKUP($C1040, Egli_UPEC_metadata_provided!$A$2:$M$826, 7, FALSE)</f>
        <v>#N/A</v>
      </c>
      <c r="I1040" t="e">
        <f>VLOOKUP($C1040, Egli_UPEC_metadata_provided!$A$2:$M$826, 8, FALSE)</f>
        <v>#N/A</v>
      </c>
      <c r="J1040" t="e">
        <f>VLOOKUP($C1040, Egli_UPEC_metadata_provided!$A$2:$M$826, 9, FALSE)</f>
        <v>#N/A</v>
      </c>
      <c r="K1040" t="e">
        <f>VLOOKUP($C1040, Egli_UPEC_metadata_provided!$A$2:$M$826, 10, FALSE)</f>
        <v>#N/A</v>
      </c>
      <c r="L1040" t="e">
        <f>VLOOKUP($C1040, Egli_UPEC_metadata_provided!$A$2:$M$826, 11, FALSE)</f>
        <v>#N/A</v>
      </c>
      <c r="M1040" t="e">
        <f>VLOOKUP($C1040, Egli_UPEC_metadata_provided!$A$2:$M$826, 12, FALSE)</f>
        <v>#N/A</v>
      </c>
      <c r="N1040" t="e">
        <f>VLOOKUP($C1040, Egli_UPEC_metadata_provided!$A$2:$M$826, 13, FALSE)</f>
        <v>#N/A</v>
      </c>
      <c r="O1040" t="e">
        <f>VLOOKUP($C1040, Egli_UPEC_metadata_provided!$A$2:$N$826, 14, FALSE)</f>
        <v>#N/A</v>
      </c>
    </row>
    <row r="1041" spans="1:15" x14ac:dyDescent="0.2">
      <c r="A1041" t="s">
        <v>2956</v>
      </c>
      <c r="B1041" t="s">
        <v>4387</v>
      </c>
      <c r="C1041" t="s">
        <v>4387</v>
      </c>
      <c r="D1041" t="e">
        <f>VLOOKUP($C1041, Egli_UPEC_metadata_provided!$A$2:$M$826, 3, FALSE)</f>
        <v>#N/A</v>
      </c>
      <c r="E1041" t="e">
        <f>VLOOKUP($C1041, Egli_UPEC_metadata_provided!$A$2:$M$826, 4, FALSE)</f>
        <v>#N/A</v>
      </c>
      <c r="F1041" t="e">
        <f>VLOOKUP($C1041, Egli_UPEC_metadata_provided!$A$2:$M$826, 5, FALSE)</f>
        <v>#N/A</v>
      </c>
      <c r="G1041" t="e">
        <f>VLOOKUP($C1041, Egli_UPEC_metadata_provided!$A$2:$M$826, 6, FALSE)</f>
        <v>#N/A</v>
      </c>
      <c r="H1041" t="e">
        <f>VLOOKUP($C1041, Egli_UPEC_metadata_provided!$A$2:$M$826, 7, FALSE)</f>
        <v>#N/A</v>
      </c>
      <c r="I1041" t="e">
        <f>VLOOKUP($C1041, Egli_UPEC_metadata_provided!$A$2:$M$826, 8, FALSE)</f>
        <v>#N/A</v>
      </c>
      <c r="J1041" t="e">
        <f>VLOOKUP($C1041, Egli_UPEC_metadata_provided!$A$2:$M$826, 9, FALSE)</f>
        <v>#N/A</v>
      </c>
      <c r="K1041" t="e">
        <f>VLOOKUP($C1041, Egli_UPEC_metadata_provided!$A$2:$M$826, 10, FALSE)</f>
        <v>#N/A</v>
      </c>
      <c r="L1041" t="e">
        <f>VLOOKUP($C1041, Egli_UPEC_metadata_provided!$A$2:$M$826, 11, FALSE)</f>
        <v>#N/A</v>
      </c>
      <c r="M1041" t="e">
        <f>VLOOKUP($C1041, Egli_UPEC_metadata_provided!$A$2:$M$826, 12, FALSE)</f>
        <v>#N/A</v>
      </c>
      <c r="N1041" t="e">
        <f>VLOOKUP($C1041, Egli_UPEC_metadata_provided!$A$2:$M$826, 13, FALSE)</f>
        <v>#N/A</v>
      </c>
      <c r="O1041" t="e">
        <f>VLOOKUP($C1041, Egli_UPEC_metadata_provided!$A$2:$N$826, 14, FALSE)</f>
        <v>#N/A</v>
      </c>
    </row>
    <row r="1042" spans="1:15" x14ac:dyDescent="0.2">
      <c r="A1042" t="s">
        <v>2969</v>
      </c>
      <c r="B1042" t="s">
        <v>4388</v>
      </c>
      <c r="C1042" t="s">
        <v>4388</v>
      </c>
      <c r="D1042" t="e">
        <f>VLOOKUP($C1042, Egli_UPEC_metadata_provided!$A$2:$M$826, 3, FALSE)</f>
        <v>#N/A</v>
      </c>
      <c r="E1042" t="e">
        <f>VLOOKUP($C1042, Egli_UPEC_metadata_provided!$A$2:$M$826, 4, FALSE)</f>
        <v>#N/A</v>
      </c>
      <c r="F1042" t="e">
        <f>VLOOKUP($C1042, Egli_UPEC_metadata_provided!$A$2:$M$826, 5, FALSE)</f>
        <v>#N/A</v>
      </c>
      <c r="G1042" t="e">
        <f>VLOOKUP($C1042, Egli_UPEC_metadata_provided!$A$2:$M$826, 6, FALSE)</f>
        <v>#N/A</v>
      </c>
      <c r="H1042" t="e">
        <f>VLOOKUP($C1042, Egli_UPEC_metadata_provided!$A$2:$M$826, 7, FALSE)</f>
        <v>#N/A</v>
      </c>
      <c r="I1042" t="e">
        <f>VLOOKUP($C1042, Egli_UPEC_metadata_provided!$A$2:$M$826, 8, FALSE)</f>
        <v>#N/A</v>
      </c>
      <c r="J1042" t="e">
        <f>VLOOKUP($C1042, Egli_UPEC_metadata_provided!$A$2:$M$826, 9, FALSE)</f>
        <v>#N/A</v>
      </c>
      <c r="K1042" t="e">
        <f>VLOOKUP($C1042, Egli_UPEC_metadata_provided!$A$2:$M$826, 10, FALSE)</f>
        <v>#N/A</v>
      </c>
      <c r="L1042" t="e">
        <f>VLOOKUP($C1042, Egli_UPEC_metadata_provided!$A$2:$M$826, 11, FALSE)</f>
        <v>#N/A</v>
      </c>
      <c r="M1042" t="e">
        <f>VLOOKUP($C1042, Egli_UPEC_metadata_provided!$A$2:$M$826, 12, FALSE)</f>
        <v>#N/A</v>
      </c>
      <c r="N1042" t="e">
        <f>VLOOKUP($C1042, Egli_UPEC_metadata_provided!$A$2:$M$826, 13, FALSE)</f>
        <v>#N/A</v>
      </c>
      <c r="O1042" t="e">
        <f>VLOOKUP($C1042, Egli_UPEC_metadata_provided!$A$2:$N$826, 14, FALSE)</f>
        <v>#N/A</v>
      </c>
    </row>
    <row r="1043" spans="1:15" x14ac:dyDescent="0.2">
      <c r="A1043" t="s">
        <v>2974</v>
      </c>
      <c r="B1043" t="s">
        <v>4389</v>
      </c>
      <c r="C1043" t="s">
        <v>4389</v>
      </c>
      <c r="D1043" t="e">
        <f>VLOOKUP($C1043, Egli_UPEC_metadata_provided!$A$2:$M$826, 3, FALSE)</f>
        <v>#N/A</v>
      </c>
      <c r="E1043" t="e">
        <f>VLOOKUP($C1043, Egli_UPEC_metadata_provided!$A$2:$M$826, 4, FALSE)</f>
        <v>#N/A</v>
      </c>
      <c r="F1043" t="e">
        <f>VLOOKUP($C1043, Egli_UPEC_metadata_provided!$A$2:$M$826, 5, FALSE)</f>
        <v>#N/A</v>
      </c>
      <c r="G1043" t="e">
        <f>VLOOKUP($C1043, Egli_UPEC_metadata_provided!$A$2:$M$826, 6, FALSE)</f>
        <v>#N/A</v>
      </c>
      <c r="H1043" t="e">
        <f>VLOOKUP($C1043, Egli_UPEC_metadata_provided!$A$2:$M$826, 7, FALSE)</f>
        <v>#N/A</v>
      </c>
      <c r="I1043" t="e">
        <f>VLOOKUP($C1043, Egli_UPEC_metadata_provided!$A$2:$M$826, 8, FALSE)</f>
        <v>#N/A</v>
      </c>
      <c r="J1043" t="e">
        <f>VLOOKUP($C1043, Egli_UPEC_metadata_provided!$A$2:$M$826, 9, FALSE)</f>
        <v>#N/A</v>
      </c>
      <c r="K1043" t="e">
        <f>VLOOKUP($C1043, Egli_UPEC_metadata_provided!$A$2:$M$826, 10, FALSE)</f>
        <v>#N/A</v>
      </c>
      <c r="L1043" t="e">
        <f>VLOOKUP($C1043, Egli_UPEC_metadata_provided!$A$2:$M$826, 11, FALSE)</f>
        <v>#N/A</v>
      </c>
      <c r="M1043" t="e">
        <f>VLOOKUP($C1043, Egli_UPEC_metadata_provided!$A$2:$M$826, 12, FALSE)</f>
        <v>#N/A</v>
      </c>
      <c r="N1043" t="e">
        <f>VLOOKUP($C1043, Egli_UPEC_metadata_provided!$A$2:$M$826, 13, FALSE)</f>
        <v>#N/A</v>
      </c>
      <c r="O1043" t="e">
        <f>VLOOKUP($C1043, Egli_UPEC_metadata_provided!$A$2:$N$826, 14, FALSE)</f>
        <v>#N/A</v>
      </c>
    </row>
    <row r="1044" spans="1:15" x14ac:dyDescent="0.2">
      <c r="A1044" t="s">
        <v>2981</v>
      </c>
      <c r="B1044" t="s">
        <v>4390</v>
      </c>
      <c r="C1044" t="s">
        <v>4390</v>
      </c>
      <c r="D1044" t="e">
        <f>VLOOKUP($C1044, Egli_UPEC_metadata_provided!$A$2:$M$826, 3, FALSE)</f>
        <v>#N/A</v>
      </c>
      <c r="E1044" t="e">
        <f>VLOOKUP($C1044, Egli_UPEC_metadata_provided!$A$2:$M$826, 4, FALSE)</f>
        <v>#N/A</v>
      </c>
      <c r="F1044" t="e">
        <f>VLOOKUP($C1044, Egli_UPEC_metadata_provided!$A$2:$M$826, 5, FALSE)</f>
        <v>#N/A</v>
      </c>
      <c r="G1044" t="e">
        <f>VLOOKUP($C1044, Egli_UPEC_metadata_provided!$A$2:$M$826, 6, FALSE)</f>
        <v>#N/A</v>
      </c>
      <c r="H1044" t="e">
        <f>VLOOKUP($C1044, Egli_UPEC_metadata_provided!$A$2:$M$826, 7, FALSE)</f>
        <v>#N/A</v>
      </c>
      <c r="I1044" t="e">
        <f>VLOOKUP($C1044, Egli_UPEC_metadata_provided!$A$2:$M$826, 8, FALSE)</f>
        <v>#N/A</v>
      </c>
      <c r="J1044" t="e">
        <f>VLOOKUP($C1044, Egli_UPEC_metadata_provided!$A$2:$M$826, 9, FALSE)</f>
        <v>#N/A</v>
      </c>
      <c r="K1044" t="e">
        <f>VLOOKUP($C1044, Egli_UPEC_metadata_provided!$A$2:$M$826, 10, FALSE)</f>
        <v>#N/A</v>
      </c>
      <c r="L1044" t="e">
        <f>VLOOKUP($C1044, Egli_UPEC_metadata_provided!$A$2:$M$826, 11, FALSE)</f>
        <v>#N/A</v>
      </c>
      <c r="M1044" t="e">
        <f>VLOOKUP($C1044, Egli_UPEC_metadata_provided!$A$2:$M$826, 12, FALSE)</f>
        <v>#N/A</v>
      </c>
      <c r="N1044" t="e">
        <f>VLOOKUP($C1044, Egli_UPEC_metadata_provided!$A$2:$M$826, 13, FALSE)</f>
        <v>#N/A</v>
      </c>
      <c r="O1044" t="e">
        <f>VLOOKUP($C1044, Egli_UPEC_metadata_provided!$A$2:$N$826, 14, FALSE)</f>
        <v>#N/A</v>
      </c>
    </row>
    <row r="1045" spans="1:15" x14ac:dyDescent="0.2">
      <c r="A1045" t="s">
        <v>2988</v>
      </c>
      <c r="B1045" t="s">
        <v>4274</v>
      </c>
      <c r="C1045" t="s">
        <v>4274</v>
      </c>
      <c r="D1045" t="e">
        <f>VLOOKUP($C1045, Egli_UPEC_metadata_provided!$A$2:$M$826, 3, FALSE)</f>
        <v>#N/A</v>
      </c>
      <c r="E1045" t="e">
        <f>VLOOKUP($C1045, Egli_UPEC_metadata_provided!$A$2:$M$826, 4, FALSE)</f>
        <v>#N/A</v>
      </c>
      <c r="F1045" t="e">
        <f>VLOOKUP($C1045, Egli_UPEC_metadata_provided!$A$2:$M$826, 5, FALSE)</f>
        <v>#N/A</v>
      </c>
      <c r="G1045" t="e">
        <f>VLOOKUP($C1045, Egli_UPEC_metadata_provided!$A$2:$M$826, 6, FALSE)</f>
        <v>#N/A</v>
      </c>
      <c r="H1045" t="e">
        <f>VLOOKUP($C1045, Egli_UPEC_metadata_provided!$A$2:$M$826, 7, FALSE)</f>
        <v>#N/A</v>
      </c>
      <c r="I1045" t="e">
        <f>VLOOKUP($C1045, Egli_UPEC_metadata_provided!$A$2:$M$826, 8, FALSE)</f>
        <v>#N/A</v>
      </c>
      <c r="J1045" t="e">
        <f>VLOOKUP($C1045, Egli_UPEC_metadata_provided!$A$2:$M$826, 9, FALSE)</f>
        <v>#N/A</v>
      </c>
      <c r="K1045" t="e">
        <f>VLOOKUP($C1045, Egli_UPEC_metadata_provided!$A$2:$M$826, 10, FALSE)</f>
        <v>#N/A</v>
      </c>
      <c r="L1045" t="e">
        <f>VLOOKUP($C1045, Egli_UPEC_metadata_provided!$A$2:$M$826, 11, FALSE)</f>
        <v>#N/A</v>
      </c>
      <c r="M1045" t="e">
        <f>VLOOKUP($C1045, Egli_UPEC_metadata_provided!$A$2:$M$826, 12, FALSE)</f>
        <v>#N/A</v>
      </c>
      <c r="N1045" t="e">
        <f>VLOOKUP($C1045, Egli_UPEC_metadata_provided!$A$2:$M$826, 13, FALSE)</f>
        <v>#N/A</v>
      </c>
      <c r="O1045" t="e">
        <f>VLOOKUP($C1045, Egli_UPEC_metadata_provided!$A$2:$N$826, 14, FALSE)</f>
        <v>#N/A</v>
      </c>
    </row>
    <row r="1046" spans="1:15" x14ac:dyDescent="0.2">
      <c r="A1046" t="s">
        <v>2997</v>
      </c>
      <c r="B1046" t="s">
        <v>4276</v>
      </c>
      <c r="C1046" t="s">
        <v>4276</v>
      </c>
      <c r="D1046" t="e">
        <f>VLOOKUP($C1046, Egli_UPEC_metadata_provided!$A$2:$M$826, 3, FALSE)</f>
        <v>#N/A</v>
      </c>
      <c r="E1046" t="e">
        <f>VLOOKUP($C1046, Egli_UPEC_metadata_provided!$A$2:$M$826, 4, FALSE)</f>
        <v>#N/A</v>
      </c>
      <c r="F1046" t="e">
        <f>VLOOKUP($C1046, Egli_UPEC_metadata_provided!$A$2:$M$826, 5, FALSE)</f>
        <v>#N/A</v>
      </c>
      <c r="G1046" t="e">
        <f>VLOOKUP($C1046, Egli_UPEC_metadata_provided!$A$2:$M$826, 6, FALSE)</f>
        <v>#N/A</v>
      </c>
      <c r="H1046" t="e">
        <f>VLOOKUP($C1046, Egli_UPEC_metadata_provided!$A$2:$M$826, 7, FALSE)</f>
        <v>#N/A</v>
      </c>
      <c r="I1046" t="e">
        <f>VLOOKUP($C1046, Egli_UPEC_metadata_provided!$A$2:$M$826, 8, FALSE)</f>
        <v>#N/A</v>
      </c>
      <c r="J1046" t="e">
        <f>VLOOKUP($C1046, Egli_UPEC_metadata_provided!$A$2:$M$826, 9, FALSE)</f>
        <v>#N/A</v>
      </c>
      <c r="K1046" t="e">
        <f>VLOOKUP($C1046, Egli_UPEC_metadata_provided!$A$2:$M$826, 10, FALSE)</f>
        <v>#N/A</v>
      </c>
      <c r="L1046" t="e">
        <f>VLOOKUP($C1046, Egli_UPEC_metadata_provided!$A$2:$M$826, 11, FALSE)</f>
        <v>#N/A</v>
      </c>
      <c r="M1046" t="e">
        <f>VLOOKUP($C1046, Egli_UPEC_metadata_provided!$A$2:$M$826, 12, FALSE)</f>
        <v>#N/A</v>
      </c>
      <c r="N1046" t="e">
        <f>VLOOKUP($C1046, Egli_UPEC_metadata_provided!$A$2:$M$826, 13, FALSE)</f>
        <v>#N/A</v>
      </c>
      <c r="O1046" t="e">
        <f>VLOOKUP($C1046, Egli_UPEC_metadata_provided!$A$2:$N$826, 14, FALSE)</f>
        <v>#N/A</v>
      </c>
    </row>
    <row r="1047" spans="1:15" x14ac:dyDescent="0.2">
      <c r="A1047" t="s">
        <v>3000</v>
      </c>
      <c r="B1047" t="s">
        <v>4299</v>
      </c>
      <c r="C1047" t="s">
        <v>4299</v>
      </c>
      <c r="D1047" t="e">
        <f>VLOOKUP($C1047, Egli_UPEC_metadata_provided!$A$2:$M$826, 3, FALSE)</f>
        <v>#N/A</v>
      </c>
      <c r="E1047" t="e">
        <f>VLOOKUP($C1047, Egli_UPEC_metadata_provided!$A$2:$M$826, 4, FALSE)</f>
        <v>#N/A</v>
      </c>
      <c r="F1047" t="e">
        <f>VLOOKUP($C1047, Egli_UPEC_metadata_provided!$A$2:$M$826, 5, FALSE)</f>
        <v>#N/A</v>
      </c>
      <c r="G1047" t="e">
        <f>VLOOKUP($C1047, Egli_UPEC_metadata_provided!$A$2:$M$826, 6, FALSE)</f>
        <v>#N/A</v>
      </c>
      <c r="H1047" t="e">
        <f>VLOOKUP($C1047, Egli_UPEC_metadata_provided!$A$2:$M$826, 7, FALSE)</f>
        <v>#N/A</v>
      </c>
      <c r="I1047" t="e">
        <f>VLOOKUP($C1047, Egli_UPEC_metadata_provided!$A$2:$M$826, 8, FALSE)</f>
        <v>#N/A</v>
      </c>
      <c r="J1047" t="e">
        <f>VLOOKUP($C1047, Egli_UPEC_metadata_provided!$A$2:$M$826, 9, FALSE)</f>
        <v>#N/A</v>
      </c>
      <c r="K1047" t="e">
        <f>VLOOKUP($C1047, Egli_UPEC_metadata_provided!$A$2:$M$826, 10, FALSE)</f>
        <v>#N/A</v>
      </c>
      <c r="L1047" t="e">
        <f>VLOOKUP($C1047, Egli_UPEC_metadata_provided!$A$2:$M$826, 11, FALSE)</f>
        <v>#N/A</v>
      </c>
      <c r="M1047" t="e">
        <f>VLOOKUP($C1047, Egli_UPEC_metadata_provided!$A$2:$M$826, 12, FALSE)</f>
        <v>#N/A</v>
      </c>
      <c r="N1047" t="e">
        <f>VLOOKUP($C1047, Egli_UPEC_metadata_provided!$A$2:$M$826, 13, FALSE)</f>
        <v>#N/A</v>
      </c>
      <c r="O1047" t="e">
        <f>VLOOKUP($C1047, Egli_UPEC_metadata_provided!$A$2:$N$826, 14, FALSE)</f>
        <v>#N/A</v>
      </c>
    </row>
    <row r="1048" spans="1:15" x14ac:dyDescent="0.2">
      <c r="A1048" t="s">
        <v>3003</v>
      </c>
      <c r="B1048" t="s">
        <v>4300</v>
      </c>
      <c r="C1048" t="s">
        <v>4300</v>
      </c>
      <c r="D1048" t="e">
        <f>VLOOKUP($C1048, Egli_UPEC_metadata_provided!$A$2:$M$826, 3, FALSE)</f>
        <v>#N/A</v>
      </c>
      <c r="E1048" t="e">
        <f>VLOOKUP($C1048, Egli_UPEC_metadata_provided!$A$2:$M$826, 4, FALSE)</f>
        <v>#N/A</v>
      </c>
      <c r="F1048" t="e">
        <f>VLOOKUP($C1048, Egli_UPEC_metadata_provided!$A$2:$M$826, 5, FALSE)</f>
        <v>#N/A</v>
      </c>
      <c r="G1048" t="e">
        <f>VLOOKUP($C1048, Egli_UPEC_metadata_provided!$A$2:$M$826, 6, FALSE)</f>
        <v>#N/A</v>
      </c>
      <c r="H1048" t="e">
        <f>VLOOKUP($C1048, Egli_UPEC_metadata_provided!$A$2:$M$826, 7, FALSE)</f>
        <v>#N/A</v>
      </c>
      <c r="I1048" t="e">
        <f>VLOOKUP($C1048, Egli_UPEC_metadata_provided!$A$2:$M$826, 8, FALSE)</f>
        <v>#N/A</v>
      </c>
      <c r="J1048" t="e">
        <f>VLOOKUP($C1048, Egli_UPEC_metadata_provided!$A$2:$M$826, 9, FALSE)</f>
        <v>#N/A</v>
      </c>
      <c r="K1048" t="e">
        <f>VLOOKUP($C1048, Egli_UPEC_metadata_provided!$A$2:$M$826, 10, FALSE)</f>
        <v>#N/A</v>
      </c>
      <c r="L1048" t="e">
        <f>VLOOKUP($C1048, Egli_UPEC_metadata_provided!$A$2:$M$826, 11, FALSE)</f>
        <v>#N/A</v>
      </c>
      <c r="M1048" t="e">
        <f>VLOOKUP($C1048, Egli_UPEC_metadata_provided!$A$2:$M$826, 12, FALSE)</f>
        <v>#N/A</v>
      </c>
      <c r="N1048" t="e">
        <f>VLOOKUP($C1048, Egli_UPEC_metadata_provided!$A$2:$M$826, 13, FALSE)</f>
        <v>#N/A</v>
      </c>
      <c r="O1048" t="e">
        <f>VLOOKUP($C1048, Egli_UPEC_metadata_provided!$A$2:$N$826, 14, FALSE)</f>
        <v>#N/A</v>
      </c>
    </row>
    <row r="1049" spans="1:15" x14ac:dyDescent="0.2">
      <c r="A1049" t="s">
        <v>3006</v>
      </c>
      <c r="B1049" t="s">
        <v>4398</v>
      </c>
      <c r="C1049" t="s">
        <v>4398</v>
      </c>
      <c r="D1049" t="e">
        <f>VLOOKUP($C1049, Egli_UPEC_metadata_provided!$A$2:$M$826, 3, FALSE)</f>
        <v>#N/A</v>
      </c>
      <c r="E1049" t="e">
        <f>VLOOKUP($C1049, Egli_UPEC_metadata_provided!$A$2:$M$826, 4, FALSE)</f>
        <v>#N/A</v>
      </c>
      <c r="F1049" t="e">
        <f>VLOOKUP($C1049, Egli_UPEC_metadata_provided!$A$2:$M$826, 5, FALSE)</f>
        <v>#N/A</v>
      </c>
      <c r="G1049" t="e">
        <f>VLOOKUP($C1049, Egli_UPEC_metadata_provided!$A$2:$M$826, 6, FALSE)</f>
        <v>#N/A</v>
      </c>
      <c r="H1049" t="e">
        <f>VLOOKUP($C1049, Egli_UPEC_metadata_provided!$A$2:$M$826, 7, FALSE)</f>
        <v>#N/A</v>
      </c>
      <c r="I1049" t="e">
        <f>VLOOKUP($C1049, Egli_UPEC_metadata_provided!$A$2:$M$826, 8, FALSE)</f>
        <v>#N/A</v>
      </c>
      <c r="J1049" t="e">
        <f>VLOOKUP($C1049, Egli_UPEC_metadata_provided!$A$2:$M$826, 9, FALSE)</f>
        <v>#N/A</v>
      </c>
      <c r="K1049" t="e">
        <f>VLOOKUP($C1049, Egli_UPEC_metadata_provided!$A$2:$M$826, 10, FALSE)</f>
        <v>#N/A</v>
      </c>
      <c r="L1049" t="e">
        <f>VLOOKUP($C1049, Egli_UPEC_metadata_provided!$A$2:$M$826, 11, FALSE)</f>
        <v>#N/A</v>
      </c>
      <c r="M1049" t="e">
        <f>VLOOKUP($C1049, Egli_UPEC_metadata_provided!$A$2:$M$826, 12, FALSE)</f>
        <v>#N/A</v>
      </c>
      <c r="N1049" t="e">
        <f>VLOOKUP($C1049, Egli_UPEC_metadata_provided!$A$2:$M$826, 13, FALSE)</f>
        <v>#N/A</v>
      </c>
      <c r="O1049" t="e">
        <f>VLOOKUP($C1049, Egli_UPEC_metadata_provided!$A$2:$N$826, 14, FALSE)</f>
        <v>#N/A</v>
      </c>
    </row>
    <row r="1050" spans="1:15" x14ac:dyDescent="0.2">
      <c r="A1050" t="s">
        <v>3009</v>
      </c>
      <c r="B1050" t="s">
        <v>4301</v>
      </c>
      <c r="C1050" t="s">
        <v>4301</v>
      </c>
      <c r="D1050" t="e">
        <f>VLOOKUP($C1050, Egli_UPEC_metadata_provided!$A$2:$M$826, 3, FALSE)</f>
        <v>#N/A</v>
      </c>
      <c r="E1050" t="e">
        <f>VLOOKUP($C1050, Egli_UPEC_metadata_provided!$A$2:$M$826, 4, FALSE)</f>
        <v>#N/A</v>
      </c>
      <c r="F1050" t="e">
        <f>VLOOKUP($C1050, Egli_UPEC_metadata_provided!$A$2:$M$826, 5, FALSE)</f>
        <v>#N/A</v>
      </c>
      <c r="G1050" t="e">
        <f>VLOOKUP($C1050, Egli_UPEC_metadata_provided!$A$2:$M$826, 6, FALSE)</f>
        <v>#N/A</v>
      </c>
      <c r="H1050" t="e">
        <f>VLOOKUP($C1050, Egli_UPEC_metadata_provided!$A$2:$M$826, 7, FALSE)</f>
        <v>#N/A</v>
      </c>
      <c r="I1050" t="e">
        <f>VLOOKUP($C1050, Egli_UPEC_metadata_provided!$A$2:$M$826, 8, FALSE)</f>
        <v>#N/A</v>
      </c>
      <c r="J1050" t="e">
        <f>VLOOKUP($C1050, Egli_UPEC_metadata_provided!$A$2:$M$826, 9, FALSE)</f>
        <v>#N/A</v>
      </c>
      <c r="K1050" t="e">
        <f>VLOOKUP($C1050, Egli_UPEC_metadata_provided!$A$2:$M$826, 10, FALSE)</f>
        <v>#N/A</v>
      </c>
      <c r="L1050" t="e">
        <f>VLOOKUP($C1050, Egli_UPEC_metadata_provided!$A$2:$M$826, 11, FALSE)</f>
        <v>#N/A</v>
      </c>
      <c r="M1050" t="e">
        <f>VLOOKUP($C1050, Egli_UPEC_metadata_provided!$A$2:$M$826, 12, FALSE)</f>
        <v>#N/A</v>
      </c>
      <c r="N1050" t="e">
        <f>VLOOKUP($C1050, Egli_UPEC_metadata_provided!$A$2:$M$826, 13, FALSE)</f>
        <v>#N/A</v>
      </c>
      <c r="O1050" t="e">
        <f>VLOOKUP($C1050, Egli_UPEC_metadata_provided!$A$2:$N$826, 14, FALSE)</f>
        <v>#N/A</v>
      </c>
    </row>
    <row r="1051" spans="1:15" x14ac:dyDescent="0.2">
      <c r="A1051" t="s">
        <v>3024</v>
      </c>
      <c r="B1051" t="s">
        <v>4302</v>
      </c>
      <c r="C1051" t="s">
        <v>4397</v>
      </c>
      <c r="D1051" t="e">
        <f>VLOOKUP($C1051, Egli_UPEC_metadata_provided!$A$2:$M$826, 3, FALSE)</f>
        <v>#N/A</v>
      </c>
      <c r="E1051" t="e">
        <f>VLOOKUP($C1051, Egli_UPEC_metadata_provided!$A$2:$M$826, 4, FALSE)</f>
        <v>#N/A</v>
      </c>
      <c r="F1051" t="e">
        <f>VLOOKUP($C1051, Egli_UPEC_metadata_provided!$A$2:$M$826, 5, FALSE)</f>
        <v>#N/A</v>
      </c>
      <c r="G1051" t="e">
        <f>VLOOKUP($C1051, Egli_UPEC_metadata_provided!$A$2:$M$826, 6, FALSE)</f>
        <v>#N/A</v>
      </c>
      <c r="H1051" t="e">
        <f>VLOOKUP($C1051, Egli_UPEC_metadata_provided!$A$2:$M$826, 7, FALSE)</f>
        <v>#N/A</v>
      </c>
      <c r="I1051" t="e">
        <f>VLOOKUP($C1051, Egli_UPEC_metadata_provided!$A$2:$M$826, 8, FALSE)</f>
        <v>#N/A</v>
      </c>
      <c r="J1051" t="e">
        <f>VLOOKUP($C1051, Egli_UPEC_metadata_provided!$A$2:$M$826, 9, FALSE)</f>
        <v>#N/A</v>
      </c>
      <c r="K1051" t="e">
        <f>VLOOKUP($C1051, Egli_UPEC_metadata_provided!$A$2:$M$826, 10, FALSE)</f>
        <v>#N/A</v>
      </c>
      <c r="L1051" t="e">
        <f>VLOOKUP($C1051, Egli_UPEC_metadata_provided!$A$2:$M$826, 11, FALSE)</f>
        <v>#N/A</v>
      </c>
      <c r="M1051" t="e">
        <f>VLOOKUP($C1051, Egli_UPEC_metadata_provided!$A$2:$M$826, 12, FALSE)</f>
        <v>#N/A</v>
      </c>
      <c r="N1051" t="e">
        <f>VLOOKUP($C1051, Egli_UPEC_metadata_provided!$A$2:$M$826, 13, FALSE)</f>
        <v>#N/A</v>
      </c>
      <c r="O1051" t="e">
        <f>VLOOKUP($C1051, Egli_UPEC_metadata_provided!$A$2:$N$826, 14, FALSE)</f>
        <v>#N/A</v>
      </c>
    </row>
    <row r="1052" spans="1:15" x14ac:dyDescent="0.2">
      <c r="A1052" t="s">
        <v>3027</v>
      </c>
      <c r="B1052" t="s">
        <v>4303</v>
      </c>
      <c r="C1052" t="s">
        <v>4397</v>
      </c>
      <c r="D1052" t="e">
        <f>VLOOKUP($C1052, Egli_UPEC_metadata_provided!$A$2:$M$826, 3, FALSE)</f>
        <v>#N/A</v>
      </c>
      <c r="E1052" t="e">
        <f>VLOOKUP($C1052, Egli_UPEC_metadata_provided!$A$2:$M$826, 4, FALSE)</f>
        <v>#N/A</v>
      </c>
      <c r="F1052" t="e">
        <f>VLOOKUP($C1052, Egli_UPEC_metadata_provided!$A$2:$M$826, 5, FALSE)</f>
        <v>#N/A</v>
      </c>
      <c r="G1052" t="e">
        <f>VLOOKUP($C1052, Egli_UPEC_metadata_provided!$A$2:$M$826, 6, FALSE)</f>
        <v>#N/A</v>
      </c>
      <c r="H1052" t="e">
        <f>VLOOKUP($C1052, Egli_UPEC_metadata_provided!$A$2:$M$826, 7, FALSE)</f>
        <v>#N/A</v>
      </c>
      <c r="I1052" t="e">
        <f>VLOOKUP($C1052, Egli_UPEC_metadata_provided!$A$2:$M$826, 8, FALSE)</f>
        <v>#N/A</v>
      </c>
      <c r="J1052" t="e">
        <f>VLOOKUP($C1052, Egli_UPEC_metadata_provided!$A$2:$M$826, 9, FALSE)</f>
        <v>#N/A</v>
      </c>
      <c r="K1052" t="e">
        <f>VLOOKUP($C1052, Egli_UPEC_metadata_provided!$A$2:$M$826, 10, FALSE)</f>
        <v>#N/A</v>
      </c>
      <c r="L1052" t="e">
        <f>VLOOKUP($C1052, Egli_UPEC_metadata_provided!$A$2:$M$826, 11, FALSE)</f>
        <v>#N/A</v>
      </c>
      <c r="M1052" t="e">
        <f>VLOOKUP($C1052, Egli_UPEC_metadata_provided!$A$2:$M$826, 12, FALSE)</f>
        <v>#N/A</v>
      </c>
      <c r="N1052" t="e">
        <f>VLOOKUP($C1052, Egli_UPEC_metadata_provided!$A$2:$M$826, 13, FALSE)</f>
        <v>#N/A</v>
      </c>
      <c r="O1052" t="e">
        <f>VLOOKUP($C1052, Egli_UPEC_metadata_provided!$A$2:$N$826, 14, FALSE)</f>
        <v>#N/A</v>
      </c>
    </row>
    <row r="1053" spans="1:15" x14ac:dyDescent="0.2">
      <c r="A1053" t="s">
        <v>3058</v>
      </c>
      <c r="B1053" t="s">
        <v>4304</v>
      </c>
      <c r="C1053" t="s">
        <v>4304</v>
      </c>
      <c r="D1053" t="e">
        <f>VLOOKUP($C1053, Egli_UPEC_metadata_provided!$A$2:$M$826, 3, FALSE)</f>
        <v>#N/A</v>
      </c>
      <c r="E1053" t="e">
        <f>VLOOKUP($C1053, Egli_UPEC_metadata_provided!$A$2:$M$826, 4, FALSE)</f>
        <v>#N/A</v>
      </c>
      <c r="F1053" t="e">
        <f>VLOOKUP($C1053, Egli_UPEC_metadata_provided!$A$2:$M$826, 5, FALSE)</f>
        <v>#N/A</v>
      </c>
      <c r="G1053" t="e">
        <f>VLOOKUP($C1053, Egli_UPEC_metadata_provided!$A$2:$M$826, 6, FALSE)</f>
        <v>#N/A</v>
      </c>
      <c r="H1053" t="e">
        <f>VLOOKUP($C1053, Egli_UPEC_metadata_provided!$A$2:$M$826, 7, FALSE)</f>
        <v>#N/A</v>
      </c>
      <c r="I1053" t="e">
        <f>VLOOKUP($C1053, Egli_UPEC_metadata_provided!$A$2:$M$826, 8, FALSE)</f>
        <v>#N/A</v>
      </c>
      <c r="J1053" t="e">
        <f>VLOOKUP($C1053, Egli_UPEC_metadata_provided!$A$2:$M$826, 9, FALSE)</f>
        <v>#N/A</v>
      </c>
      <c r="K1053" t="e">
        <f>VLOOKUP($C1053, Egli_UPEC_metadata_provided!$A$2:$M$826, 10, FALSE)</f>
        <v>#N/A</v>
      </c>
      <c r="L1053" t="e">
        <f>VLOOKUP($C1053, Egli_UPEC_metadata_provided!$A$2:$M$826, 11, FALSE)</f>
        <v>#N/A</v>
      </c>
      <c r="M1053" t="e">
        <f>VLOOKUP($C1053, Egli_UPEC_metadata_provided!$A$2:$M$826, 12, FALSE)</f>
        <v>#N/A</v>
      </c>
      <c r="N1053" t="e">
        <f>VLOOKUP($C1053, Egli_UPEC_metadata_provided!$A$2:$M$826, 13, FALSE)</f>
        <v>#N/A</v>
      </c>
      <c r="O1053" t="e">
        <f>VLOOKUP($C1053, Egli_UPEC_metadata_provided!$A$2:$N$826, 14, FALSE)</f>
        <v>#N/A</v>
      </c>
    </row>
    <row r="1054" spans="1:15" x14ac:dyDescent="0.2">
      <c r="A1054" t="s">
        <v>3061</v>
      </c>
      <c r="B1054" t="s">
        <v>4278</v>
      </c>
      <c r="C1054" t="s">
        <v>4278</v>
      </c>
      <c r="D1054" t="e">
        <f>VLOOKUP($C1054, Egli_UPEC_metadata_provided!$A$2:$M$826, 3, FALSE)</f>
        <v>#N/A</v>
      </c>
      <c r="E1054" t="e">
        <f>VLOOKUP($C1054, Egli_UPEC_metadata_provided!$A$2:$M$826, 4, FALSE)</f>
        <v>#N/A</v>
      </c>
      <c r="F1054" t="e">
        <f>VLOOKUP($C1054, Egli_UPEC_metadata_provided!$A$2:$M$826, 5, FALSE)</f>
        <v>#N/A</v>
      </c>
      <c r="G1054" t="e">
        <f>VLOOKUP($C1054, Egli_UPEC_metadata_provided!$A$2:$M$826, 6, FALSE)</f>
        <v>#N/A</v>
      </c>
      <c r="H1054" t="e">
        <f>VLOOKUP($C1054, Egli_UPEC_metadata_provided!$A$2:$M$826, 7, FALSE)</f>
        <v>#N/A</v>
      </c>
      <c r="I1054" t="e">
        <f>VLOOKUP($C1054, Egli_UPEC_metadata_provided!$A$2:$M$826, 8, FALSE)</f>
        <v>#N/A</v>
      </c>
      <c r="J1054" t="e">
        <f>VLOOKUP($C1054, Egli_UPEC_metadata_provided!$A$2:$M$826, 9, FALSE)</f>
        <v>#N/A</v>
      </c>
      <c r="K1054" t="e">
        <f>VLOOKUP($C1054, Egli_UPEC_metadata_provided!$A$2:$M$826, 10, FALSE)</f>
        <v>#N/A</v>
      </c>
      <c r="L1054" t="e">
        <f>VLOOKUP($C1054, Egli_UPEC_metadata_provided!$A$2:$M$826, 11, FALSE)</f>
        <v>#N/A</v>
      </c>
      <c r="M1054" t="e">
        <f>VLOOKUP($C1054, Egli_UPEC_metadata_provided!$A$2:$M$826, 12, FALSE)</f>
        <v>#N/A</v>
      </c>
      <c r="N1054" t="e">
        <f>VLOOKUP($C1054, Egli_UPEC_metadata_provided!$A$2:$M$826, 13, FALSE)</f>
        <v>#N/A</v>
      </c>
      <c r="O1054" t="e">
        <f>VLOOKUP($C1054, Egli_UPEC_metadata_provided!$A$2:$N$826, 14, FALSE)</f>
        <v>#N/A</v>
      </c>
    </row>
    <row r="1055" spans="1:15" x14ac:dyDescent="0.2">
      <c r="A1055" t="s">
        <v>3080</v>
      </c>
      <c r="B1055" t="s">
        <v>4279</v>
      </c>
      <c r="C1055" t="s">
        <v>4279</v>
      </c>
      <c r="D1055" t="e">
        <f>VLOOKUP($C1055, Egli_UPEC_metadata_provided!$A$2:$M$826, 3, FALSE)</f>
        <v>#N/A</v>
      </c>
      <c r="E1055" t="e">
        <f>VLOOKUP($C1055, Egli_UPEC_metadata_provided!$A$2:$M$826, 4, FALSE)</f>
        <v>#N/A</v>
      </c>
      <c r="F1055" t="e">
        <f>VLOOKUP($C1055, Egli_UPEC_metadata_provided!$A$2:$M$826, 5, FALSE)</f>
        <v>#N/A</v>
      </c>
      <c r="G1055" t="e">
        <f>VLOOKUP($C1055, Egli_UPEC_metadata_provided!$A$2:$M$826, 6, FALSE)</f>
        <v>#N/A</v>
      </c>
      <c r="H1055" t="e">
        <f>VLOOKUP($C1055, Egli_UPEC_metadata_provided!$A$2:$M$826, 7, FALSE)</f>
        <v>#N/A</v>
      </c>
      <c r="I1055" t="e">
        <f>VLOOKUP($C1055, Egli_UPEC_metadata_provided!$A$2:$M$826, 8, FALSE)</f>
        <v>#N/A</v>
      </c>
      <c r="J1055" t="e">
        <f>VLOOKUP($C1055, Egli_UPEC_metadata_provided!$A$2:$M$826, 9, FALSE)</f>
        <v>#N/A</v>
      </c>
      <c r="K1055" t="e">
        <f>VLOOKUP($C1055, Egli_UPEC_metadata_provided!$A$2:$M$826, 10, FALSE)</f>
        <v>#N/A</v>
      </c>
      <c r="L1055" t="e">
        <f>VLOOKUP($C1055, Egli_UPEC_metadata_provided!$A$2:$M$826, 11, FALSE)</f>
        <v>#N/A</v>
      </c>
      <c r="M1055" t="e">
        <f>VLOOKUP($C1055, Egli_UPEC_metadata_provided!$A$2:$M$826, 12, FALSE)</f>
        <v>#N/A</v>
      </c>
      <c r="N1055" t="e">
        <f>VLOOKUP($C1055, Egli_UPEC_metadata_provided!$A$2:$M$826, 13, FALSE)</f>
        <v>#N/A</v>
      </c>
      <c r="O1055" t="e">
        <f>VLOOKUP($C1055, Egli_UPEC_metadata_provided!$A$2:$N$826, 14, FALSE)</f>
        <v>#N/A</v>
      </c>
    </row>
    <row r="1056" spans="1:15" x14ac:dyDescent="0.2">
      <c r="A1056" t="s">
        <v>3103</v>
      </c>
      <c r="B1056" t="s">
        <v>4392</v>
      </c>
      <c r="C1056" t="s">
        <v>4392</v>
      </c>
      <c r="D1056" t="e">
        <f>VLOOKUP($C1056, Egli_UPEC_metadata_provided!$A$2:$M$826, 3, FALSE)</f>
        <v>#N/A</v>
      </c>
      <c r="E1056" t="e">
        <f>VLOOKUP($C1056, Egli_UPEC_metadata_provided!$A$2:$M$826, 4, FALSE)</f>
        <v>#N/A</v>
      </c>
      <c r="F1056" t="e">
        <f>VLOOKUP($C1056, Egli_UPEC_metadata_provided!$A$2:$M$826, 5, FALSE)</f>
        <v>#N/A</v>
      </c>
      <c r="G1056" t="e">
        <f>VLOOKUP($C1056, Egli_UPEC_metadata_provided!$A$2:$M$826, 6, FALSE)</f>
        <v>#N/A</v>
      </c>
      <c r="H1056" t="e">
        <f>VLOOKUP($C1056, Egli_UPEC_metadata_provided!$A$2:$M$826, 7, FALSE)</f>
        <v>#N/A</v>
      </c>
      <c r="I1056" t="e">
        <f>VLOOKUP($C1056, Egli_UPEC_metadata_provided!$A$2:$M$826, 8, FALSE)</f>
        <v>#N/A</v>
      </c>
      <c r="J1056" t="e">
        <f>VLOOKUP($C1056, Egli_UPEC_metadata_provided!$A$2:$M$826, 9, FALSE)</f>
        <v>#N/A</v>
      </c>
      <c r="K1056" t="e">
        <f>VLOOKUP($C1056, Egli_UPEC_metadata_provided!$A$2:$M$826, 10, FALSE)</f>
        <v>#N/A</v>
      </c>
      <c r="L1056" t="e">
        <f>VLOOKUP($C1056, Egli_UPEC_metadata_provided!$A$2:$M$826, 11, FALSE)</f>
        <v>#N/A</v>
      </c>
      <c r="M1056" t="e">
        <f>VLOOKUP($C1056, Egli_UPEC_metadata_provided!$A$2:$M$826, 12, FALSE)</f>
        <v>#N/A</v>
      </c>
      <c r="N1056" t="e">
        <f>VLOOKUP($C1056, Egli_UPEC_metadata_provided!$A$2:$M$826, 13, FALSE)</f>
        <v>#N/A</v>
      </c>
      <c r="O1056" t="e">
        <f>VLOOKUP($C1056, Egli_UPEC_metadata_provided!$A$2:$N$826, 14, FALSE)</f>
        <v>#N/A</v>
      </c>
    </row>
    <row r="1057" spans="1:15" x14ac:dyDescent="0.2">
      <c r="A1057" t="s">
        <v>3120</v>
      </c>
      <c r="B1057" t="s">
        <v>4396</v>
      </c>
      <c r="C1057" t="s">
        <v>4396</v>
      </c>
      <c r="D1057" t="e">
        <f>VLOOKUP($C1057, Egli_UPEC_metadata_provided!$A$2:$M$826, 3, FALSE)</f>
        <v>#N/A</v>
      </c>
      <c r="E1057" t="e">
        <f>VLOOKUP($C1057, Egli_UPEC_metadata_provided!$A$2:$M$826, 4, FALSE)</f>
        <v>#N/A</v>
      </c>
      <c r="F1057" t="e">
        <f>VLOOKUP($C1057, Egli_UPEC_metadata_provided!$A$2:$M$826, 5, FALSE)</f>
        <v>#N/A</v>
      </c>
      <c r="G1057" t="e">
        <f>VLOOKUP($C1057, Egli_UPEC_metadata_provided!$A$2:$M$826, 6, FALSE)</f>
        <v>#N/A</v>
      </c>
      <c r="H1057" t="e">
        <f>VLOOKUP($C1057, Egli_UPEC_metadata_provided!$A$2:$M$826, 7, FALSE)</f>
        <v>#N/A</v>
      </c>
      <c r="I1057" t="e">
        <f>VLOOKUP($C1057, Egli_UPEC_metadata_provided!$A$2:$M$826, 8, FALSE)</f>
        <v>#N/A</v>
      </c>
      <c r="J1057" t="e">
        <f>VLOOKUP($C1057, Egli_UPEC_metadata_provided!$A$2:$M$826, 9, FALSE)</f>
        <v>#N/A</v>
      </c>
      <c r="K1057" t="e">
        <f>VLOOKUP($C1057, Egli_UPEC_metadata_provided!$A$2:$M$826, 10, FALSE)</f>
        <v>#N/A</v>
      </c>
      <c r="L1057" t="e">
        <f>VLOOKUP($C1057, Egli_UPEC_metadata_provided!$A$2:$M$826, 11, FALSE)</f>
        <v>#N/A</v>
      </c>
      <c r="M1057" t="e">
        <f>VLOOKUP($C1057, Egli_UPEC_metadata_provided!$A$2:$M$826, 12, FALSE)</f>
        <v>#N/A</v>
      </c>
      <c r="N1057" t="e">
        <f>VLOOKUP($C1057, Egli_UPEC_metadata_provided!$A$2:$M$826, 13, FALSE)</f>
        <v>#N/A</v>
      </c>
      <c r="O1057" t="e">
        <f>VLOOKUP($C1057, Egli_UPEC_metadata_provided!$A$2:$N$826, 14, FALSE)</f>
        <v>#N/A</v>
      </c>
    </row>
    <row r="1058" spans="1:15" x14ac:dyDescent="0.2">
      <c r="A1058" t="s">
        <v>3125</v>
      </c>
      <c r="B1058" t="s">
        <v>4395</v>
      </c>
      <c r="C1058" t="s">
        <v>4395</v>
      </c>
      <c r="D1058" t="e">
        <f>VLOOKUP($C1058, Egli_UPEC_metadata_provided!$A$2:$M$826, 3, FALSE)</f>
        <v>#N/A</v>
      </c>
      <c r="E1058" t="e">
        <f>VLOOKUP($C1058, Egli_UPEC_metadata_provided!$A$2:$M$826, 4, FALSE)</f>
        <v>#N/A</v>
      </c>
      <c r="F1058" t="e">
        <f>VLOOKUP($C1058, Egli_UPEC_metadata_provided!$A$2:$M$826, 5, FALSE)</f>
        <v>#N/A</v>
      </c>
      <c r="G1058" t="e">
        <f>VLOOKUP($C1058, Egli_UPEC_metadata_provided!$A$2:$M$826, 6, FALSE)</f>
        <v>#N/A</v>
      </c>
      <c r="H1058" t="e">
        <f>VLOOKUP($C1058, Egli_UPEC_metadata_provided!$A$2:$M$826, 7, FALSE)</f>
        <v>#N/A</v>
      </c>
      <c r="I1058" t="e">
        <f>VLOOKUP($C1058, Egli_UPEC_metadata_provided!$A$2:$M$826, 8, FALSE)</f>
        <v>#N/A</v>
      </c>
      <c r="J1058" t="e">
        <f>VLOOKUP($C1058, Egli_UPEC_metadata_provided!$A$2:$M$826, 9, FALSE)</f>
        <v>#N/A</v>
      </c>
      <c r="K1058" t="e">
        <f>VLOOKUP($C1058, Egli_UPEC_metadata_provided!$A$2:$M$826, 10, FALSE)</f>
        <v>#N/A</v>
      </c>
      <c r="L1058" t="e">
        <f>VLOOKUP($C1058, Egli_UPEC_metadata_provided!$A$2:$M$826, 11, FALSE)</f>
        <v>#N/A</v>
      </c>
      <c r="M1058" t="e">
        <f>VLOOKUP($C1058, Egli_UPEC_metadata_provided!$A$2:$M$826, 12, FALSE)</f>
        <v>#N/A</v>
      </c>
      <c r="N1058" t="e">
        <f>VLOOKUP($C1058, Egli_UPEC_metadata_provided!$A$2:$M$826, 13, FALSE)</f>
        <v>#N/A</v>
      </c>
      <c r="O1058" t="e">
        <f>VLOOKUP($C1058, Egli_UPEC_metadata_provided!$A$2:$N$826, 14, FALSE)</f>
        <v>#N/A</v>
      </c>
    </row>
    <row r="1059" spans="1:15" x14ac:dyDescent="0.2">
      <c r="A1059" t="s">
        <v>3136</v>
      </c>
      <c r="B1059" t="s">
        <v>4113</v>
      </c>
      <c r="C1059" t="s">
        <v>4113</v>
      </c>
      <c r="D1059" t="e">
        <f>VLOOKUP($C1059, Egli_UPEC_metadata_provided!$A$2:$M$826, 3, FALSE)</f>
        <v>#N/A</v>
      </c>
      <c r="E1059" t="e">
        <f>VLOOKUP($C1059, Egli_UPEC_metadata_provided!$A$2:$M$826, 4, FALSE)</f>
        <v>#N/A</v>
      </c>
      <c r="F1059" t="e">
        <f>VLOOKUP($C1059, Egli_UPEC_metadata_provided!$A$2:$M$826, 5, FALSE)</f>
        <v>#N/A</v>
      </c>
      <c r="G1059" t="e">
        <f>VLOOKUP($C1059, Egli_UPEC_metadata_provided!$A$2:$M$826, 6, FALSE)</f>
        <v>#N/A</v>
      </c>
      <c r="H1059" t="e">
        <f>VLOOKUP($C1059, Egli_UPEC_metadata_provided!$A$2:$M$826, 7, FALSE)</f>
        <v>#N/A</v>
      </c>
      <c r="I1059" t="e">
        <f>VLOOKUP($C1059, Egli_UPEC_metadata_provided!$A$2:$M$826, 8, FALSE)</f>
        <v>#N/A</v>
      </c>
      <c r="J1059" t="e">
        <f>VLOOKUP($C1059, Egli_UPEC_metadata_provided!$A$2:$M$826, 9, FALSE)</f>
        <v>#N/A</v>
      </c>
      <c r="K1059" t="e">
        <f>VLOOKUP($C1059, Egli_UPEC_metadata_provided!$A$2:$M$826, 10, FALSE)</f>
        <v>#N/A</v>
      </c>
      <c r="L1059" t="e">
        <f>VLOOKUP($C1059, Egli_UPEC_metadata_provided!$A$2:$M$826, 11, FALSE)</f>
        <v>#N/A</v>
      </c>
      <c r="M1059" t="e">
        <f>VLOOKUP($C1059, Egli_UPEC_metadata_provided!$A$2:$M$826, 12, FALSE)</f>
        <v>#N/A</v>
      </c>
      <c r="N1059" t="e">
        <f>VLOOKUP($C1059, Egli_UPEC_metadata_provided!$A$2:$M$826, 13, FALSE)</f>
        <v>#N/A</v>
      </c>
      <c r="O1059" t="e">
        <f>VLOOKUP($C1059, Egli_UPEC_metadata_provided!$A$2:$N$826, 14, FALSE)</f>
        <v>#N/A</v>
      </c>
    </row>
    <row r="1060" spans="1:15" x14ac:dyDescent="0.2">
      <c r="A1060" t="s">
        <v>3145</v>
      </c>
      <c r="B1060" t="s">
        <v>4394</v>
      </c>
      <c r="C1060" t="s">
        <v>4394</v>
      </c>
      <c r="D1060" t="e">
        <f>VLOOKUP($C1060, Egli_UPEC_metadata_provided!$A$2:$M$826, 3, FALSE)</f>
        <v>#N/A</v>
      </c>
      <c r="E1060" t="e">
        <f>VLOOKUP($C1060, Egli_UPEC_metadata_provided!$A$2:$M$826, 4, FALSE)</f>
        <v>#N/A</v>
      </c>
      <c r="F1060" t="e">
        <f>VLOOKUP($C1060, Egli_UPEC_metadata_provided!$A$2:$M$826, 5, FALSE)</f>
        <v>#N/A</v>
      </c>
      <c r="G1060" t="e">
        <f>VLOOKUP($C1060, Egli_UPEC_metadata_provided!$A$2:$M$826, 6, FALSE)</f>
        <v>#N/A</v>
      </c>
      <c r="H1060" t="e">
        <f>VLOOKUP($C1060, Egli_UPEC_metadata_provided!$A$2:$M$826, 7, FALSE)</f>
        <v>#N/A</v>
      </c>
      <c r="I1060" t="e">
        <f>VLOOKUP($C1060, Egli_UPEC_metadata_provided!$A$2:$M$826, 8, FALSE)</f>
        <v>#N/A</v>
      </c>
      <c r="J1060" t="e">
        <f>VLOOKUP($C1060, Egli_UPEC_metadata_provided!$A$2:$M$826, 9, FALSE)</f>
        <v>#N/A</v>
      </c>
      <c r="K1060" t="e">
        <f>VLOOKUP($C1060, Egli_UPEC_metadata_provided!$A$2:$M$826, 10, FALSE)</f>
        <v>#N/A</v>
      </c>
      <c r="L1060" t="e">
        <f>VLOOKUP($C1060, Egli_UPEC_metadata_provided!$A$2:$M$826, 11, FALSE)</f>
        <v>#N/A</v>
      </c>
      <c r="M1060" t="e">
        <f>VLOOKUP($C1060, Egli_UPEC_metadata_provided!$A$2:$M$826, 12, FALSE)</f>
        <v>#N/A</v>
      </c>
      <c r="N1060" t="e">
        <f>VLOOKUP($C1060, Egli_UPEC_metadata_provided!$A$2:$M$826, 13, FALSE)</f>
        <v>#N/A</v>
      </c>
      <c r="O1060" t="e">
        <f>VLOOKUP($C1060, Egli_UPEC_metadata_provided!$A$2:$N$826, 14, FALSE)</f>
        <v>#N/A</v>
      </c>
    </row>
    <row r="1061" spans="1:15" x14ac:dyDescent="0.2">
      <c r="A1061" t="s">
        <v>3148</v>
      </c>
      <c r="B1061" t="s">
        <v>4307</v>
      </c>
      <c r="C1061" t="s">
        <v>4307</v>
      </c>
      <c r="D1061" t="e">
        <f>VLOOKUP($C1061, Egli_UPEC_metadata_provided!$A$2:$M$826, 3, FALSE)</f>
        <v>#N/A</v>
      </c>
      <c r="E1061" t="e">
        <f>VLOOKUP($C1061, Egli_UPEC_metadata_provided!$A$2:$M$826, 4, FALSE)</f>
        <v>#N/A</v>
      </c>
      <c r="F1061" t="e">
        <f>VLOOKUP($C1061, Egli_UPEC_metadata_provided!$A$2:$M$826, 5, FALSE)</f>
        <v>#N/A</v>
      </c>
      <c r="G1061" t="e">
        <f>VLOOKUP($C1061, Egli_UPEC_metadata_provided!$A$2:$M$826, 6, FALSE)</f>
        <v>#N/A</v>
      </c>
      <c r="H1061" t="e">
        <f>VLOOKUP($C1061, Egli_UPEC_metadata_provided!$A$2:$M$826, 7, FALSE)</f>
        <v>#N/A</v>
      </c>
      <c r="I1061" t="e">
        <f>VLOOKUP($C1061, Egli_UPEC_metadata_provided!$A$2:$M$826, 8, FALSE)</f>
        <v>#N/A</v>
      </c>
      <c r="J1061" t="e">
        <f>VLOOKUP($C1061, Egli_UPEC_metadata_provided!$A$2:$M$826, 9, FALSE)</f>
        <v>#N/A</v>
      </c>
      <c r="K1061" t="e">
        <f>VLOOKUP($C1061, Egli_UPEC_metadata_provided!$A$2:$M$826, 10, FALSE)</f>
        <v>#N/A</v>
      </c>
      <c r="L1061" t="e">
        <f>VLOOKUP($C1061, Egli_UPEC_metadata_provided!$A$2:$M$826, 11, FALSE)</f>
        <v>#N/A</v>
      </c>
      <c r="M1061" t="e">
        <f>VLOOKUP($C1061, Egli_UPEC_metadata_provided!$A$2:$M$826, 12, FALSE)</f>
        <v>#N/A</v>
      </c>
      <c r="N1061" t="e">
        <f>VLOOKUP($C1061, Egli_UPEC_metadata_provided!$A$2:$M$826, 13, FALSE)</f>
        <v>#N/A</v>
      </c>
      <c r="O1061" t="e">
        <f>VLOOKUP($C1061, Egli_UPEC_metadata_provided!$A$2:$N$826, 14, FALSE)</f>
        <v>#N/A</v>
      </c>
    </row>
    <row r="1062" spans="1:15" x14ac:dyDescent="0.2">
      <c r="A1062" t="s">
        <v>3153</v>
      </c>
      <c r="B1062" t="s">
        <v>4115</v>
      </c>
      <c r="C1062" t="s">
        <v>4115</v>
      </c>
      <c r="D1062" t="e">
        <f>VLOOKUP($C1062, Egli_UPEC_metadata_provided!$A$2:$M$826, 3, FALSE)</f>
        <v>#N/A</v>
      </c>
      <c r="E1062" t="e">
        <f>VLOOKUP($C1062, Egli_UPEC_metadata_provided!$A$2:$M$826, 4, FALSE)</f>
        <v>#N/A</v>
      </c>
      <c r="F1062" t="e">
        <f>VLOOKUP($C1062, Egli_UPEC_metadata_provided!$A$2:$M$826, 5, FALSE)</f>
        <v>#N/A</v>
      </c>
      <c r="G1062" t="e">
        <f>VLOOKUP($C1062, Egli_UPEC_metadata_provided!$A$2:$M$826, 6, FALSE)</f>
        <v>#N/A</v>
      </c>
      <c r="H1062" t="e">
        <f>VLOOKUP($C1062, Egli_UPEC_metadata_provided!$A$2:$M$826, 7, FALSE)</f>
        <v>#N/A</v>
      </c>
      <c r="I1062" t="e">
        <f>VLOOKUP($C1062, Egli_UPEC_metadata_provided!$A$2:$M$826, 8, FALSE)</f>
        <v>#N/A</v>
      </c>
      <c r="J1062" t="e">
        <f>VLOOKUP($C1062, Egli_UPEC_metadata_provided!$A$2:$M$826, 9, FALSE)</f>
        <v>#N/A</v>
      </c>
      <c r="K1062" t="e">
        <f>VLOOKUP($C1062, Egli_UPEC_metadata_provided!$A$2:$M$826, 10, FALSE)</f>
        <v>#N/A</v>
      </c>
      <c r="L1062" t="e">
        <f>VLOOKUP($C1062, Egli_UPEC_metadata_provided!$A$2:$M$826, 11, FALSE)</f>
        <v>#N/A</v>
      </c>
      <c r="M1062" t="e">
        <f>VLOOKUP($C1062, Egli_UPEC_metadata_provided!$A$2:$M$826, 12, FALSE)</f>
        <v>#N/A</v>
      </c>
      <c r="N1062" t="e">
        <f>VLOOKUP($C1062, Egli_UPEC_metadata_provided!$A$2:$M$826, 13, FALSE)</f>
        <v>#N/A</v>
      </c>
      <c r="O1062" t="e">
        <f>VLOOKUP($C1062, Egli_UPEC_metadata_provided!$A$2:$N$826, 14, FALSE)</f>
        <v>#N/A</v>
      </c>
    </row>
    <row r="1063" spans="1:15" x14ac:dyDescent="0.2">
      <c r="A1063" t="s">
        <v>3160</v>
      </c>
      <c r="B1063" t="s">
        <v>4308</v>
      </c>
      <c r="C1063" t="s">
        <v>4308</v>
      </c>
      <c r="D1063" t="e">
        <f>VLOOKUP($C1063, Egli_UPEC_metadata_provided!$A$2:$M$826, 3, FALSE)</f>
        <v>#N/A</v>
      </c>
      <c r="E1063" t="e">
        <f>VLOOKUP($C1063, Egli_UPEC_metadata_provided!$A$2:$M$826, 4, FALSE)</f>
        <v>#N/A</v>
      </c>
      <c r="F1063" t="e">
        <f>VLOOKUP($C1063, Egli_UPEC_metadata_provided!$A$2:$M$826, 5, FALSE)</f>
        <v>#N/A</v>
      </c>
      <c r="G1063" t="e">
        <f>VLOOKUP($C1063, Egli_UPEC_metadata_provided!$A$2:$M$826, 6, FALSE)</f>
        <v>#N/A</v>
      </c>
      <c r="H1063" t="e">
        <f>VLOOKUP($C1063, Egli_UPEC_metadata_provided!$A$2:$M$826, 7, FALSE)</f>
        <v>#N/A</v>
      </c>
      <c r="I1063" t="e">
        <f>VLOOKUP($C1063, Egli_UPEC_metadata_provided!$A$2:$M$826, 8, FALSE)</f>
        <v>#N/A</v>
      </c>
      <c r="J1063" t="e">
        <f>VLOOKUP($C1063, Egli_UPEC_metadata_provided!$A$2:$M$826, 9, FALSE)</f>
        <v>#N/A</v>
      </c>
      <c r="K1063" t="e">
        <f>VLOOKUP($C1063, Egli_UPEC_metadata_provided!$A$2:$M$826, 10, FALSE)</f>
        <v>#N/A</v>
      </c>
      <c r="L1063" t="e">
        <f>VLOOKUP($C1063, Egli_UPEC_metadata_provided!$A$2:$M$826, 11, FALSE)</f>
        <v>#N/A</v>
      </c>
      <c r="M1063" t="e">
        <f>VLOOKUP($C1063, Egli_UPEC_metadata_provided!$A$2:$M$826, 12, FALSE)</f>
        <v>#N/A</v>
      </c>
      <c r="N1063" t="e">
        <f>VLOOKUP($C1063, Egli_UPEC_metadata_provided!$A$2:$M$826, 13, FALSE)</f>
        <v>#N/A</v>
      </c>
      <c r="O1063" t="e">
        <f>VLOOKUP($C1063, Egli_UPEC_metadata_provided!$A$2:$N$826, 14, FALSE)</f>
        <v>#N/A</v>
      </c>
    </row>
    <row r="1064" spans="1:15" x14ac:dyDescent="0.2">
      <c r="A1064" t="s">
        <v>3167</v>
      </c>
      <c r="B1064" t="s">
        <v>4136</v>
      </c>
      <c r="C1064" t="s">
        <v>4136</v>
      </c>
      <c r="D1064" t="e">
        <f>VLOOKUP($C1064, Egli_UPEC_metadata_provided!$A$2:$M$826, 3, FALSE)</f>
        <v>#N/A</v>
      </c>
      <c r="E1064" t="e">
        <f>VLOOKUP($C1064, Egli_UPEC_metadata_provided!$A$2:$M$826, 4, FALSE)</f>
        <v>#N/A</v>
      </c>
      <c r="F1064" t="e">
        <f>VLOOKUP($C1064, Egli_UPEC_metadata_provided!$A$2:$M$826, 5, FALSE)</f>
        <v>#N/A</v>
      </c>
      <c r="G1064" t="e">
        <f>VLOOKUP($C1064, Egli_UPEC_metadata_provided!$A$2:$M$826, 6, FALSE)</f>
        <v>#N/A</v>
      </c>
      <c r="H1064" t="e">
        <f>VLOOKUP($C1064, Egli_UPEC_metadata_provided!$A$2:$M$826, 7, FALSE)</f>
        <v>#N/A</v>
      </c>
      <c r="I1064" t="e">
        <f>VLOOKUP($C1064, Egli_UPEC_metadata_provided!$A$2:$M$826, 8, FALSE)</f>
        <v>#N/A</v>
      </c>
      <c r="J1064" t="e">
        <f>VLOOKUP($C1064, Egli_UPEC_metadata_provided!$A$2:$M$826, 9, FALSE)</f>
        <v>#N/A</v>
      </c>
      <c r="K1064" t="e">
        <f>VLOOKUP($C1064, Egli_UPEC_metadata_provided!$A$2:$M$826, 10, FALSE)</f>
        <v>#N/A</v>
      </c>
      <c r="L1064" t="e">
        <f>VLOOKUP($C1064, Egli_UPEC_metadata_provided!$A$2:$M$826, 11, FALSE)</f>
        <v>#N/A</v>
      </c>
      <c r="M1064" t="e">
        <f>VLOOKUP($C1064, Egli_UPEC_metadata_provided!$A$2:$M$826, 12, FALSE)</f>
        <v>#N/A</v>
      </c>
      <c r="N1064" t="e">
        <f>VLOOKUP($C1064, Egli_UPEC_metadata_provided!$A$2:$M$826, 13, FALSE)</f>
        <v>#N/A</v>
      </c>
      <c r="O1064" t="e">
        <f>VLOOKUP($C1064, Egli_UPEC_metadata_provided!$A$2:$N$826, 14, FALSE)</f>
        <v>#N/A</v>
      </c>
    </row>
    <row r="1065" spans="1:15" x14ac:dyDescent="0.2">
      <c r="A1065" t="s">
        <v>3174</v>
      </c>
      <c r="B1065" t="s">
        <v>4137</v>
      </c>
      <c r="C1065" t="s">
        <v>4137</v>
      </c>
      <c r="D1065" t="e">
        <f>VLOOKUP($C1065, Egli_UPEC_metadata_provided!$A$2:$M$826, 3, FALSE)</f>
        <v>#N/A</v>
      </c>
      <c r="E1065" t="e">
        <f>VLOOKUP($C1065, Egli_UPEC_metadata_provided!$A$2:$M$826, 4, FALSE)</f>
        <v>#N/A</v>
      </c>
      <c r="F1065" t="e">
        <f>VLOOKUP($C1065, Egli_UPEC_metadata_provided!$A$2:$M$826, 5, FALSE)</f>
        <v>#N/A</v>
      </c>
      <c r="G1065" t="e">
        <f>VLOOKUP($C1065, Egli_UPEC_metadata_provided!$A$2:$M$826, 6, FALSE)</f>
        <v>#N/A</v>
      </c>
      <c r="H1065" t="e">
        <f>VLOOKUP($C1065, Egli_UPEC_metadata_provided!$A$2:$M$826, 7, FALSE)</f>
        <v>#N/A</v>
      </c>
      <c r="I1065" t="e">
        <f>VLOOKUP($C1065, Egli_UPEC_metadata_provided!$A$2:$M$826, 8, FALSE)</f>
        <v>#N/A</v>
      </c>
      <c r="J1065" t="e">
        <f>VLOOKUP($C1065, Egli_UPEC_metadata_provided!$A$2:$M$826, 9, FALSE)</f>
        <v>#N/A</v>
      </c>
      <c r="K1065" t="e">
        <f>VLOOKUP($C1065, Egli_UPEC_metadata_provided!$A$2:$M$826, 10, FALSE)</f>
        <v>#N/A</v>
      </c>
      <c r="L1065" t="e">
        <f>VLOOKUP($C1065, Egli_UPEC_metadata_provided!$A$2:$M$826, 11, FALSE)</f>
        <v>#N/A</v>
      </c>
      <c r="M1065" t="e">
        <f>VLOOKUP($C1065, Egli_UPEC_metadata_provided!$A$2:$M$826, 12, FALSE)</f>
        <v>#N/A</v>
      </c>
      <c r="N1065" t="e">
        <f>VLOOKUP($C1065, Egli_UPEC_metadata_provided!$A$2:$M$826, 13, FALSE)</f>
        <v>#N/A</v>
      </c>
      <c r="O1065" t="e">
        <f>VLOOKUP($C1065, Egli_UPEC_metadata_provided!$A$2:$N$826, 14, FALSE)</f>
        <v>#N/A</v>
      </c>
    </row>
    <row r="1066" spans="1:15" x14ac:dyDescent="0.2">
      <c r="A1066" t="s">
        <v>3177</v>
      </c>
      <c r="B1066" t="s">
        <v>4138</v>
      </c>
      <c r="C1066" t="s">
        <v>4138</v>
      </c>
      <c r="D1066" t="e">
        <f>VLOOKUP($C1066, Egli_UPEC_metadata_provided!$A$2:$M$826, 3, FALSE)</f>
        <v>#N/A</v>
      </c>
      <c r="E1066" t="e">
        <f>VLOOKUP($C1066, Egli_UPEC_metadata_provided!$A$2:$M$826, 4, FALSE)</f>
        <v>#N/A</v>
      </c>
      <c r="F1066" t="e">
        <f>VLOOKUP($C1066, Egli_UPEC_metadata_provided!$A$2:$M$826, 5, FALSE)</f>
        <v>#N/A</v>
      </c>
      <c r="G1066" t="e">
        <f>VLOOKUP($C1066, Egli_UPEC_metadata_provided!$A$2:$M$826, 6, FALSE)</f>
        <v>#N/A</v>
      </c>
      <c r="H1066" t="e">
        <f>VLOOKUP($C1066, Egli_UPEC_metadata_provided!$A$2:$M$826, 7, FALSE)</f>
        <v>#N/A</v>
      </c>
      <c r="I1066" t="e">
        <f>VLOOKUP($C1066, Egli_UPEC_metadata_provided!$A$2:$M$826, 8, FALSE)</f>
        <v>#N/A</v>
      </c>
      <c r="J1066" t="e">
        <f>VLOOKUP($C1066, Egli_UPEC_metadata_provided!$A$2:$M$826, 9, FALSE)</f>
        <v>#N/A</v>
      </c>
      <c r="K1066" t="e">
        <f>VLOOKUP($C1066, Egli_UPEC_metadata_provided!$A$2:$M$826, 10, FALSE)</f>
        <v>#N/A</v>
      </c>
      <c r="L1066" t="e">
        <f>VLOOKUP($C1066, Egli_UPEC_metadata_provided!$A$2:$M$826, 11, FALSE)</f>
        <v>#N/A</v>
      </c>
      <c r="M1066" t="e">
        <f>VLOOKUP($C1066, Egli_UPEC_metadata_provided!$A$2:$M$826, 12, FALSE)</f>
        <v>#N/A</v>
      </c>
      <c r="N1066" t="e">
        <f>VLOOKUP($C1066, Egli_UPEC_metadata_provided!$A$2:$M$826, 13, FALSE)</f>
        <v>#N/A</v>
      </c>
      <c r="O1066" t="e">
        <f>VLOOKUP($C1066, Egli_UPEC_metadata_provided!$A$2:$N$826, 14, FALSE)</f>
        <v>#N/A</v>
      </c>
    </row>
    <row r="1067" spans="1:15" x14ac:dyDescent="0.2">
      <c r="A1067" t="s">
        <v>3189</v>
      </c>
      <c r="B1067" t="s">
        <v>4310</v>
      </c>
      <c r="C1067" t="s">
        <v>4310</v>
      </c>
      <c r="D1067" t="e">
        <f>VLOOKUP($C1067, Egli_UPEC_metadata_provided!$A$2:$M$826, 3, FALSE)</f>
        <v>#N/A</v>
      </c>
      <c r="E1067" t="e">
        <f>VLOOKUP($C1067, Egli_UPEC_metadata_provided!$A$2:$M$826, 4, FALSE)</f>
        <v>#N/A</v>
      </c>
      <c r="F1067" t="e">
        <f>VLOOKUP($C1067, Egli_UPEC_metadata_provided!$A$2:$M$826, 5, FALSE)</f>
        <v>#N/A</v>
      </c>
      <c r="G1067" t="e">
        <f>VLOOKUP($C1067, Egli_UPEC_metadata_provided!$A$2:$M$826, 6, FALSE)</f>
        <v>#N/A</v>
      </c>
      <c r="H1067" t="e">
        <f>VLOOKUP($C1067, Egli_UPEC_metadata_provided!$A$2:$M$826, 7, FALSE)</f>
        <v>#N/A</v>
      </c>
      <c r="I1067" t="e">
        <f>VLOOKUP($C1067, Egli_UPEC_metadata_provided!$A$2:$M$826, 8, FALSE)</f>
        <v>#N/A</v>
      </c>
      <c r="J1067" t="e">
        <f>VLOOKUP($C1067, Egli_UPEC_metadata_provided!$A$2:$M$826, 9, FALSE)</f>
        <v>#N/A</v>
      </c>
      <c r="K1067" t="e">
        <f>VLOOKUP($C1067, Egli_UPEC_metadata_provided!$A$2:$M$826, 10, FALSE)</f>
        <v>#N/A</v>
      </c>
      <c r="L1067" t="e">
        <f>VLOOKUP($C1067, Egli_UPEC_metadata_provided!$A$2:$M$826, 11, FALSE)</f>
        <v>#N/A</v>
      </c>
      <c r="M1067" t="e">
        <f>VLOOKUP($C1067, Egli_UPEC_metadata_provided!$A$2:$M$826, 12, FALSE)</f>
        <v>#N/A</v>
      </c>
      <c r="N1067" t="e">
        <f>VLOOKUP($C1067, Egli_UPEC_metadata_provided!$A$2:$M$826, 13, FALSE)</f>
        <v>#N/A</v>
      </c>
      <c r="O1067" t="e">
        <f>VLOOKUP($C1067, Egli_UPEC_metadata_provided!$A$2:$N$826, 14, FALSE)</f>
        <v>#N/A</v>
      </c>
    </row>
    <row r="1068" spans="1:15" x14ac:dyDescent="0.2">
      <c r="A1068" t="s">
        <v>3192</v>
      </c>
      <c r="B1068" t="s">
        <v>4311</v>
      </c>
      <c r="C1068" t="s">
        <v>4311</v>
      </c>
      <c r="D1068" t="e">
        <f>VLOOKUP($C1068, Egli_UPEC_metadata_provided!$A$2:$M$826, 3, FALSE)</f>
        <v>#N/A</v>
      </c>
      <c r="E1068" t="e">
        <f>VLOOKUP($C1068, Egli_UPEC_metadata_provided!$A$2:$M$826, 4, FALSE)</f>
        <v>#N/A</v>
      </c>
      <c r="F1068" t="e">
        <f>VLOOKUP($C1068, Egli_UPEC_metadata_provided!$A$2:$M$826, 5, FALSE)</f>
        <v>#N/A</v>
      </c>
      <c r="G1068" t="e">
        <f>VLOOKUP($C1068, Egli_UPEC_metadata_provided!$A$2:$M$826, 6, FALSE)</f>
        <v>#N/A</v>
      </c>
      <c r="H1068" t="e">
        <f>VLOOKUP($C1068, Egli_UPEC_metadata_provided!$A$2:$M$826, 7, FALSE)</f>
        <v>#N/A</v>
      </c>
      <c r="I1068" t="e">
        <f>VLOOKUP($C1068, Egli_UPEC_metadata_provided!$A$2:$M$826, 8, FALSE)</f>
        <v>#N/A</v>
      </c>
      <c r="J1068" t="e">
        <f>VLOOKUP($C1068, Egli_UPEC_metadata_provided!$A$2:$M$826, 9, FALSE)</f>
        <v>#N/A</v>
      </c>
      <c r="K1068" t="e">
        <f>VLOOKUP($C1068, Egli_UPEC_metadata_provided!$A$2:$M$826, 10, FALSE)</f>
        <v>#N/A</v>
      </c>
      <c r="L1068" t="e">
        <f>VLOOKUP($C1068, Egli_UPEC_metadata_provided!$A$2:$M$826, 11, FALSE)</f>
        <v>#N/A</v>
      </c>
      <c r="M1068" t="e">
        <f>VLOOKUP($C1068, Egli_UPEC_metadata_provided!$A$2:$M$826, 12, FALSE)</f>
        <v>#N/A</v>
      </c>
      <c r="N1068" t="e">
        <f>VLOOKUP($C1068, Egli_UPEC_metadata_provided!$A$2:$M$826, 13, FALSE)</f>
        <v>#N/A</v>
      </c>
      <c r="O1068" t="e">
        <f>VLOOKUP($C1068, Egli_UPEC_metadata_provided!$A$2:$N$826, 14, FALSE)</f>
        <v>#N/A</v>
      </c>
    </row>
    <row r="1069" spans="1:15" x14ac:dyDescent="0.2">
      <c r="A1069" t="s">
        <v>3224</v>
      </c>
      <c r="B1069" t="s">
        <v>4118</v>
      </c>
      <c r="C1069" t="s">
        <v>4118</v>
      </c>
      <c r="D1069" t="e">
        <f>VLOOKUP($C1069, Egli_UPEC_metadata_provided!$A$2:$M$826, 3, FALSE)</f>
        <v>#N/A</v>
      </c>
      <c r="E1069" t="e">
        <f>VLOOKUP($C1069, Egli_UPEC_metadata_provided!$A$2:$M$826, 4, FALSE)</f>
        <v>#N/A</v>
      </c>
      <c r="F1069" t="e">
        <f>VLOOKUP($C1069, Egli_UPEC_metadata_provided!$A$2:$M$826, 5, FALSE)</f>
        <v>#N/A</v>
      </c>
      <c r="G1069" t="e">
        <f>VLOOKUP($C1069, Egli_UPEC_metadata_provided!$A$2:$M$826, 6, FALSE)</f>
        <v>#N/A</v>
      </c>
      <c r="H1069" t="e">
        <f>VLOOKUP($C1069, Egli_UPEC_metadata_provided!$A$2:$M$826, 7, FALSE)</f>
        <v>#N/A</v>
      </c>
      <c r="I1069" t="e">
        <f>VLOOKUP($C1069, Egli_UPEC_metadata_provided!$A$2:$M$826, 8, FALSE)</f>
        <v>#N/A</v>
      </c>
      <c r="J1069" t="e">
        <f>VLOOKUP($C1069, Egli_UPEC_metadata_provided!$A$2:$M$826, 9, FALSE)</f>
        <v>#N/A</v>
      </c>
      <c r="K1069" t="e">
        <f>VLOOKUP($C1069, Egli_UPEC_metadata_provided!$A$2:$M$826, 10, FALSE)</f>
        <v>#N/A</v>
      </c>
      <c r="L1069" t="e">
        <f>VLOOKUP($C1069, Egli_UPEC_metadata_provided!$A$2:$M$826, 11, FALSE)</f>
        <v>#N/A</v>
      </c>
      <c r="M1069" t="e">
        <f>VLOOKUP($C1069, Egli_UPEC_metadata_provided!$A$2:$M$826, 12, FALSE)</f>
        <v>#N/A</v>
      </c>
      <c r="N1069" t="e">
        <f>VLOOKUP($C1069, Egli_UPEC_metadata_provided!$A$2:$M$826, 13, FALSE)</f>
        <v>#N/A</v>
      </c>
      <c r="O1069" t="e">
        <f>VLOOKUP($C1069, Egli_UPEC_metadata_provided!$A$2:$N$826, 14, FALSE)</f>
        <v>#N/A</v>
      </c>
    </row>
    <row r="1070" spans="1:15" x14ac:dyDescent="0.2">
      <c r="A1070" t="s">
        <v>3233</v>
      </c>
      <c r="B1070" t="s">
        <v>4145</v>
      </c>
      <c r="C1070" t="s">
        <v>4145</v>
      </c>
      <c r="D1070" t="e">
        <f>VLOOKUP($C1070, Egli_UPEC_metadata_provided!$A$2:$M$826, 3, FALSE)</f>
        <v>#N/A</v>
      </c>
      <c r="E1070" t="e">
        <f>VLOOKUP($C1070, Egli_UPEC_metadata_provided!$A$2:$M$826, 4, FALSE)</f>
        <v>#N/A</v>
      </c>
      <c r="F1070" t="e">
        <f>VLOOKUP($C1070, Egli_UPEC_metadata_provided!$A$2:$M$826, 5, FALSE)</f>
        <v>#N/A</v>
      </c>
      <c r="G1070" t="e">
        <f>VLOOKUP($C1070, Egli_UPEC_metadata_provided!$A$2:$M$826, 6, FALSE)</f>
        <v>#N/A</v>
      </c>
      <c r="H1070" t="e">
        <f>VLOOKUP($C1070, Egli_UPEC_metadata_provided!$A$2:$M$826, 7, FALSE)</f>
        <v>#N/A</v>
      </c>
      <c r="I1070" t="e">
        <f>VLOOKUP($C1070, Egli_UPEC_metadata_provided!$A$2:$M$826, 8, FALSE)</f>
        <v>#N/A</v>
      </c>
      <c r="J1070" t="e">
        <f>VLOOKUP($C1070, Egli_UPEC_metadata_provided!$A$2:$M$826, 9, FALSE)</f>
        <v>#N/A</v>
      </c>
      <c r="K1070" t="e">
        <f>VLOOKUP($C1070, Egli_UPEC_metadata_provided!$A$2:$M$826, 10, FALSE)</f>
        <v>#N/A</v>
      </c>
      <c r="L1070" t="e">
        <f>VLOOKUP($C1070, Egli_UPEC_metadata_provided!$A$2:$M$826, 11, FALSE)</f>
        <v>#N/A</v>
      </c>
      <c r="M1070" t="e">
        <f>VLOOKUP($C1070, Egli_UPEC_metadata_provided!$A$2:$M$826, 12, FALSE)</f>
        <v>#N/A</v>
      </c>
      <c r="N1070" t="e">
        <f>VLOOKUP($C1070, Egli_UPEC_metadata_provided!$A$2:$M$826, 13, FALSE)</f>
        <v>#N/A</v>
      </c>
      <c r="O1070" t="e">
        <f>VLOOKUP($C1070, Egli_UPEC_metadata_provided!$A$2:$N$826, 14, FALSE)</f>
        <v>#N/A</v>
      </c>
    </row>
    <row r="1071" spans="1:15" x14ac:dyDescent="0.2">
      <c r="A1071" t="s">
        <v>3242</v>
      </c>
      <c r="B1071" t="s">
        <v>4313</v>
      </c>
      <c r="C1071" t="s">
        <v>4313</v>
      </c>
      <c r="D1071" t="e">
        <f>VLOOKUP($C1071, Egli_UPEC_metadata_provided!$A$2:$M$826, 3, FALSE)</f>
        <v>#N/A</v>
      </c>
      <c r="E1071" t="e">
        <f>VLOOKUP($C1071, Egli_UPEC_metadata_provided!$A$2:$M$826, 4, FALSE)</f>
        <v>#N/A</v>
      </c>
      <c r="F1071" t="e">
        <f>VLOOKUP($C1071, Egli_UPEC_metadata_provided!$A$2:$M$826, 5, FALSE)</f>
        <v>#N/A</v>
      </c>
      <c r="G1071" t="e">
        <f>VLOOKUP($C1071, Egli_UPEC_metadata_provided!$A$2:$M$826, 6, FALSE)</f>
        <v>#N/A</v>
      </c>
      <c r="H1071" t="e">
        <f>VLOOKUP($C1071, Egli_UPEC_metadata_provided!$A$2:$M$826, 7, FALSE)</f>
        <v>#N/A</v>
      </c>
      <c r="I1071" t="e">
        <f>VLOOKUP($C1071, Egli_UPEC_metadata_provided!$A$2:$M$826, 8, FALSE)</f>
        <v>#N/A</v>
      </c>
      <c r="J1071" t="e">
        <f>VLOOKUP($C1071, Egli_UPEC_metadata_provided!$A$2:$M$826, 9, FALSE)</f>
        <v>#N/A</v>
      </c>
      <c r="K1071" t="e">
        <f>VLOOKUP($C1071, Egli_UPEC_metadata_provided!$A$2:$M$826, 10, FALSE)</f>
        <v>#N/A</v>
      </c>
      <c r="L1071" t="e">
        <f>VLOOKUP($C1071, Egli_UPEC_metadata_provided!$A$2:$M$826, 11, FALSE)</f>
        <v>#N/A</v>
      </c>
      <c r="M1071" t="e">
        <f>VLOOKUP($C1071, Egli_UPEC_metadata_provided!$A$2:$M$826, 12, FALSE)</f>
        <v>#N/A</v>
      </c>
      <c r="N1071" t="e">
        <f>VLOOKUP($C1071, Egli_UPEC_metadata_provided!$A$2:$M$826, 13, FALSE)</f>
        <v>#N/A</v>
      </c>
      <c r="O1071" t="e">
        <f>VLOOKUP($C1071, Egli_UPEC_metadata_provided!$A$2:$N$826, 14, FALSE)</f>
        <v>#N/A</v>
      </c>
    </row>
    <row r="1072" spans="1:15" x14ac:dyDescent="0.2">
      <c r="A1072" t="s">
        <v>3249</v>
      </c>
      <c r="B1072" t="s">
        <v>4119</v>
      </c>
      <c r="C1072" t="s">
        <v>4119</v>
      </c>
      <c r="D1072" t="e">
        <f>VLOOKUP($C1072, Egli_UPEC_metadata_provided!$A$2:$M$826, 3, FALSE)</f>
        <v>#N/A</v>
      </c>
      <c r="E1072" t="e">
        <f>VLOOKUP($C1072, Egli_UPEC_metadata_provided!$A$2:$M$826, 4, FALSE)</f>
        <v>#N/A</v>
      </c>
      <c r="F1072" t="e">
        <f>VLOOKUP($C1072, Egli_UPEC_metadata_provided!$A$2:$M$826, 5, FALSE)</f>
        <v>#N/A</v>
      </c>
      <c r="G1072" t="e">
        <f>VLOOKUP($C1072, Egli_UPEC_metadata_provided!$A$2:$M$826, 6, FALSE)</f>
        <v>#N/A</v>
      </c>
      <c r="H1072" t="e">
        <f>VLOOKUP($C1072, Egli_UPEC_metadata_provided!$A$2:$M$826, 7, FALSE)</f>
        <v>#N/A</v>
      </c>
      <c r="I1072" t="e">
        <f>VLOOKUP($C1072, Egli_UPEC_metadata_provided!$A$2:$M$826, 8, FALSE)</f>
        <v>#N/A</v>
      </c>
      <c r="J1072" t="e">
        <f>VLOOKUP($C1072, Egli_UPEC_metadata_provided!$A$2:$M$826, 9, FALSE)</f>
        <v>#N/A</v>
      </c>
      <c r="K1072" t="e">
        <f>VLOOKUP($C1072, Egli_UPEC_metadata_provided!$A$2:$M$826, 10, FALSE)</f>
        <v>#N/A</v>
      </c>
      <c r="L1072" t="e">
        <f>VLOOKUP($C1072, Egli_UPEC_metadata_provided!$A$2:$M$826, 11, FALSE)</f>
        <v>#N/A</v>
      </c>
      <c r="M1072" t="e">
        <f>VLOOKUP($C1072, Egli_UPEC_metadata_provided!$A$2:$M$826, 12, FALSE)</f>
        <v>#N/A</v>
      </c>
      <c r="N1072" t="e">
        <f>VLOOKUP($C1072, Egli_UPEC_metadata_provided!$A$2:$M$826, 13, FALSE)</f>
        <v>#N/A</v>
      </c>
      <c r="O1072" t="e">
        <f>VLOOKUP($C1072, Egli_UPEC_metadata_provided!$A$2:$N$826, 14, FALSE)</f>
        <v>#N/A</v>
      </c>
    </row>
    <row r="1073" spans="1:15" x14ac:dyDescent="0.2">
      <c r="A1073" t="s">
        <v>3260</v>
      </c>
      <c r="B1073" t="s">
        <v>4314</v>
      </c>
      <c r="C1073" t="s">
        <v>4314</v>
      </c>
      <c r="D1073" t="e">
        <f>VLOOKUP($C1073, Egli_UPEC_metadata_provided!$A$2:$M$826, 3, FALSE)</f>
        <v>#N/A</v>
      </c>
      <c r="E1073" t="e">
        <f>VLOOKUP($C1073, Egli_UPEC_metadata_provided!$A$2:$M$826, 4, FALSE)</f>
        <v>#N/A</v>
      </c>
      <c r="F1073" t="e">
        <f>VLOOKUP($C1073, Egli_UPEC_metadata_provided!$A$2:$M$826, 5, FALSE)</f>
        <v>#N/A</v>
      </c>
      <c r="G1073" t="e">
        <f>VLOOKUP($C1073, Egli_UPEC_metadata_provided!$A$2:$M$826, 6, FALSE)</f>
        <v>#N/A</v>
      </c>
      <c r="H1073" t="e">
        <f>VLOOKUP($C1073, Egli_UPEC_metadata_provided!$A$2:$M$826, 7, FALSE)</f>
        <v>#N/A</v>
      </c>
      <c r="I1073" t="e">
        <f>VLOOKUP($C1073, Egli_UPEC_metadata_provided!$A$2:$M$826, 8, FALSE)</f>
        <v>#N/A</v>
      </c>
      <c r="J1073" t="e">
        <f>VLOOKUP($C1073, Egli_UPEC_metadata_provided!$A$2:$M$826, 9, FALSE)</f>
        <v>#N/A</v>
      </c>
      <c r="K1073" t="e">
        <f>VLOOKUP($C1073, Egli_UPEC_metadata_provided!$A$2:$M$826, 10, FALSE)</f>
        <v>#N/A</v>
      </c>
      <c r="L1073" t="e">
        <f>VLOOKUP($C1073, Egli_UPEC_metadata_provided!$A$2:$M$826, 11, FALSE)</f>
        <v>#N/A</v>
      </c>
      <c r="M1073" t="e">
        <f>VLOOKUP($C1073, Egli_UPEC_metadata_provided!$A$2:$M$826, 12, FALSE)</f>
        <v>#N/A</v>
      </c>
      <c r="N1073" t="e">
        <f>VLOOKUP($C1073, Egli_UPEC_metadata_provided!$A$2:$M$826, 13, FALSE)</f>
        <v>#N/A</v>
      </c>
      <c r="O1073" t="e">
        <f>VLOOKUP($C1073, Egli_UPEC_metadata_provided!$A$2:$N$826, 14, FALSE)</f>
        <v>#N/A</v>
      </c>
    </row>
    <row r="1074" spans="1:15" x14ac:dyDescent="0.2">
      <c r="A1074" t="s">
        <v>3263</v>
      </c>
      <c r="B1074" t="s">
        <v>4120</v>
      </c>
      <c r="C1074" t="s">
        <v>4120</v>
      </c>
      <c r="D1074" t="e">
        <f>VLOOKUP($C1074, Egli_UPEC_metadata_provided!$A$2:$M$826, 3, FALSE)</f>
        <v>#N/A</v>
      </c>
      <c r="E1074" t="e">
        <f>VLOOKUP($C1074, Egli_UPEC_metadata_provided!$A$2:$M$826, 4, FALSE)</f>
        <v>#N/A</v>
      </c>
      <c r="F1074" t="e">
        <f>VLOOKUP($C1074, Egli_UPEC_metadata_provided!$A$2:$M$826, 5, FALSE)</f>
        <v>#N/A</v>
      </c>
      <c r="G1074" t="e">
        <f>VLOOKUP($C1074, Egli_UPEC_metadata_provided!$A$2:$M$826, 6, FALSE)</f>
        <v>#N/A</v>
      </c>
      <c r="H1074" t="e">
        <f>VLOOKUP($C1074, Egli_UPEC_metadata_provided!$A$2:$M$826, 7, FALSE)</f>
        <v>#N/A</v>
      </c>
      <c r="I1074" t="e">
        <f>VLOOKUP($C1074, Egli_UPEC_metadata_provided!$A$2:$M$826, 8, FALSE)</f>
        <v>#N/A</v>
      </c>
      <c r="J1074" t="e">
        <f>VLOOKUP($C1074, Egli_UPEC_metadata_provided!$A$2:$M$826, 9, FALSE)</f>
        <v>#N/A</v>
      </c>
      <c r="K1074" t="e">
        <f>VLOOKUP($C1074, Egli_UPEC_metadata_provided!$A$2:$M$826, 10, FALSE)</f>
        <v>#N/A</v>
      </c>
      <c r="L1074" t="e">
        <f>VLOOKUP($C1074, Egli_UPEC_metadata_provided!$A$2:$M$826, 11, FALSE)</f>
        <v>#N/A</v>
      </c>
      <c r="M1074" t="e">
        <f>VLOOKUP($C1074, Egli_UPEC_metadata_provided!$A$2:$M$826, 12, FALSE)</f>
        <v>#N/A</v>
      </c>
      <c r="N1074" t="e">
        <f>VLOOKUP($C1074, Egli_UPEC_metadata_provided!$A$2:$M$826, 13, FALSE)</f>
        <v>#N/A</v>
      </c>
      <c r="O1074" t="e">
        <f>VLOOKUP($C1074, Egli_UPEC_metadata_provided!$A$2:$N$826, 14, FALSE)</f>
        <v>#N/A</v>
      </c>
    </row>
    <row r="1075" spans="1:15" x14ac:dyDescent="0.2">
      <c r="A1075" t="s">
        <v>3272</v>
      </c>
      <c r="B1075" t="s">
        <v>4315</v>
      </c>
      <c r="C1075" t="s">
        <v>4315</v>
      </c>
      <c r="D1075" t="e">
        <f>VLOOKUP($C1075, Egli_UPEC_metadata_provided!$A$2:$M$826, 3, FALSE)</f>
        <v>#N/A</v>
      </c>
      <c r="E1075" t="e">
        <f>VLOOKUP($C1075, Egli_UPEC_metadata_provided!$A$2:$M$826, 4, FALSE)</f>
        <v>#N/A</v>
      </c>
      <c r="F1075" t="e">
        <f>VLOOKUP($C1075, Egli_UPEC_metadata_provided!$A$2:$M$826, 5, FALSE)</f>
        <v>#N/A</v>
      </c>
      <c r="G1075" t="e">
        <f>VLOOKUP($C1075, Egli_UPEC_metadata_provided!$A$2:$M$826, 6, FALSE)</f>
        <v>#N/A</v>
      </c>
      <c r="H1075" t="e">
        <f>VLOOKUP($C1075, Egli_UPEC_metadata_provided!$A$2:$M$826, 7, FALSE)</f>
        <v>#N/A</v>
      </c>
      <c r="I1075" t="e">
        <f>VLOOKUP($C1075, Egli_UPEC_metadata_provided!$A$2:$M$826, 8, FALSE)</f>
        <v>#N/A</v>
      </c>
      <c r="J1075" t="e">
        <f>VLOOKUP($C1075, Egli_UPEC_metadata_provided!$A$2:$M$826, 9, FALSE)</f>
        <v>#N/A</v>
      </c>
      <c r="K1075" t="e">
        <f>VLOOKUP($C1075, Egli_UPEC_metadata_provided!$A$2:$M$826, 10, FALSE)</f>
        <v>#N/A</v>
      </c>
      <c r="L1075" t="e">
        <f>VLOOKUP($C1075, Egli_UPEC_metadata_provided!$A$2:$M$826, 11, FALSE)</f>
        <v>#N/A</v>
      </c>
      <c r="M1075" t="e">
        <f>VLOOKUP($C1075, Egli_UPEC_metadata_provided!$A$2:$M$826, 12, FALSE)</f>
        <v>#N/A</v>
      </c>
      <c r="N1075" t="e">
        <f>VLOOKUP($C1075, Egli_UPEC_metadata_provided!$A$2:$M$826, 13, FALSE)</f>
        <v>#N/A</v>
      </c>
      <c r="O1075" t="e">
        <f>VLOOKUP($C1075, Egli_UPEC_metadata_provided!$A$2:$N$826, 14, FALSE)</f>
        <v>#N/A</v>
      </c>
    </row>
    <row r="1076" spans="1:15" x14ac:dyDescent="0.2">
      <c r="A1076" t="s">
        <v>3275</v>
      </c>
      <c r="B1076" t="s">
        <v>4148</v>
      </c>
      <c r="C1076" t="s">
        <v>4148</v>
      </c>
      <c r="D1076" t="e">
        <f>VLOOKUP($C1076, Egli_UPEC_metadata_provided!$A$2:$M$826, 3, FALSE)</f>
        <v>#N/A</v>
      </c>
      <c r="E1076" t="e">
        <f>VLOOKUP($C1076, Egli_UPEC_metadata_provided!$A$2:$M$826, 4, FALSE)</f>
        <v>#N/A</v>
      </c>
      <c r="F1076" t="e">
        <f>VLOOKUP($C1076, Egli_UPEC_metadata_provided!$A$2:$M$826, 5, FALSE)</f>
        <v>#N/A</v>
      </c>
      <c r="G1076" t="e">
        <f>VLOOKUP($C1076, Egli_UPEC_metadata_provided!$A$2:$M$826, 6, FALSE)</f>
        <v>#N/A</v>
      </c>
      <c r="H1076" t="e">
        <f>VLOOKUP($C1076, Egli_UPEC_metadata_provided!$A$2:$M$826, 7, FALSE)</f>
        <v>#N/A</v>
      </c>
      <c r="I1076" t="e">
        <f>VLOOKUP($C1076, Egli_UPEC_metadata_provided!$A$2:$M$826, 8, FALSE)</f>
        <v>#N/A</v>
      </c>
      <c r="J1076" t="e">
        <f>VLOOKUP($C1076, Egli_UPEC_metadata_provided!$A$2:$M$826, 9, FALSE)</f>
        <v>#N/A</v>
      </c>
      <c r="K1076" t="e">
        <f>VLOOKUP($C1076, Egli_UPEC_metadata_provided!$A$2:$M$826, 10, FALSE)</f>
        <v>#N/A</v>
      </c>
      <c r="L1076" t="e">
        <f>VLOOKUP($C1076, Egli_UPEC_metadata_provided!$A$2:$M$826, 11, FALSE)</f>
        <v>#N/A</v>
      </c>
      <c r="M1076" t="e">
        <f>VLOOKUP($C1076, Egli_UPEC_metadata_provided!$A$2:$M$826, 12, FALSE)</f>
        <v>#N/A</v>
      </c>
      <c r="N1076" t="e">
        <f>VLOOKUP($C1076, Egli_UPEC_metadata_provided!$A$2:$M$826, 13, FALSE)</f>
        <v>#N/A</v>
      </c>
      <c r="O1076" t="e">
        <f>VLOOKUP($C1076, Egli_UPEC_metadata_provided!$A$2:$N$826, 14, FALSE)</f>
        <v>#N/A</v>
      </c>
    </row>
    <row r="1077" spans="1:15" x14ac:dyDescent="0.2">
      <c r="A1077" t="s">
        <v>3278</v>
      </c>
      <c r="B1077" t="s">
        <v>4121</v>
      </c>
      <c r="C1077" t="s">
        <v>4121</v>
      </c>
      <c r="D1077" t="e">
        <f>VLOOKUP($C1077, Egli_UPEC_metadata_provided!$A$2:$M$826, 3, FALSE)</f>
        <v>#N/A</v>
      </c>
      <c r="E1077" t="e">
        <f>VLOOKUP($C1077, Egli_UPEC_metadata_provided!$A$2:$M$826, 4, FALSE)</f>
        <v>#N/A</v>
      </c>
      <c r="F1077" t="e">
        <f>VLOOKUP($C1077, Egli_UPEC_metadata_provided!$A$2:$M$826, 5, FALSE)</f>
        <v>#N/A</v>
      </c>
      <c r="G1077" t="e">
        <f>VLOOKUP($C1077, Egli_UPEC_metadata_provided!$A$2:$M$826, 6, FALSE)</f>
        <v>#N/A</v>
      </c>
      <c r="H1077" t="e">
        <f>VLOOKUP($C1077, Egli_UPEC_metadata_provided!$A$2:$M$826, 7, FALSE)</f>
        <v>#N/A</v>
      </c>
      <c r="I1077" t="e">
        <f>VLOOKUP($C1077, Egli_UPEC_metadata_provided!$A$2:$M$826, 8, FALSE)</f>
        <v>#N/A</v>
      </c>
      <c r="J1077" t="e">
        <f>VLOOKUP($C1077, Egli_UPEC_metadata_provided!$A$2:$M$826, 9, FALSE)</f>
        <v>#N/A</v>
      </c>
      <c r="K1077" t="e">
        <f>VLOOKUP($C1077, Egli_UPEC_metadata_provided!$A$2:$M$826, 10, FALSE)</f>
        <v>#N/A</v>
      </c>
      <c r="L1077" t="e">
        <f>VLOOKUP($C1077, Egli_UPEC_metadata_provided!$A$2:$M$826, 11, FALSE)</f>
        <v>#N/A</v>
      </c>
      <c r="M1077" t="e">
        <f>VLOOKUP($C1077, Egli_UPEC_metadata_provided!$A$2:$M$826, 12, FALSE)</f>
        <v>#N/A</v>
      </c>
      <c r="N1077" t="e">
        <f>VLOOKUP($C1077, Egli_UPEC_metadata_provided!$A$2:$M$826, 13, FALSE)</f>
        <v>#N/A</v>
      </c>
      <c r="O1077" t="e">
        <f>VLOOKUP($C1077, Egli_UPEC_metadata_provided!$A$2:$N$826, 14, FALSE)</f>
        <v>#N/A</v>
      </c>
    </row>
  </sheetData>
  <sortState xmlns:xlrd2="http://schemas.microsoft.com/office/spreadsheetml/2017/richdata2" ref="A2:O1077">
    <sortCondition ref="D2:D10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7D83-2A19-4880-9E41-5332338C3197}">
  <dimension ref="A1:D1077"/>
  <sheetViews>
    <sheetView topLeftCell="A514" workbookViewId="0">
      <selection activeCell="B1072" sqref="B1072"/>
    </sheetView>
  </sheetViews>
  <sheetFormatPr baseColWidth="10" defaultColWidth="8.83203125" defaultRowHeight="15" x14ac:dyDescent="0.2"/>
  <cols>
    <col min="1" max="1" width="35.6640625" customWidth="1"/>
    <col min="2" max="2" width="22.6640625" customWidth="1"/>
    <col min="3" max="3" width="25.1640625" customWidth="1"/>
    <col min="4" max="4" width="48.1640625" customWidth="1"/>
  </cols>
  <sheetData>
    <row r="1" spans="1:4" x14ac:dyDescent="0.2">
      <c r="A1" s="1" t="s">
        <v>51</v>
      </c>
      <c r="B1" s="1" t="s">
        <v>873</v>
      </c>
      <c r="C1" s="1" t="s">
        <v>874</v>
      </c>
      <c r="D1" s="1" t="s">
        <v>4110</v>
      </c>
    </row>
    <row r="2" spans="1:4" x14ac:dyDescent="0.2">
      <c r="A2" t="s">
        <v>52</v>
      </c>
      <c r="B2" t="s">
        <v>932</v>
      </c>
      <c r="C2" t="s">
        <v>933</v>
      </c>
      <c r="D2" t="s">
        <v>3285</v>
      </c>
    </row>
    <row r="3" spans="1:4" x14ac:dyDescent="0.2">
      <c r="A3" t="s">
        <v>53</v>
      </c>
      <c r="B3" t="s">
        <v>934</v>
      </c>
      <c r="C3" t="s">
        <v>935</v>
      </c>
      <c r="D3" t="s">
        <v>3286</v>
      </c>
    </row>
    <row r="4" spans="1:4" x14ac:dyDescent="0.2">
      <c r="A4" t="s">
        <v>54</v>
      </c>
      <c r="B4" t="s">
        <v>1164</v>
      </c>
      <c r="C4" t="s">
        <v>1165</v>
      </c>
      <c r="D4" t="s">
        <v>3287</v>
      </c>
    </row>
    <row r="5" spans="1:4" x14ac:dyDescent="0.2">
      <c r="A5" t="s">
        <v>55</v>
      </c>
      <c r="B5" t="s">
        <v>2550</v>
      </c>
      <c r="C5" t="s">
        <v>2551</v>
      </c>
      <c r="D5" t="s">
        <v>3288</v>
      </c>
    </row>
    <row r="6" spans="1:4" x14ac:dyDescent="0.2">
      <c r="A6" t="s">
        <v>56</v>
      </c>
      <c r="B6" t="s">
        <v>936</v>
      </c>
      <c r="C6" t="s">
        <v>937</v>
      </c>
      <c r="D6" t="s">
        <v>3289</v>
      </c>
    </row>
    <row r="7" spans="1:4" x14ac:dyDescent="0.2">
      <c r="A7" t="s">
        <v>57</v>
      </c>
      <c r="B7" t="s">
        <v>1168</v>
      </c>
      <c r="C7" t="s">
        <v>1169</v>
      </c>
      <c r="D7" t="s">
        <v>3290</v>
      </c>
    </row>
    <row r="8" spans="1:4" x14ac:dyDescent="0.2">
      <c r="A8" t="s">
        <v>58</v>
      </c>
      <c r="B8" t="s">
        <v>938</v>
      </c>
      <c r="C8" t="s">
        <v>939</v>
      </c>
      <c r="D8" t="s">
        <v>3291</v>
      </c>
    </row>
    <row r="9" spans="1:4" x14ac:dyDescent="0.2">
      <c r="A9" t="s">
        <v>891</v>
      </c>
      <c r="B9" t="s">
        <v>940</v>
      </c>
      <c r="C9" t="s">
        <v>941</v>
      </c>
      <c r="D9" t="s">
        <v>4122</v>
      </c>
    </row>
    <row r="10" spans="1:4" x14ac:dyDescent="0.2">
      <c r="A10" t="s">
        <v>59</v>
      </c>
      <c r="B10" t="s">
        <v>1170</v>
      </c>
      <c r="C10" t="s">
        <v>1171</v>
      </c>
      <c r="D10" t="s">
        <v>3292</v>
      </c>
    </row>
    <row r="11" spans="1:4" x14ac:dyDescent="0.2">
      <c r="A11" t="s">
        <v>60</v>
      </c>
      <c r="B11" t="s">
        <v>1172</v>
      </c>
      <c r="C11" t="s">
        <v>1173</v>
      </c>
      <c r="D11" t="s">
        <v>3293</v>
      </c>
    </row>
    <row r="12" spans="1:4" x14ac:dyDescent="0.2">
      <c r="A12" t="s">
        <v>61</v>
      </c>
      <c r="B12" t="s">
        <v>942</v>
      </c>
      <c r="C12" t="s">
        <v>943</v>
      </c>
      <c r="D12" t="s">
        <v>3294</v>
      </c>
    </row>
    <row r="13" spans="1:4" x14ac:dyDescent="0.2">
      <c r="A13" t="s">
        <v>62</v>
      </c>
      <c r="B13" t="s">
        <v>1174</v>
      </c>
      <c r="C13" t="s">
        <v>1175</v>
      </c>
      <c r="D13" t="s">
        <v>3295</v>
      </c>
    </row>
    <row r="14" spans="1:4" x14ac:dyDescent="0.2">
      <c r="A14" t="s">
        <v>63</v>
      </c>
      <c r="B14" t="s">
        <v>2553</v>
      </c>
      <c r="C14" t="s">
        <v>2554</v>
      </c>
      <c r="D14" t="s">
        <v>3296</v>
      </c>
    </row>
    <row r="15" spans="1:4" x14ac:dyDescent="0.2">
      <c r="A15" t="s">
        <v>64</v>
      </c>
      <c r="B15" t="s">
        <v>2555</v>
      </c>
      <c r="C15" t="s">
        <v>2556</v>
      </c>
      <c r="D15" t="s">
        <v>3297</v>
      </c>
    </row>
    <row r="16" spans="1:4" x14ac:dyDescent="0.2">
      <c r="A16" t="s">
        <v>65</v>
      </c>
      <c r="B16" t="s">
        <v>1176</v>
      </c>
      <c r="C16" t="s">
        <v>1177</v>
      </c>
      <c r="D16" t="s">
        <v>3298</v>
      </c>
    </row>
    <row r="17" spans="1:4" x14ac:dyDescent="0.2">
      <c r="A17" t="s">
        <v>66</v>
      </c>
      <c r="B17" t="s">
        <v>944</v>
      </c>
      <c r="C17" t="s">
        <v>945</v>
      </c>
      <c r="D17" t="s">
        <v>4123</v>
      </c>
    </row>
    <row r="18" spans="1:4" x14ac:dyDescent="0.2">
      <c r="A18" t="s">
        <v>67</v>
      </c>
      <c r="B18" t="s">
        <v>1178</v>
      </c>
      <c r="C18" t="s">
        <v>1179</v>
      </c>
      <c r="D18" t="s">
        <v>3300</v>
      </c>
    </row>
    <row r="19" spans="1:4" x14ac:dyDescent="0.2">
      <c r="A19" t="s">
        <v>68</v>
      </c>
      <c r="B19" t="s">
        <v>2558</v>
      </c>
      <c r="C19" t="s">
        <v>2559</v>
      </c>
      <c r="D19" t="s">
        <v>3301</v>
      </c>
    </row>
    <row r="20" spans="1:4" x14ac:dyDescent="0.2">
      <c r="A20" t="s">
        <v>69</v>
      </c>
      <c r="B20" t="s">
        <v>2561</v>
      </c>
      <c r="C20" t="s">
        <v>2562</v>
      </c>
      <c r="D20" t="s">
        <v>3302</v>
      </c>
    </row>
    <row r="21" spans="1:4" x14ac:dyDescent="0.2">
      <c r="A21" t="s">
        <v>70</v>
      </c>
      <c r="B21" t="s">
        <v>1180</v>
      </c>
      <c r="C21" t="s">
        <v>1181</v>
      </c>
      <c r="D21" t="s">
        <v>3303</v>
      </c>
    </row>
    <row r="22" spans="1:4" x14ac:dyDescent="0.2">
      <c r="A22" t="s">
        <v>71</v>
      </c>
      <c r="B22" t="s">
        <v>1182</v>
      </c>
      <c r="C22" t="s">
        <v>1183</v>
      </c>
      <c r="D22" t="s">
        <v>3304</v>
      </c>
    </row>
    <row r="23" spans="1:4" x14ac:dyDescent="0.2">
      <c r="A23" t="s">
        <v>72</v>
      </c>
      <c r="B23" t="s">
        <v>1189</v>
      </c>
      <c r="C23" t="s">
        <v>1190</v>
      </c>
      <c r="D23" t="s">
        <v>3305</v>
      </c>
    </row>
    <row r="24" spans="1:4" x14ac:dyDescent="0.2">
      <c r="A24" t="s">
        <v>73</v>
      </c>
      <c r="B24" t="s">
        <v>1193</v>
      </c>
      <c r="C24" t="s">
        <v>1194</v>
      </c>
      <c r="D24" t="s">
        <v>3306</v>
      </c>
    </row>
    <row r="25" spans="1:4" x14ac:dyDescent="0.2">
      <c r="A25" t="s">
        <v>74</v>
      </c>
      <c r="B25" t="s">
        <v>2563</v>
      </c>
      <c r="C25" t="s">
        <v>2564</v>
      </c>
      <c r="D25" t="s">
        <v>3307</v>
      </c>
    </row>
    <row r="26" spans="1:4" x14ac:dyDescent="0.2">
      <c r="A26" t="s">
        <v>75</v>
      </c>
      <c r="B26" t="s">
        <v>946</v>
      </c>
      <c r="C26" t="s">
        <v>947</v>
      </c>
      <c r="D26" t="s">
        <v>3308</v>
      </c>
    </row>
    <row r="27" spans="1:4" x14ac:dyDescent="0.2">
      <c r="A27" t="s">
        <v>76</v>
      </c>
      <c r="B27" t="s">
        <v>1197</v>
      </c>
      <c r="C27" t="s">
        <v>1198</v>
      </c>
      <c r="D27" t="s">
        <v>3309</v>
      </c>
    </row>
    <row r="28" spans="1:4" x14ac:dyDescent="0.2">
      <c r="A28" t="s">
        <v>77</v>
      </c>
      <c r="B28" t="s">
        <v>1201</v>
      </c>
      <c r="C28" t="s">
        <v>1202</v>
      </c>
      <c r="D28" t="s">
        <v>3310</v>
      </c>
    </row>
    <row r="29" spans="1:4" x14ac:dyDescent="0.2">
      <c r="A29" t="s">
        <v>78</v>
      </c>
      <c r="B29" t="s">
        <v>2565</v>
      </c>
      <c r="C29" t="s">
        <v>2566</v>
      </c>
      <c r="D29" t="s">
        <v>3311</v>
      </c>
    </row>
    <row r="30" spans="1:4" x14ac:dyDescent="0.2">
      <c r="A30" t="s">
        <v>79</v>
      </c>
      <c r="B30" t="s">
        <v>2567</v>
      </c>
      <c r="C30" t="s">
        <v>2568</v>
      </c>
      <c r="D30" t="s">
        <v>3312</v>
      </c>
    </row>
    <row r="31" spans="1:4" x14ac:dyDescent="0.2">
      <c r="A31" t="s">
        <v>80</v>
      </c>
      <c r="B31" t="s">
        <v>1205</v>
      </c>
      <c r="C31" t="s">
        <v>1206</v>
      </c>
      <c r="D31" t="s">
        <v>3313</v>
      </c>
    </row>
    <row r="32" spans="1:4" x14ac:dyDescent="0.2">
      <c r="A32" t="s">
        <v>81</v>
      </c>
      <c r="B32" t="s">
        <v>948</v>
      </c>
      <c r="C32" t="s">
        <v>949</v>
      </c>
      <c r="D32" t="s">
        <v>3314</v>
      </c>
    </row>
    <row r="33" spans="1:4" x14ac:dyDescent="0.2">
      <c r="A33" t="s">
        <v>82</v>
      </c>
      <c r="B33" t="s">
        <v>950</v>
      </c>
      <c r="C33" t="s">
        <v>951</v>
      </c>
      <c r="D33" t="s">
        <v>3315</v>
      </c>
    </row>
    <row r="34" spans="1:4" x14ac:dyDescent="0.2">
      <c r="A34" t="s">
        <v>83</v>
      </c>
      <c r="B34" t="s">
        <v>1209</v>
      </c>
      <c r="C34" t="s">
        <v>1210</v>
      </c>
      <c r="D34" t="s">
        <v>3316</v>
      </c>
    </row>
    <row r="35" spans="1:4" x14ac:dyDescent="0.2">
      <c r="A35" t="s">
        <v>84</v>
      </c>
      <c r="B35" t="s">
        <v>1213</v>
      </c>
      <c r="C35" t="s">
        <v>1214</v>
      </c>
      <c r="D35" t="s">
        <v>3317</v>
      </c>
    </row>
    <row r="36" spans="1:4" x14ac:dyDescent="0.2">
      <c r="A36" t="s">
        <v>85</v>
      </c>
      <c r="B36" t="s">
        <v>2569</v>
      </c>
      <c r="C36" t="s">
        <v>2570</v>
      </c>
      <c r="D36" t="s">
        <v>3318</v>
      </c>
    </row>
    <row r="37" spans="1:4" x14ac:dyDescent="0.2">
      <c r="A37" t="s">
        <v>86</v>
      </c>
      <c r="B37" t="s">
        <v>2571</v>
      </c>
      <c r="C37" t="s">
        <v>2572</v>
      </c>
      <c r="D37" t="s">
        <v>3319</v>
      </c>
    </row>
    <row r="38" spans="1:4" x14ac:dyDescent="0.2">
      <c r="A38" t="s">
        <v>87</v>
      </c>
      <c r="B38" t="s">
        <v>1217</v>
      </c>
      <c r="C38" t="s">
        <v>1218</v>
      </c>
      <c r="D38" t="s">
        <v>3320</v>
      </c>
    </row>
    <row r="39" spans="1:4" x14ac:dyDescent="0.2">
      <c r="A39" t="s">
        <v>88</v>
      </c>
      <c r="B39" t="s">
        <v>952</v>
      </c>
      <c r="C39" t="s">
        <v>953</v>
      </c>
      <c r="D39" t="s">
        <v>3321</v>
      </c>
    </row>
    <row r="40" spans="1:4" x14ac:dyDescent="0.2">
      <c r="A40" t="s">
        <v>89</v>
      </c>
      <c r="B40" t="s">
        <v>2573</v>
      </c>
      <c r="C40" t="s">
        <v>2574</v>
      </c>
      <c r="D40" t="s">
        <v>3322</v>
      </c>
    </row>
    <row r="41" spans="1:4" x14ac:dyDescent="0.2">
      <c r="A41" t="s">
        <v>90</v>
      </c>
      <c r="B41" t="s">
        <v>1221</v>
      </c>
      <c r="C41" t="s">
        <v>1222</v>
      </c>
      <c r="D41" t="s">
        <v>3323</v>
      </c>
    </row>
    <row r="42" spans="1:4" x14ac:dyDescent="0.2">
      <c r="A42" t="s">
        <v>91</v>
      </c>
      <c r="B42" t="s">
        <v>2575</v>
      </c>
      <c r="C42" t="s">
        <v>2576</v>
      </c>
      <c r="D42" t="s">
        <v>3324</v>
      </c>
    </row>
    <row r="43" spans="1:4" x14ac:dyDescent="0.2">
      <c r="A43" t="s">
        <v>960</v>
      </c>
      <c r="B43" t="s">
        <v>954</v>
      </c>
      <c r="C43" t="s">
        <v>955</v>
      </c>
      <c r="D43" t="s">
        <v>4124</v>
      </c>
    </row>
    <row r="44" spans="1:4" x14ac:dyDescent="0.2">
      <c r="A44" t="s">
        <v>92</v>
      </c>
      <c r="B44" t="s">
        <v>1223</v>
      </c>
      <c r="C44" t="s">
        <v>1224</v>
      </c>
      <c r="D44" t="s">
        <v>3325</v>
      </c>
    </row>
    <row r="45" spans="1:4" x14ac:dyDescent="0.2">
      <c r="A45" t="s">
        <v>965</v>
      </c>
      <c r="B45" t="s">
        <v>956</v>
      </c>
      <c r="C45" t="s">
        <v>957</v>
      </c>
      <c r="D45" t="s">
        <v>4125</v>
      </c>
    </row>
    <row r="46" spans="1:4" x14ac:dyDescent="0.2">
      <c r="A46" t="s">
        <v>93</v>
      </c>
      <c r="B46" t="s">
        <v>1227</v>
      </c>
      <c r="C46" t="s">
        <v>1228</v>
      </c>
      <c r="D46" t="s">
        <v>3326</v>
      </c>
    </row>
    <row r="47" spans="1:4" x14ac:dyDescent="0.2">
      <c r="A47" t="s">
        <v>94</v>
      </c>
      <c r="B47" t="s">
        <v>1232</v>
      </c>
      <c r="C47" t="s">
        <v>1233</v>
      </c>
      <c r="D47" t="s">
        <v>3327</v>
      </c>
    </row>
    <row r="48" spans="1:4" x14ac:dyDescent="0.2">
      <c r="A48" t="s">
        <v>95</v>
      </c>
      <c r="B48" t="s">
        <v>2577</v>
      </c>
      <c r="C48" t="s">
        <v>2578</v>
      </c>
      <c r="D48" t="s">
        <v>3328</v>
      </c>
    </row>
    <row r="49" spans="1:4" x14ac:dyDescent="0.2">
      <c r="A49" t="s">
        <v>96</v>
      </c>
      <c r="B49" t="s">
        <v>958</v>
      </c>
      <c r="C49" t="s">
        <v>959</v>
      </c>
      <c r="D49" t="s">
        <v>3329</v>
      </c>
    </row>
    <row r="50" spans="1:4" x14ac:dyDescent="0.2">
      <c r="A50" t="s">
        <v>976</v>
      </c>
      <c r="B50" t="s">
        <v>1238</v>
      </c>
      <c r="C50" t="s">
        <v>1239</v>
      </c>
      <c r="D50" t="s">
        <v>4151</v>
      </c>
    </row>
    <row r="51" spans="1:4" x14ac:dyDescent="0.2">
      <c r="A51" t="s">
        <v>97</v>
      </c>
      <c r="B51" t="s">
        <v>2579</v>
      </c>
      <c r="C51" t="s">
        <v>2580</v>
      </c>
      <c r="D51" t="s">
        <v>3330</v>
      </c>
    </row>
    <row r="52" spans="1:4" x14ac:dyDescent="0.2">
      <c r="A52" t="s">
        <v>981</v>
      </c>
      <c r="B52" t="s">
        <v>1247</v>
      </c>
      <c r="C52" t="s">
        <v>1248</v>
      </c>
      <c r="D52" t="s">
        <v>4152</v>
      </c>
    </row>
    <row r="53" spans="1:4" x14ac:dyDescent="0.2">
      <c r="A53" t="s">
        <v>98</v>
      </c>
      <c r="B53" t="s">
        <v>1250</v>
      </c>
      <c r="C53" t="s">
        <v>1251</v>
      </c>
      <c r="D53" t="s">
        <v>3331</v>
      </c>
    </row>
    <row r="54" spans="1:4" x14ac:dyDescent="0.2">
      <c r="A54" t="s">
        <v>99</v>
      </c>
      <c r="B54" t="s">
        <v>1255</v>
      </c>
      <c r="C54" t="s">
        <v>1256</v>
      </c>
      <c r="D54" t="s">
        <v>3332</v>
      </c>
    </row>
    <row r="55" spans="1:4" x14ac:dyDescent="0.2">
      <c r="A55" t="s">
        <v>100</v>
      </c>
      <c r="B55" t="s">
        <v>2581</v>
      </c>
      <c r="C55" t="s">
        <v>2582</v>
      </c>
      <c r="D55" t="s">
        <v>3333</v>
      </c>
    </row>
    <row r="56" spans="1:4" x14ac:dyDescent="0.2">
      <c r="A56" t="s">
        <v>101</v>
      </c>
      <c r="B56" t="s">
        <v>961</v>
      </c>
      <c r="C56" t="s">
        <v>962</v>
      </c>
      <c r="D56" t="s">
        <v>3334</v>
      </c>
    </row>
    <row r="57" spans="1:4" x14ac:dyDescent="0.2">
      <c r="A57" t="s">
        <v>102</v>
      </c>
      <c r="B57" t="s">
        <v>963</v>
      </c>
      <c r="C57" t="s">
        <v>964</v>
      </c>
      <c r="D57" t="s">
        <v>3335</v>
      </c>
    </row>
    <row r="58" spans="1:4" x14ac:dyDescent="0.2">
      <c r="A58" t="s">
        <v>103</v>
      </c>
      <c r="B58" t="s">
        <v>966</v>
      </c>
      <c r="C58" t="s">
        <v>967</v>
      </c>
      <c r="D58" t="s">
        <v>3336</v>
      </c>
    </row>
    <row r="59" spans="1:4" x14ac:dyDescent="0.2">
      <c r="A59" t="s">
        <v>104</v>
      </c>
      <c r="B59" t="s">
        <v>1259</v>
      </c>
      <c r="C59" t="s">
        <v>1260</v>
      </c>
      <c r="D59" t="s">
        <v>3337</v>
      </c>
    </row>
    <row r="60" spans="1:4" x14ac:dyDescent="0.2">
      <c r="A60" t="s">
        <v>105</v>
      </c>
      <c r="B60" t="s">
        <v>968</v>
      </c>
      <c r="C60" t="s">
        <v>969</v>
      </c>
      <c r="D60" t="s">
        <v>3338</v>
      </c>
    </row>
    <row r="61" spans="1:4" x14ac:dyDescent="0.2">
      <c r="A61" t="s">
        <v>106</v>
      </c>
      <c r="B61" t="s">
        <v>1263</v>
      </c>
      <c r="C61" t="s">
        <v>1264</v>
      </c>
      <c r="D61" t="s">
        <v>3339</v>
      </c>
    </row>
    <row r="62" spans="1:4" x14ac:dyDescent="0.2">
      <c r="A62" t="s">
        <v>107</v>
      </c>
      <c r="B62" t="s">
        <v>970</v>
      </c>
      <c r="C62" t="s">
        <v>971</v>
      </c>
      <c r="D62" t="s">
        <v>3340</v>
      </c>
    </row>
    <row r="63" spans="1:4" x14ac:dyDescent="0.2">
      <c r="A63" t="s">
        <v>1006</v>
      </c>
      <c r="B63" t="s">
        <v>2583</v>
      </c>
      <c r="C63" t="s">
        <v>2584</v>
      </c>
      <c r="D63" t="s">
        <v>4316</v>
      </c>
    </row>
    <row r="64" spans="1:4" x14ac:dyDescent="0.2">
      <c r="A64" t="s">
        <v>108</v>
      </c>
      <c r="B64" t="s">
        <v>972</v>
      </c>
      <c r="C64" t="s">
        <v>973</v>
      </c>
      <c r="D64" t="s">
        <v>4126</v>
      </c>
    </row>
    <row r="65" spans="1:4" x14ac:dyDescent="0.2">
      <c r="A65" t="s">
        <v>109</v>
      </c>
      <c r="B65" t="s">
        <v>1267</v>
      </c>
      <c r="C65" t="s">
        <v>1268</v>
      </c>
      <c r="D65" t="s">
        <v>3342</v>
      </c>
    </row>
    <row r="66" spans="1:4" x14ac:dyDescent="0.2">
      <c r="A66" t="s">
        <v>110</v>
      </c>
      <c r="B66" t="s">
        <v>2586</v>
      </c>
      <c r="C66" t="s">
        <v>2587</v>
      </c>
      <c r="D66" t="s">
        <v>3343</v>
      </c>
    </row>
    <row r="67" spans="1:4" x14ac:dyDescent="0.2">
      <c r="A67" t="s">
        <v>111</v>
      </c>
      <c r="B67" t="s">
        <v>2588</v>
      </c>
      <c r="C67" t="s">
        <v>2589</v>
      </c>
      <c r="D67" t="s">
        <v>3344</v>
      </c>
    </row>
    <row r="68" spans="1:4" x14ac:dyDescent="0.2">
      <c r="A68" t="s">
        <v>112</v>
      </c>
      <c r="B68" t="s">
        <v>974</v>
      </c>
      <c r="C68" t="s">
        <v>975</v>
      </c>
      <c r="D68" t="s">
        <v>3345</v>
      </c>
    </row>
    <row r="69" spans="1:4" x14ac:dyDescent="0.2">
      <c r="A69" t="s">
        <v>113</v>
      </c>
      <c r="B69" t="s">
        <v>2590</v>
      </c>
      <c r="C69" t="s">
        <v>2591</v>
      </c>
      <c r="D69" t="s">
        <v>3346</v>
      </c>
    </row>
    <row r="70" spans="1:4" x14ac:dyDescent="0.2">
      <c r="A70" t="s">
        <v>114</v>
      </c>
      <c r="B70" t="s">
        <v>977</v>
      </c>
      <c r="C70" t="s">
        <v>978</v>
      </c>
      <c r="D70" t="s">
        <v>3347</v>
      </c>
    </row>
    <row r="71" spans="1:4" x14ac:dyDescent="0.2">
      <c r="A71" t="s">
        <v>115</v>
      </c>
      <c r="B71" t="s">
        <v>1272</v>
      </c>
      <c r="C71" t="s">
        <v>1273</v>
      </c>
      <c r="D71" t="s">
        <v>3348</v>
      </c>
    </row>
    <row r="72" spans="1:4" x14ac:dyDescent="0.2">
      <c r="A72" t="s">
        <v>116</v>
      </c>
      <c r="B72" t="s">
        <v>2592</v>
      </c>
      <c r="C72" t="s">
        <v>2593</v>
      </c>
      <c r="D72" t="s">
        <v>3349</v>
      </c>
    </row>
    <row r="73" spans="1:4" x14ac:dyDescent="0.2">
      <c r="A73" t="s">
        <v>117</v>
      </c>
      <c r="B73" t="s">
        <v>979</v>
      </c>
      <c r="C73" t="s">
        <v>980</v>
      </c>
      <c r="D73" t="s">
        <v>3350</v>
      </c>
    </row>
    <row r="74" spans="1:4" x14ac:dyDescent="0.2">
      <c r="A74" t="s">
        <v>118</v>
      </c>
      <c r="B74" t="s">
        <v>2595</v>
      </c>
      <c r="C74" t="s">
        <v>2596</v>
      </c>
      <c r="D74" t="s">
        <v>3351</v>
      </c>
    </row>
    <row r="75" spans="1:4" x14ac:dyDescent="0.2">
      <c r="A75" t="s">
        <v>119</v>
      </c>
      <c r="B75" t="s">
        <v>1276</v>
      </c>
      <c r="C75" t="s">
        <v>1277</v>
      </c>
      <c r="D75" t="s">
        <v>3352</v>
      </c>
    </row>
    <row r="76" spans="1:4" x14ac:dyDescent="0.2">
      <c r="A76" t="s">
        <v>120</v>
      </c>
      <c r="B76" t="s">
        <v>982</v>
      </c>
      <c r="C76" t="s">
        <v>983</v>
      </c>
      <c r="D76" t="s">
        <v>3353</v>
      </c>
    </row>
    <row r="77" spans="1:4" x14ac:dyDescent="0.2">
      <c r="A77" t="s">
        <v>1033</v>
      </c>
      <c r="B77" t="s">
        <v>1278</v>
      </c>
      <c r="C77" t="s">
        <v>1279</v>
      </c>
      <c r="D77" t="s">
        <v>4154</v>
      </c>
    </row>
    <row r="78" spans="1:4" x14ac:dyDescent="0.2">
      <c r="A78" t="s">
        <v>1036</v>
      </c>
      <c r="B78" t="s">
        <v>2598</v>
      </c>
      <c r="C78" t="s">
        <v>2599</v>
      </c>
      <c r="D78" t="s">
        <v>4317</v>
      </c>
    </row>
    <row r="79" spans="1:4" x14ac:dyDescent="0.2">
      <c r="A79" t="s">
        <v>1039</v>
      </c>
      <c r="B79" t="s">
        <v>1281</v>
      </c>
      <c r="C79" t="s">
        <v>1282</v>
      </c>
      <c r="D79" t="s">
        <v>4155</v>
      </c>
    </row>
    <row r="80" spans="1:4" x14ac:dyDescent="0.2">
      <c r="A80" t="s">
        <v>121</v>
      </c>
      <c r="B80" t="s">
        <v>984</v>
      </c>
      <c r="C80" t="s">
        <v>985</v>
      </c>
      <c r="D80" t="s">
        <v>3354</v>
      </c>
    </row>
    <row r="81" spans="1:4" x14ac:dyDescent="0.2">
      <c r="A81" t="s">
        <v>122</v>
      </c>
      <c r="B81" t="s">
        <v>1283</v>
      </c>
      <c r="C81" t="s">
        <v>1284</v>
      </c>
      <c r="D81" t="s">
        <v>3355</v>
      </c>
    </row>
    <row r="82" spans="1:4" x14ac:dyDescent="0.2">
      <c r="A82" t="s">
        <v>123</v>
      </c>
      <c r="B82" t="s">
        <v>986</v>
      </c>
      <c r="C82" t="s">
        <v>987</v>
      </c>
      <c r="D82" t="s">
        <v>3356</v>
      </c>
    </row>
    <row r="83" spans="1:4" x14ac:dyDescent="0.2">
      <c r="A83" t="s">
        <v>124</v>
      </c>
      <c r="B83" t="s">
        <v>988</v>
      </c>
      <c r="C83" t="s">
        <v>989</v>
      </c>
      <c r="D83" t="s">
        <v>3357</v>
      </c>
    </row>
    <row r="84" spans="1:4" x14ac:dyDescent="0.2">
      <c r="A84" t="s">
        <v>125</v>
      </c>
      <c r="B84" t="s">
        <v>1285</v>
      </c>
      <c r="C84" t="s">
        <v>1286</v>
      </c>
      <c r="D84" t="s">
        <v>3358</v>
      </c>
    </row>
    <row r="85" spans="1:4" x14ac:dyDescent="0.2">
      <c r="A85" t="s">
        <v>126</v>
      </c>
      <c r="B85" t="s">
        <v>990</v>
      </c>
      <c r="C85" t="s">
        <v>991</v>
      </c>
      <c r="D85" t="s">
        <v>3359</v>
      </c>
    </row>
    <row r="86" spans="1:4" x14ac:dyDescent="0.2">
      <c r="A86" t="s">
        <v>127</v>
      </c>
      <c r="B86" t="s">
        <v>2601</v>
      </c>
      <c r="C86" t="s">
        <v>2602</v>
      </c>
      <c r="D86" t="s">
        <v>3360</v>
      </c>
    </row>
    <row r="87" spans="1:4" x14ac:dyDescent="0.2">
      <c r="A87" t="s">
        <v>128</v>
      </c>
      <c r="B87" t="s">
        <v>992</v>
      </c>
      <c r="C87" t="s">
        <v>993</v>
      </c>
      <c r="D87" t="s">
        <v>3361</v>
      </c>
    </row>
    <row r="88" spans="1:4" x14ac:dyDescent="0.2">
      <c r="A88" t="s">
        <v>129</v>
      </c>
      <c r="B88" t="s">
        <v>1296</v>
      </c>
      <c r="C88" t="s">
        <v>1297</v>
      </c>
      <c r="D88" t="s">
        <v>3362</v>
      </c>
    </row>
    <row r="89" spans="1:4" x14ac:dyDescent="0.2">
      <c r="A89" t="s">
        <v>1060</v>
      </c>
      <c r="B89" t="s">
        <v>1302</v>
      </c>
      <c r="C89" t="s">
        <v>1303</v>
      </c>
      <c r="D89" t="s">
        <v>4158</v>
      </c>
    </row>
    <row r="90" spans="1:4" x14ac:dyDescent="0.2">
      <c r="A90" t="s">
        <v>130</v>
      </c>
      <c r="B90" t="s">
        <v>1311</v>
      </c>
      <c r="C90" t="s">
        <v>1312</v>
      </c>
      <c r="D90" t="s">
        <v>3363</v>
      </c>
    </row>
    <row r="91" spans="1:4" x14ac:dyDescent="0.2">
      <c r="A91" t="s">
        <v>131</v>
      </c>
      <c r="B91" t="s">
        <v>2604</v>
      </c>
      <c r="C91" t="s">
        <v>2605</v>
      </c>
      <c r="D91" t="s">
        <v>3364</v>
      </c>
    </row>
    <row r="92" spans="1:4" x14ac:dyDescent="0.2">
      <c r="A92" t="s">
        <v>132</v>
      </c>
      <c r="B92" t="s">
        <v>994</v>
      </c>
      <c r="C92" t="s">
        <v>995</v>
      </c>
      <c r="D92" t="s">
        <v>3365</v>
      </c>
    </row>
    <row r="93" spans="1:4" x14ac:dyDescent="0.2">
      <c r="A93" t="s">
        <v>133</v>
      </c>
      <c r="B93" t="s">
        <v>2607</v>
      </c>
      <c r="C93" t="s">
        <v>2608</v>
      </c>
      <c r="D93" t="s">
        <v>3366</v>
      </c>
    </row>
    <row r="94" spans="1:4" x14ac:dyDescent="0.2">
      <c r="A94" t="s">
        <v>134</v>
      </c>
      <c r="B94" t="s">
        <v>996</v>
      </c>
      <c r="C94" t="s">
        <v>997</v>
      </c>
      <c r="D94" t="s">
        <v>3367</v>
      </c>
    </row>
    <row r="95" spans="1:4" x14ac:dyDescent="0.2">
      <c r="A95" t="s">
        <v>135</v>
      </c>
      <c r="B95" t="s">
        <v>998</v>
      </c>
      <c r="C95" t="s">
        <v>999</v>
      </c>
      <c r="D95" t="s">
        <v>3368</v>
      </c>
    </row>
    <row r="96" spans="1:4" x14ac:dyDescent="0.2">
      <c r="A96" t="s">
        <v>136</v>
      </c>
      <c r="B96" t="s">
        <v>2610</v>
      </c>
      <c r="C96" t="s">
        <v>2611</v>
      </c>
      <c r="D96" t="s">
        <v>3369</v>
      </c>
    </row>
    <row r="97" spans="1:4" x14ac:dyDescent="0.2">
      <c r="A97" t="s">
        <v>137</v>
      </c>
      <c r="B97" t="s">
        <v>1318</v>
      </c>
      <c r="C97" t="s">
        <v>1319</v>
      </c>
      <c r="D97" t="s">
        <v>3370</v>
      </c>
    </row>
    <row r="98" spans="1:4" x14ac:dyDescent="0.2">
      <c r="A98" t="s">
        <v>138</v>
      </c>
      <c r="B98" t="s">
        <v>1320</v>
      </c>
      <c r="C98" t="s">
        <v>1321</v>
      </c>
      <c r="D98" t="s">
        <v>3371</v>
      </c>
    </row>
    <row r="99" spans="1:4" x14ac:dyDescent="0.2">
      <c r="A99" t="s">
        <v>139</v>
      </c>
      <c r="B99" t="s">
        <v>2613</v>
      </c>
      <c r="C99" t="s">
        <v>2614</v>
      </c>
      <c r="D99" t="s">
        <v>3372</v>
      </c>
    </row>
    <row r="100" spans="1:4" x14ac:dyDescent="0.2">
      <c r="A100" t="s">
        <v>140</v>
      </c>
      <c r="B100" t="s">
        <v>1328</v>
      </c>
      <c r="C100" t="s">
        <v>1329</v>
      </c>
      <c r="D100" t="s">
        <v>3373</v>
      </c>
    </row>
    <row r="101" spans="1:4" x14ac:dyDescent="0.2">
      <c r="A101" t="s">
        <v>141</v>
      </c>
      <c r="B101" t="s">
        <v>1330</v>
      </c>
      <c r="C101" t="s">
        <v>1331</v>
      </c>
      <c r="D101" t="s">
        <v>3374</v>
      </c>
    </row>
    <row r="102" spans="1:4" x14ac:dyDescent="0.2">
      <c r="A102" t="s">
        <v>142</v>
      </c>
      <c r="B102" t="s">
        <v>2616</v>
      </c>
      <c r="C102" t="s">
        <v>2617</v>
      </c>
      <c r="D102" t="s">
        <v>3375</v>
      </c>
    </row>
    <row r="103" spans="1:4" x14ac:dyDescent="0.2">
      <c r="A103" t="s">
        <v>143</v>
      </c>
      <c r="B103" t="s">
        <v>2619</v>
      </c>
      <c r="C103" t="s">
        <v>2620</v>
      </c>
      <c r="D103" t="s">
        <v>3376</v>
      </c>
    </row>
    <row r="104" spans="1:4" x14ac:dyDescent="0.2">
      <c r="A104" t="s">
        <v>1091</v>
      </c>
      <c r="B104" t="s">
        <v>2622</v>
      </c>
      <c r="C104" t="s">
        <v>2623</v>
      </c>
      <c r="D104" t="s">
        <v>3377</v>
      </c>
    </row>
    <row r="105" spans="1:4" x14ac:dyDescent="0.2">
      <c r="A105" t="s">
        <v>144</v>
      </c>
      <c r="B105" t="s">
        <v>1000</v>
      </c>
      <c r="C105" t="s">
        <v>1001</v>
      </c>
      <c r="D105" t="s">
        <v>3378</v>
      </c>
    </row>
    <row r="106" spans="1:4" x14ac:dyDescent="0.2">
      <c r="A106" t="s">
        <v>145</v>
      </c>
      <c r="B106" t="s">
        <v>1002</v>
      </c>
      <c r="C106" t="s">
        <v>1003</v>
      </c>
      <c r="D106" t="s">
        <v>3379</v>
      </c>
    </row>
    <row r="107" spans="1:4" x14ac:dyDescent="0.2">
      <c r="A107" t="s">
        <v>146</v>
      </c>
      <c r="B107" t="s">
        <v>1336</v>
      </c>
      <c r="C107" t="s">
        <v>1337</v>
      </c>
      <c r="D107" t="s">
        <v>3380</v>
      </c>
    </row>
    <row r="108" spans="1:4" x14ac:dyDescent="0.2">
      <c r="A108" t="s">
        <v>147</v>
      </c>
      <c r="B108" t="s">
        <v>1004</v>
      </c>
      <c r="C108" t="s">
        <v>1005</v>
      </c>
      <c r="D108" t="s">
        <v>3381</v>
      </c>
    </row>
    <row r="109" spans="1:4" x14ac:dyDescent="0.2">
      <c r="A109" t="s">
        <v>148</v>
      </c>
      <c r="B109" t="s">
        <v>2624</v>
      </c>
      <c r="C109" t="s">
        <v>2625</v>
      </c>
      <c r="D109" t="s">
        <v>3382</v>
      </c>
    </row>
    <row r="110" spans="1:4" x14ac:dyDescent="0.2">
      <c r="A110" t="s">
        <v>149</v>
      </c>
      <c r="B110" t="s">
        <v>2626</v>
      </c>
      <c r="C110" t="s">
        <v>2627</v>
      </c>
      <c r="D110" t="s">
        <v>3383</v>
      </c>
    </row>
    <row r="111" spans="1:4" x14ac:dyDescent="0.2">
      <c r="A111" t="s">
        <v>150</v>
      </c>
      <c r="B111" t="s">
        <v>2628</v>
      </c>
      <c r="C111" t="s">
        <v>2629</v>
      </c>
      <c r="D111" t="s">
        <v>3384</v>
      </c>
    </row>
    <row r="112" spans="1:4" x14ac:dyDescent="0.2">
      <c r="A112" t="s">
        <v>151</v>
      </c>
      <c r="B112" t="s">
        <v>1340</v>
      </c>
      <c r="C112" t="s">
        <v>1341</v>
      </c>
      <c r="D112" t="s">
        <v>3385</v>
      </c>
    </row>
    <row r="113" spans="1:4" x14ac:dyDescent="0.2">
      <c r="A113" t="s">
        <v>152</v>
      </c>
      <c r="B113" t="s">
        <v>1007</v>
      </c>
      <c r="C113" t="s">
        <v>1008</v>
      </c>
      <c r="D113" t="s">
        <v>4127</v>
      </c>
    </row>
    <row r="114" spans="1:4" x14ac:dyDescent="0.2">
      <c r="A114" t="s">
        <v>1112</v>
      </c>
      <c r="B114" t="s">
        <v>2630</v>
      </c>
      <c r="C114" t="s">
        <v>2631</v>
      </c>
      <c r="D114" t="s">
        <v>4318</v>
      </c>
    </row>
    <row r="115" spans="1:4" x14ac:dyDescent="0.2">
      <c r="A115" t="s">
        <v>153</v>
      </c>
      <c r="B115" t="s">
        <v>1344</v>
      </c>
      <c r="C115" t="s">
        <v>1345</v>
      </c>
      <c r="D115" t="s">
        <v>3387</v>
      </c>
    </row>
    <row r="116" spans="1:4" x14ac:dyDescent="0.2">
      <c r="A116" t="s">
        <v>1117</v>
      </c>
      <c r="B116" t="s">
        <v>1348</v>
      </c>
      <c r="C116" t="s">
        <v>1349</v>
      </c>
      <c r="D116" t="s">
        <v>4160</v>
      </c>
    </row>
    <row r="117" spans="1:4" x14ac:dyDescent="0.2">
      <c r="A117" t="s">
        <v>154</v>
      </c>
      <c r="B117" t="s">
        <v>1009</v>
      </c>
      <c r="C117" t="s">
        <v>1010</v>
      </c>
      <c r="D117" t="s">
        <v>3388</v>
      </c>
    </row>
    <row r="118" spans="1:4" x14ac:dyDescent="0.2">
      <c r="A118" t="s">
        <v>155</v>
      </c>
      <c r="B118" t="s">
        <v>2632</v>
      </c>
      <c r="C118" t="s">
        <v>2633</v>
      </c>
      <c r="D118" t="s">
        <v>3389</v>
      </c>
    </row>
    <row r="119" spans="1:4" x14ac:dyDescent="0.2">
      <c r="A119" t="s">
        <v>156</v>
      </c>
      <c r="B119" t="s">
        <v>1352</v>
      </c>
      <c r="C119" t="s">
        <v>1353</v>
      </c>
      <c r="D119" t="s">
        <v>3390</v>
      </c>
    </row>
    <row r="120" spans="1:4" x14ac:dyDescent="0.2">
      <c r="A120" t="s">
        <v>157</v>
      </c>
      <c r="B120" t="s">
        <v>2635</v>
      </c>
      <c r="C120" t="s">
        <v>2636</v>
      </c>
      <c r="D120" t="s">
        <v>3391</v>
      </c>
    </row>
    <row r="121" spans="1:4" x14ac:dyDescent="0.2">
      <c r="A121" t="s">
        <v>158</v>
      </c>
      <c r="B121" t="s">
        <v>2637</v>
      </c>
      <c r="C121" t="s">
        <v>2638</v>
      </c>
      <c r="D121" t="s">
        <v>3392</v>
      </c>
    </row>
    <row r="122" spans="1:4" x14ac:dyDescent="0.2">
      <c r="A122" t="s">
        <v>159</v>
      </c>
      <c r="B122" t="s">
        <v>1356</v>
      </c>
      <c r="C122" t="s">
        <v>1357</v>
      </c>
      <c r="D122" t="s">
        <v>3393</v>
      </c>
    </row>
    <row r="123" spans="1:4" x14ac:dyDescent="0.2">
      <c r="A123" t="s">
        <v>160</v>
      </c>
      <c r="B123" t="s">
        <v>1011</v>
      </c>
      <c r="C123" t="s">
        <v>1012</v>
      </c>
      <c r="D123" t="s">
        <v>3394</v>
      </c>
    </row>
    <row r="124" spans="1:4" x14ac:dyDescent="0.2">
      <c r="A124" t="s">
        <v>161</v>
      </c>
      <c r="B124" t="s">
        <v>1360</v>
      </c>
      <c r="C124" t="s">
        <v>1361</v>
      </c>
      <c r="D124" t="s">
        <v>3395</v>
      </c>
    </row>
    <row r="125" spans="1:4" x14ac:dyDescent="0.2">
      <c r="A125" t="s">
        <v>162</v>
      </c>
      <c r="B125" t="s">
        <v>1015</v>
      </c>
      <c r="C125" t="s">
        <v>1016</v>
      </c>
      <c r="D125" t="s">
        <v>3396</v>
      </c>
    </row>
    <row r="126" spans="1:4" x14ac:dyDescent="0.2">
      <c r="A126" t="s">
        <v>163</v>
      </c>
      <c r="B126" t="s">
        <v>2639</v>
      </c>
      <c r="C126" t="s">
        <v>2640</v>
      </c>
      <c r="D126" t="s">
        <v>3397</v>
      </c>
    </row>
    <row r="127" spans="1:4" x14ac:dyDescent="0.2">
      <c r="A127" t="s">
        <v>164</v>
      </c>
      <c r="B127" t="s">
        <v>2641</v>
      </c>
      <c r="C127" t="s">
        <v>2642</v>
      </c>
      <c r="D127" t="s">
        <v>3398</v>
      </c>
    </row>
    <row r="128" spans="1:4" x14ac:dyDescent="0.2">
      <c r="A128" t="s">
        <v>165</v>
      </c>
      <c r="B128" t="s">
        <v>2644</v>
      </c>
      <c r="C128" t="s">
        <v>2645</v>
      </c>
      <c r="D128" t="s">
        <v>3399</v>
      </c>
    </row>
    <row r="129" spans="1:4" x14ac:dyDescent="0.2">
      <c r="A129" t="s">
        <v>166</v>
      </c>
      <c r="B129" t="s">
        <v>1365</v>
      </c>
      <c r="C129" t="s">
        <v>1366</v>
      </c>
      <c r="D129" t="s">
        <v>3400</v>
      </c>
    </row>
    <row r="130" spans="1:4" x14ac:dyDescent="0.2">
      <c r="A130" t="s">
        <v>167</v>
      </c>
      <c r="B130" t="s">
        <v>2647</v>
      </c>
      <c r="C130" t="s">
        <v>2648</v>
      </c>
      <c r="D130" t="s">
        <v>3401</v>
      </c>
    </row>
    <row r="131" spans="1:4" x14ac:dyDescent="0.2">
      <c r="A131" t="s">
        <v>168</v>
      </c>
      <c r="B131" t="s">
        <v>1019</v>
      </c>
      <c r="C131" t="s">
        <v>1020</v>
      </c>
      <c r="D131" t="s">
        <v>3402</v>
      </c>
    </row>
    <row r="132" spans="1:4" x14ac:dyDescent="0.2">
      <c r="A132" t="s">
        <v>169</v>
      </c>
      <c r="B132" t="s">
        <v>1021</v>
      </c>
      <c r="C132" t="s">
        <v>1022</v>
      </c>
      <c r="D132" t="s">
        <v>3403</v>
      </c>
    </row>
    <row r="133" spans="1:4" x14ac:dyDescent="0.2">
      <c r="A133" t="s">
        <v>170</v>
      </c>
      <c r="B133" t="s">
        <v>2649</v>
      </c>
      <c r="C133" t="s">
        <v>2650</v>
      </c>
      <c r="D133" t="s">
        <v>3404</v>
      </c>
    </row>
    <row r="134" spans="1:4" x14ac:dyDescent="0.2">
      <c r="A134" t="s">
        <v>171</v>
      </c>
      <c r="B134" t="s">
        <v>1367</v>
      </c>
      <c r="C134" t="s">
        <v>1368</v>
      </c>
      <c r="D134" t="s">
        <v>3405</v>
      </c>
    </row>
    <row r="135" spans="1:4" x14ac:dyDescent="0.2">
      <c r="A135" t="s">
        <v>172</v>
      </c>
      <c r="B135" t="s">
        <v>2651</v>
      </c>
      <c r="C135" t="s">
        <v>2652</v>
      </c>
      <c r="D135" t="s">
        <v>3406</v>
      </c>
    </row>
    <row r="136" spans="1:4" x14ac:dyDescent="0.2">
      <c r="A136" t="s">
        <v>173</v>
      </c>
      <c r="B136" t="s">
        <v>1023</v>
      </c>
      <c r="C136" t="s">
        <v>1024</v>
      </c>
      <c r="D136" t="s">
        <v>3407</v>
      </c>
    </row>
    <row r="137" spans="1:4" x14ac:dyDescent="0.2">
      <c r="A137" t="s">
        <v>174</v>
      </c>
      <c r="B137" t="s">
        <v>1027</v>
      </c>
      <c r="C137" t="s">
        <v>1028</v>
      </c>
      <c r="D137" t="s">
        <v>3408</v>
      </c>
    </row>
    <row r="138" spans="1:4" x14ac:dyDescent="0.2">
      <c r="A138" t="s">
        <v>175</v>
      </c>
      <c r="B138" t="s">
        <v>1369</v>
      </c>
      <c r="C138" t="s">
        <v>1370</v>
      </c>
      <c r="D138" t="s">
        <v>3409</v>
      </c>
    </row>
    <row r="139" spans="1:4" x14ac:dyDescent="0.2">
      <c r="A139" t="s">
        <v>176</v>
      </c>
      <c r="B139" t="s">
        <v>1371</v>
      </c>
      <c r="C139" t="s">
        <v>1372</v>
      </c>
      <c r="D139" t="s">
        <v>3410</v>
      </c>
    </row>
    <row r="140" spans="1:4" x14ac:dyDescent="0.2">
      <c r="A140" t="s">
        <v>177</v>
      </c>
      <c r="B140" t="s">
        <v>1031</v>
      </c>
      <c r="C140" t="s">
        <v>1032</v>
      </c>
      <c r="D140" t="s">
        <v>3411</v>
      </c>
    </row>
    <row r="141" spans="1:4" x14ac:dyDescent="0.2">
      <c r="A141" t="s">
        <v>178</v>
      </c>
      <c r="B141" t="s">
        <v>1037</v>
      </c>
      <c r="C141" t="s">
        <v>1038</v>
      </c>
      <c r="D141" t="s">
        <v>3412</v>
      </c>
    </row>
    <row r="142" spans="1:4" x14ac:dyDescent="0.2">
      <c r="A142" t="s">
        <v>179</v>
      </c>
      <c r="B142" t="s">
        <v>2653</v>
      </c>
      <c r="C142" t="s">
        <v>2654</v>
      </c>
      <c r="D142" t="s">
        <v>3413</v>
      </c>
    </row>
    <row r="143" spans="1:4" x14ac:dyDescent="0.2">
      <c r="A143" t="s">
        <v>180</v>
      </c>
      <c r="B143" t="s">
        <v>2655</v>
      </c>
      <c r="C143" t="s">
        <v>2656</v>
      </c>
      <c r="D143" t="s">
        <v>3414</v>
      </c>
    </row>
    <row r="144" spans="1:4" x14ac:dyDescent="0.2">
      <c r="A144" t="s">
        <v>181</v>
      </c>
      <c r="B144" t="s">
        <v>1042</v>
      </c>
      <c r="C144" t="s">
        <v>1043</v>
      </c>
      <c r="D144" t="s">
        <v>3415</v>
      </c>
    </row>
    <row r="145" spans="1:4" x14ac:dyDescent="0.2">
      <c r="A145" t="s">
        <v>182</v>
      </c>
      <c r="B145" t="s">
        <v>2657</v>
      </c>
      <c r="C145" t="s">
        <v>2658</v>
      </c>
      <c r="D145" t="s">
        <v>3416</v>
      </c>
    </row>
    <row r="146" spans="1:4" x14ac:dyDescent="0.2">
      <c r="A146" t="s">
        <v>183</v>
      </c>
      <c r="B146" t="s">
        <v>2660</v>
      </c>
      <c r="C146" t="s">
        <v>2661</v>
      </c>
      <c r="D146" t="s">
        <v>3417</v>
      </c>
    </row>
    <row r="147" spans="1:4" x14ac:dyDescent="0.2">
      <c r="A147" t="s">
        <v>184</v>
      </c>
      <c r="B147" t="s">
        <v>2663</v>
      </c>
      <c r="C147" t="s">
        <v>2664</v>
      </c>
      <c r="D147" t="s">
        <v>3418</v>
      </c>
    </row>
    <row r="148" spans="1:4" x14ac:dyDescent="0.2">
      <c r="A148" t="s">
        <v>185</v>
      </c>
      <c r="B148" t="s">
        <v>1375</v>
      </c>
      <c r="C148" t="s">
        <v>1376</v>
      </c>
      <c r="D148" t="s">
        <v>3419</v>
      </c>
    </row>
    <row r="149" spans="1:4" x14ac:dyDescent="0.2">
      <c r="A149" t="s">
        <v>186</v>
      </c>
      <c r="B149" t="s">
        <v>1044</v>
      </c>
      <c r="C149" t="s">
        <v>1045</v>
      </c>
      <c r="D149" t="s">
        <v>3420</v>
      </c>
    </row>
    <row r="150" spans="1:4" x14ac:dyDescent="0.2">
      <c r="A150" t="s">
        <v>187</v>
      </c>
      <c r="B150" t="s">
        <v>1379</v>
      </c>
      <c r="C150" t="s">
        <v>1380</v>
      </c>
      <c r="D150" t="s">
        <v>3421</v>
      </c>
    </row>
    <row r="151" spans="1:4" x14ac:dyDescent="0.2">
      <c r="A151" t="s">
        <v>1188</v>
      </c>
      <c r="B151" t="s">
        <v>1048</v>
      </c>
      <c r="C151" t="s">
        <v>1049</v>
      </c>
      <c r="D151" t="s">
        <v>4130</v>
      </c>
    </row>
    <row r="152" spans="1:4" x14ac:dyDescent="0.2">
      <c r="A152" t="s">
        <v>188</v>
      </c>
      <c r="B152" t="s">
        <v>1383</v>
      </c>
      <c r="C152" t="s">
        <v>1384</v>
      </c>
      <c r="D152" t="s">
        <v>3422</v>
      </c>
    </row>
    <row r="153" spans="1:4" x14ac:dyDescent="0.2">
      <c r="A153" t="s">
        <v>189</v>
      </c>
      <c r="B153" t="s">
        <v>2666</v>
      </c>
      <c r="C153" t="s">
        <v>2667</v>
      </c>
      <c r="D153" t="s">
        <v>3423</v>
      </c>
    </row>
    <row r="154" spans="1:4" x14ac:dyDescent="0.2">
      <c r="A154" t="s">
        <v>190</v>
      </c>
      <c r="B154" t="s">
        <v>1052</v>
      </c>
      <c r="C154" t="s">
        <v>1053</v>
      </c>
      <c r="D154" t="s">
        <v>3424</v>
      </c>
    </row>
    <row r="155" spans="1:4" x14ac:dyDescent="0.2">
      <c r="A155" t="s">
        <v>191</v>
      </c>
      <c r="B155" t="s">
        <v>2669</v>
      </c>
      <c r="C155" t="s">
        <v>2670</v>
      </c>
      <c r="D155" t="s">
        <v>3425</v>
      </c>
    </row>
    <row r="156" spans="1:4" x14ac:dyDescent="0.2">
      <c r="A156" t="s">
        <v>192</v>
      </c>
      <c r="B156" t="s">
        <v>1387</v>
      </c>
      <c r="C156" t="s">
        <v>1388</v>
      </c>
      <c r="D156" t="s">
        <v>3426</v>
      </c>
    </row>
    <row r="157" spans="1:4" x14ac:dyDescent="0.2">
      <c r="A157" t="s">
        <v>193</v>
      </c>
      <c r="B157" t="s">
        <v>2672</v>
      </c>
      <c r="C157" t="s">
        <v>2673</v>
      </c>
      <c r="D157" t="s">
        <v>3427</v>
      </c>
    </row>
    <row r="158" spans="1:4" x14ac:dyDescent="0.2">
      <c r="A158" t="s">
        <v>194</v>
      </c>
      <c r="B158" t="s">
        <v>2674</v>
      </c>
      <c r="C158" t="s">
        <v>2675</v>
      </c>
      <c r="D158" t="s">
        <v>3428</v>
      </c>
    </row>
    <row r="159" spans="1:4" x14ac:dyDescent="0.2">
      <c r="A159" t="s">
        <v>195</v>
      </c>
      <c r="B159" t="s">
        <v>1392</v>
      </c>
      <c r="C159" t="s">
        <v>1393</v>
      </c>
      <c r="D159" t="s">
        <v>3429</v>
      </c>
    </row>
    <row r="160" spans="1:4" x14ac:dyDescent="0.2">
      <c r="A160" t="s">
        <v>196</v>
      </c>
      <c r="B160" t="s">
        <v>1056</v>
      </c>
      <c r="C160" t="s">
        <v>1057</v>
      </c>
      <c r="D160" t="s">
        <v>3430</v>
      </c>
    </row>
    <row r="161" spans="1:4" x14ac:dyDescent="0.2">
      <c r="A161" t="s">
        <v>197</v>
      </c>
      <c r="B161" t="s">
        <v>1058</v>
      </c>
      <c r="C161" t="s">
        <v>1059</v>
      </c>
      <c r="D161" t="s">
        <v>3431</v>
      </c>
    </row>
    <row r="162" spans="1:4" x14ac:dyDescent="0.2">
      <c r="A162" t="s">
        <v>198</v>
      </c>
      <c r="B162" t="s">
        <v>1396</v>
      </c>
      <c r="C162" t="s">
        <v>1397</v>
      </c>
      <c r="D162" t="s">
        <v>3432</v>
      </c>
    </row>
    <row r="163" spans="1:4" x14ac:dyDescent="0.2">
      <c r="A163" t="s">
        <v>199</v>
      </c>
      <c r="B163" t="s">
        <v>2676</v>
      </c>
      <c r="C163" t="s">
        <v>2677</v>
      </c>
      <c r="D163" t="s">
        <v>3433</v>
      </c>
    </row>
    <row r="164" spans="1:4" x14ac:dyDescent="0.2">
      <c r="A164" t="s">
        <v>200</v>
      </c>
      <c r="B164" t="s">
        <v>1400</v>
      </c>
      <c r="C164" t="s">
        <v>1401</v>
      </c>
      <c r="D164" t="s">
        <v>3434</v>
      </c>
    </row>
    <row r="165" spans="1:4" x14ac:dyDescent="0.2">
      <c r="A165" t="s">
        <v>201</v>
      </c>
      <c r="B165" t="s">
        <v>1404</v>
      </c>
      <c r="C165" t="s">
        <v>1405</v>
      </c>
      <c r="D165" t="s">
        <v>3435</v>
      </c>
    </row>
    <row r="166" spans="1:4" x14ac:dyDescent="0.2">
      <c r="A166" t="s">
        <v>202</v>
      </c>
      <c r="B166" t="s">
        <v>1408</v>
      </c>
      <c r="C166" t="s">
        <v>1409</v>
      </c>
      <c r="D166" t="s">
        <v>3436</v>
      </c>
    </row>
    <row r="167" spans="1:4" x14ac:dyDescent="0.2">
      <c r="A167" t="s">
        <v>203</v>
      </c>
      <c r="B167" t="s">
        <v>2678</v>
      </c>
      <c r="C167" t="s">
        <v>2679</v>
      </c>
      <c r="D167" t="s">
        <v>3437</v>
      </c>
    </row>
    <row r="168" spans="1:4" x14ac:dyDescent="0.2">
      <c r="A168" t="s">
        <v>204</v>
      </c>
      <c r="B168" t="s">
        <v>1412</v>
      </c>
      <c r="C168" t="s">
        <v>1413</v>
      </c>
      <c r="D168" t="s">
        <v>3438</v>
      </c>
    </row>
    <row r="169" spans="1:4" x14ac:dyDescent="0.2">
      <c r="A169" t="s">
        <v>205</v>
      </c>
      <c r="B169" t="s">
        <v>1416</v>
      </c>
      <c r="C169" t="s">
        <v>1417</v>
      </c>
      <c r="D169" t="s">
        <v>3439</v>
      </c>
    </row>
    <row r="170" spans="1:4" x14ac:dyDescent="0.2">
      <c r="A170" t="s">
        <v>206</v>
      </c>
      <c r="B170" t="s">
        <v>1420</v>
      </c>
      <c r="C170" t="s">
        <v>1421</v>
      </c>
      <c r="D170" t="s">
        <v>3440</v>
      </c>
    </row>
    <row r="171" spans="1:4" x14ac:dyDescent="0.2">
      <c r="A171" t="s">
        <v>1234</v>
      </c>
      <c r="B171" t="s">
        <v>1424</v>
      </c>
      <c r="C171" t="s">
        <v>1425</v>
      </c>
      <c r="D171" t="s">
        <v>4168</v>
      </c>
    </row>
    <row r="172" spans="1:4" x14ac:dyDescent="0.2">
      <c r="A172" t="s">
        <v>1246</v>
      </c>
      <c r="B172" t="s">
        <v>2680</v>
      </c>
      <c r="C172" t="s">
        <v>2681</v>
      </c>
      <c r="D172" t="s">
        <v>4319</v>
      </c>
    </row>
    <row r="173" spans="1:4" x14ac:dyDescent="0.2">
      <c r="A173" t="s">
        <v>1237</v>
      </c>
      <c r="B173" t="s">
        <v>1426</v>
      </c>
      <c r="C173" t="s">
        <v>1427</v>
      </c>
      <c r="D173" t="s">
        <v>4169</v>
      </c>
    </row>
    <row r="174" spans="1:4" x14ac:dyDescent="0.2">
      <c r="A174" t="s">
        <v>1240</v>
      </c>
      <c r="B174" t="s">
        <v>1428</v>
      </c>
      <c r="C174" t="s">
        <v>1429</v>
      </c>
      <c r="D174" t="s">
        <v>4170</v>
      </c>
    </row>
    <row r="175" spans="1:4" x14ac:dyDescent="0.2">
      <c r="A175" t="s">
        <v>207</v>
      </c>
      <c r="B175" t="s">
        <v>1063</v>
      </c>
      <c r="C175" t="s">
        <v>1064</v>
      </c>
      <c r="D175" t="s">
        <v>4131</v>
      </c>
    </row>
    <row r="176" spans="1:4" x14ac:dyDescent="0.2">
      <c r="A176" t="s">
        <v>1243</v>
      </c>
      <c r="B176" t="s">
        <v>1434</v>
      </c>
      <c r="C176" t="s">
        <v>1435</v>
      </c>
      <c r="D176" t="s">
        <v>4173</v>
      </c>
    </row>
    <row r="177" spans="1:4" x14ac:dyDescent="0.2">
      <c r="A177" t="s">
        <v>1249</v>
      </c>
      <c r="B177" t="s">
        <v>2682</v>
      </c>
      <c r="C177" t="s">
        <v>2683</v>
      </c>
      <c r="D177" t="s">
        <v>4320</v>
      </c>
    </row>
    <row r="178" spans="1:4" x14ac:dyDescent="0.2">
      <c r="A178" t="s">
        <v>1231</v>
      </c>
      <c r="B178" t="s">
        <v>1067</v>
      </c>
      <c r="C178" t="s">
        <v>1068</v>
      </c>
      <c r="D178" t="s">
        <v>4132</v>
      </c>
    </row>
    <row r="179" spans="1:4" x14ac:dyDescent="0.2">
      <c r="A179" t="s">
        <v>1252</v>
      </c>
      <c r="B179" t="s">
        <v>2684</v>
      </c>
      <c r="C179" t="s">
        <v>2685</v>
      </c>
      <c r="D179" t="s">
        <v>4321</v>
      </c>
    </row>
    <row r="180" spans="1:4" x14ac:dyDescent="0.2">
      <c r="A180" t="s">
        <v>3281</v>
      </c>
      <c r="B180" t="s">
        <v>2687</v>
      </c>
      <c r="C180" t="s">
        <v>2688</v>
      </c>
      <c r="D180" t="s">
        <v>4322</v>
      </c>
    </row>
    <row r="181" spans="1:4" x14ac:dyDescent="0.2">
      <c r="A181" t="s">
        <v>208</v>
      </c>
      <c r="B181" t="s">
        <v>1069</v>
      </c>
      <c r="C181" t="s">
        <v>1070</v>
      </c>
      <c r="D181" t="s">
        <v>3442</v>
      </c>
    </row>
    <row r="182" spans="1:4" x14ac:dyDescent="0.2">
      <c r="A182" t="s">
        <v>209</v>
      </c>
      <c r="B182" t="s">
        <v>1073</v>
      </c>
      <c r="C182" t="s">
        <v>1074</v>
      </c>
      <c r="D182" t="s">
        <v>3443</v>
      </c>
    </row>
    <row r="183" spans="1:4" x14ac:dyDescent="0.2">
      <c r="A183" t="s">
        <v>210</v>
      </c>
      <c r="B183" t="s">
        <v>1092</v>
      </c>
      <c r="C183" t="s">
        <v>1093</v>
      </c>
      <c r="D183" t="s">
        <v>3444</v>
      </c>
    </row>
    <row r="184" spans="1:4" x14ac:dyDescent="0.2">
      <c r="A184" t="s">
        <v>211</v>
      </c>
      <c r="B184" t="s">
        <v>1098</v>
      </c>
      <c r="C184" t="s">
        <v>1099</v>
      </c>
      <c r="D184" t="s">
        <v>3445</v>
      </c>
    </row>
    <row r="185" spans="1:4" x14ac:dyDescent="0.2">
      <c r="A185" t="s">
        <v>212</v>
      </c>
      <c r="B185" t="s">
        <v>1102</v>
      </c>
      <c r="C185" t="s">
        <v>1103</v>
      </c>
      <c r="D185" t="s">
        <v>3446</v>
      </c>
    </row>
    <row r="186" spans="1:4" x14ac:dyDescent="0.2">
      <c r="A186" t="s">
        <v>213</v>
      </c>
      <c r="B186" t="s">
        <v>1436</v>
      </c>
      <c r="C186" t="s">
        <v>1437</v>
      </c>
      <c r="D186" t="s">
        <v>3447</v>
      </c>
    </row>
    <row r="187" spans="1:4" x14ac:dyDescent="0.2">
      <c r="A187" t="s">
        <v>214</v>
      </c>
      <c r="B187" t="s">
        <v>1440</v>
      </c>
      <c r="C187" t="s">
        <v>1441</v>
      </c>
      <c r="D187" t="s">
        <v>4175</v>
      </c>
    </row>
    <row r="188" spans="1:4" x14ac:dyDescent="0.2">
      <c r="A188" t="s">
        <v>1269</v>
      </c>
      <c r="B188" t="s">
        <v>1442</v>
      </c>
      <c r="C188" t="s">
        <v>1443</v>
      </c>
      <c r="D188" t="s">
        <v>4176</v>
      </c>
    </row>
    <row r="189" spans="1:4" x14ac:dyDescent="0.2">
      <c r="A189" t="s">
        <v>215</v>
      </c>
      <c r="B189" t="s">
        <v>2689</v>
      </c>
      <c r="C189" t="s">
        <v>2690</v>
      </c>
      <c r="D189" t="s">
        <v>3449</v>
      </c>
    </row>
    <row r="190" spans="1:4" x14ac:dyDescent="0.2">
      <c r="A190" t="s">
        <v>216</v>
      </c>
      <c r="B190" t="s">
        <v>2691</v>
      </c>
      <c r="C190" t="s">
        <v>2692</v>
      </c>
      <c r="D190" t="s">
        <v>3450</v>
      </c>
    </row>
    <row r="191" spans="1:4" x14ac:dyDescent="0.2">
      <c r="A191" t="s">
        <v>217</v>
      </c>
      <c r="B191" t="s">
        <v>1450</v>
      </c>
      <c r="C191" t="s">
        <v>1451</v>
      </c>
      <c r="D191" t="s">
        <v>3451</v>
      </c>
    </row>
    <row r="192" spans="1:4" x14ac:dyDescent="0.2">
      <c r="A192" t="s">
        <v>1280</v>
      </c>
      <c r="B192" t="s">
        <v>1456</v>
      </c>
      <c r="C192" t="s">
        <v>1457</v>
      </c>
      <c r="D192" t="s">
        <v>4179</v>
      </c>
    </row>
    <row r="193" spans="1:4" x14ac:dyDescent="0.2">
      <c r="A193" t="s">
        <v>218</v>
      </c>
      <c r="B193" t="s">
        <v>1106</v>
      </c>
      <c r="C193" t="s">
        <v>1107</v>
      </c>
      <c r="D193" t="s">
        <v>4140</v>
      </c>
    </row>
    <row r="194" spans="1:4" x14ac:dyDescent="0.2">
      <c r="A194" t="s">
        <v>219</v>
      </c>
      <c r="B194" t="s">
        <v>1108</v>
      </c>
      <c r="C194" t="s">
        <v>1109</v>
      </c>
      <c r="D194" t="s">
        <v>3453</v>
      </c>
    </row>
    <row r="195" spans="1:4" x14ac:dyDescent="0.2">
      <c r="A195" t="s">
        <v>220</v>
      </c>
      <c r="B195" t="s">
        <v>2693</v>
      </c>
      <c r="C195" t="s">
        <v>2694</v>
      </c>
      <c r="D195" t="s">
        <v>3454</v>
      </c>
    </row>
    <row r="196" spans="1:4" x14ac:dyDescent="0.2">
      <c r="A196" t="s">
        <v>1310</v>
      </c>
      <c r="B196" t="s">
        <v>2695</v>
      </c>
      <c r="C196" t="s">
        <v>2696</v>
      </c>
      <c r="D196" t="s">
        <v>4323</v>
      </c>
    </row>
    <row r="197" spans="1:4" x14ac:dyDescent="0.2">
      <c r="A197" t="s">
        <v>221</v>
      </c>
      <c r="B197" t="s">
        <v>1110</v>
      </c>
      <c r="C197" t="s">
        <v>1111</v>
      </c>
      <c r="D197" t="s">
        <v>4141</v>
      </c>
    </row>
    <row r="198" spans="1:4" x14ac:dyDescent="0.2">
      <c r="A198" t="s">
        <v>1313</v>
      </c>
      <c r="B198" t="s">
        <v>2697</v>
      </c>
      <c r="C198" t="s">
        <v>2698</v>
      </c>
      <c r="D198" t="s">
        <v>4324</v>
      </c>
    </row>
    <row r="199" spans="1:4" x14ac:dyDescent="0.2">
      <c r="A199" t="s">
        <v>1289</v>
      </c>
      <c r="B199" t="s">
        <v>1115</v>
      </c>
      <c r="C199" t="s">
        <v>1116</v>
      </c>
      <c r="D199" t="s">
        <v>4142</v>
      </c>
    </row>
    <row r="200" spans="1:4" x14ac:dyDescent="0.2">
      <c r="A200" t="s">
        <v>1301</v>
      </c>
      <c r="B200" t="s">
        <v>1462</v>
      </c>
      <c r="C200" t="s">
        <v>1463</v>
      </c>
      <c r="D200" t="s">
        <v>4181</v>
      </c>
    </row>
    <row r="201" spans="1:4" x14ac:dyDescent="0.2">
      <c r="A201" t="s">
        <v>1292</v>
      </c>
      <c r="B201" t="s">
        <v>1120</v>
      </c>
      <c r="C201" t="s">
        <v>1121</v>
      </c>
      <c r="D201" t="s">
        <v>4143</v>
      </c>
    </row>
    <row r="202" spans="1:4" x14ac:dyDescent="0.2">
      <c r="A202" t="s">
        <v>1295</v>
      </c>
      <c r="B202" t="s">
        <v>1124</v>
      </c>
      <c r="C202" t="s">
        <v>1125</v>
      </c>
      <c r="D202" t="s">
        <v>4144</v>
      </c>
    </row>
    <row r="203" spans="1:4" x14ac:dyDescent="0.2">
      <c r="A203" t="s">
        <v>1304</v>
      </c>
      <c r="B203" t="s">
        <v>1468</v>
      </c>
      <c r="C203" t="s">
        <v>1469</v>
      </c>
      <c r="D203" t="s">
        <v>4182</v>
      </c>
    </row>
    <row r="204" spans="1:4" x14ac:dyDescent="0.2">
      <c r="A204" t="s">
        <v>1307</v>
      </c>
      <c r="B204" t="s">
        <v>1473</v>
      </c>
      <c r="C204" t="s">
        <v>1474</v>
      </c>
      <c r="D204" t="s">
        <v>4183</v>
      </c>
    </row>
    <row r="205" spans="1:4" x14ac:dyDescent="0.2">
      <c r="A205" t="s">
        <v>1298</v>
      </c>
      <c r="B205" t="s">
        <v>1128</v>
      </c>
      <c r="C205" t="s">
        <v>1129</v>
      </c>
      <c r="D205" t="s">
        <v>4146</v>
      </c>
    </row>
    <row r="206" spans="1:4" x14ac:dyDescent="0.2">
      <c r="A206" t="s">
        <v>222</v>
      </c>
      <c r="B206" t="s">
        <v>1132</v>
      </c>
      <c r="C206" t="s">
        <v>1133</v>
      </c>
      <c r="D206" t="s">
        <v>3456</v>
      </c>
    </row>
    <row r="207" spans="1:4" x14ac:dyDescent="0.2">
      <c r="A207" t="s">
        <v>223</v>
      </c>
      <c r="B207" t="s">
        <v>1477</v>
      </c>
      <c r="C207" t="s">
        <v>1478</v>
      </c>
      <c r="D207" t="s">
        <v>3457</v>
      </c>
    </row>
    <row r="208" spans="1:4" x14ac:dyDescent="0.2">
      <c r="A208" t="s">
        <v>224</v>
      </c>
      <c r="B208" t="s">
        <v>1134</v>
      </c>
      <c r="C208" t="s">
        <v>1135</v>
      </c>
      <c r="D208" t="s">
        <v>3458</v>
      </c>
    </row>
    <row r="209" spans="1:4" x14ac:dyDescent="0.2">
      <c r="A209" t="s">
        <v>225</v>
      </c>
      <c r="B209" t="s">
        <v>2699</v>
      </c>
      <c r="C209" t="s">
        <v>2700</v>
      </c>
      <c r="D209" t="s">
        <v>3459</v>
      </c>
    </row>
    <row r="210" spans="1:4" x14ac:dyDescent="0.2">
      <c r="A210" t="s">
        <v>226</v>
      </c>
      <c r="B210" t="s">
        <v>1138</v>
      </c>
      <c r="C210" t="s">
        <v>1139</v>
      </c>
      <c r="D210" t="s">
        <v>3460</v>
      </c>
    </row>
    <row r="211" spans="1:4" x14ac:dyDescent="0.2">
      <c r="A211" t="s">
        <v>227</v>
      </c>
      <c r="B211" t="s">
        <v>1140</v>
      </c>
      <c r="C211" t="s">
        <v>1141</v>
      </c>
      <c r="D211" t="s">
        <v>3461</v>
      </c>
    </row>
    <row r="212" spans="1:4" x14ac:dyDescent="0.2">
      <c r="A212" t="s">
        <v>228</v>
      </c>
      <c r="B212" t="s">
        <v>2701</v>
      </c>
      <c r="C212" t="s">
        <v>2702</v>
      </c>
      <c r="D212" t="s">
        <v>3462</v>
      </c>
    </row>
    <row r="213" spans="1:4" x14ac:dyDescent="0.2">
      <c r="A213" t="s">
        <v>229</v>
      </c>
      <c r="B213" t="s">
        <v>2703</v>
      </c>
      <c r="C213" t="s">
        <v>2704</v>
      </c>
      <c r="D213" t="s">
        <v>3463</v>
      </c>
    </row>
    <row r="214" spans="1:4" x14ac:dyDescent="0.2">
      <c r="A214" t="s">
        <v>230</v>
      </c>
      <c r="B214" t="s">
        <v>2705</v>
      </c>
      <c r="C214" t="s">
        <v>2706</v>
      </c>
      <c r="D214" t="s">
        <v>3464</v>
      </c>
    </row>
    <row r="215" spans="1:4" x14ac:dyDescent="0.2">
      <c r="A215" t="s">
        <v>231</v>
      </c>
      <c r="B215" t="s">
        <v>1479</v>
      </c>
      <c r="C215" t="s">
        <v>1480</v>
      </c>
      <c r="D215" t="s">
        <v>3465</v>
      </c>
    </row>
    <row r="216" spans="1:4" x14ac:dyDescent="0.2">
      <c r="A216" t="s">
        <v>232</v>
      </c>
      <c r="B216" t="s">
        <v>1481</v>
      </c>
      <c r="C216" t="s">
        <v>1482</v>
      </c>
      <c r="D216" t="s">
        <v>3466</v>
      </c>
    </row>
    <row r="217" spans="1:4" x14ac:dyDescent="0.2">
      <c r="A217" t="s">
        <v>233</v>
      </c>
      <c r="B217" t="s">
        <v>2707</v>
      </c>
      <c r="C217" t="s">
        <v>2708</v>
      </c>
      <c r="D217" t="s">
        <v>3467</v>
      </c>
    </row>
    <row r="218" spans="1:4" x14ac:dyDescent="0.2">
      <c r="A218" t="s">
        <v>234</v>
      </c>
      <c r="B218" t="s">
        <v>1142</v>
      </c>
      <c r="C218" t="s">
        <v>1143</v>
      </c>
      <c r="D218" t="s">
        <v>3468</v>
      </c>
    </row>
    <row r="219" spans="1:4" x14ac:dyDescent="0.2">
      <c r="A219" t="s">
        <v>235</v>
      </c>
      <c r="B219" t="s">
        <v>1483</v>
      </c>
      <c r="C219" t="s">
        <v>1484</v>
      </c>
      <c r="D219" t="s">
        <v>3469</v>
      </c>
    </row>
    <row r="220" spans="1:4" x14ac:dyDescent="0.2">
      <c r="A220" t="s">
        <v>236</v>
      </c>
      <c r="B220" t="s">
        <v>1144</v>
      </c>
      <c r="C220" t="s">
        <v>1145</v>
      </c>
      <c r="D220" t="s">
        <v>3470</v>
      </c>
    </row>
    <row r="221" spans="1:4" x14ac:dyDescent="0.2">
      <c r="A221" t="s">
        <v>237</v>
      </c>
      <c r="B221" t="s">
        <v>1146</v>
      </c>
      <c r="C221" t="s">
        <v>1147</v>
      </c>
      <c r="D221" t="s">
        <v>3471</v>
      </c>
    </row>
    <row r="222" spans="1:4" x14ac:dyDescent="0.2">
      <c r="A222" t="s">
        <v>238</v>
      </c>
      <c r="B222" t="s">
        <v>2709</v>
      </c>
      <c r="C222" t="s">
        <v>2710</v>
      </c>
      <c r="D222" t="s">
        <v>3472</v>
      </c>
    </row>
    <row r="223" spans="1:4" x14ac:dyDescent="0.2">
      <c r="A223" t="s">
        <v>239</v>
      </c>
      <c r="B223" t="s">
        <v>1485</v>
      </c>
      <c r="C223" t="s">
        <v>1486</v>
      </c>
      <c r="D223" t="s">
        <v>3473</v>
      </c>
    </row>
    <row r="224" spans="1:4" x14ac:dyDescent="0.2">
      <c r="A224" t="s">
        <v>240</v>
      </c>
      <c r="B224" t="s">
        <v>1489</v>
      </c>
      <c r="C224" t="s">
        <v>1490</v>
      </c>
      <c r="D224" t="s">
        <v>3474</v>
      </c>
    </row>
    <row r="225" spans="1:4" x14ac:dyDescent="0.2">
      <c r="A225" t="s">
        <v>241</v>
      </c>
      <c r="B225" t="s">
        <v>2711</v>
      </c>
      <c r="C225" t="s">
        <v>2712</v>
      </c>
      <c r="D225" t="s">
        <v>3475</v>
      </c>
    </row>
    <row r="226" spans="1:4" x14ac:dyDescent="0.2">
      <c r="A226" t="s">
        <v>242</v>
      </c>
      <c r="B226" t="s">
        <v>1495</v>
      </c>
      <c r="C226" t="s">
        <v>1496</v>
      </c>
      <c r="D226" t="s">
        <v>3476</v>
      </c>
    </row>
    <row r="227" spans="1:4" x14ac:dyDescent="0.2">
      <c r="A227" t="s">
        <v>243</v>
      </c>
      <c r="B227" t="s">
        <v>1150</v>
      </c>
      <c r="C227" t="s">
        <v>1151</v>
      </c>
      <c r="D227" t="s">
        <v>3477</v>
      </c>
    </row>
    <row r="228" spans="1:4" x14ac:dyDescent="0.2">
      <c r="A228" t="s">
        <v>244</v>
      </c>
      <c r="B228" t="s">
        <v>2713</v>
      </c>
      <c r="C228" t="s">
        <v>2714</v>
      </c>
      <c r="D228" t="s">
        <v>4325</v>
      </c>
    </row>
    <row r="229" spans="1:4" x14ac:dyDescent="0.2">
      <c r="A229" t="s">
        <v>1362</v>
      </c>
      <c r="B229" t="s">
        <v>1152</v>
      </c>
      <c r="C229" t="s">
        <v>1153</v>
      </c>
      <c r="D229" t="s">
        <v>4147</v>
      </c>
    </row>
    <row r="230" spans="1:4" x14ac:dyDescent="0.2">
      <c r="A230" t="s">
        <v>245</v>
      </c>
      <c r="B230" t="s">
        <v>1156</v>
      </c>
      <c r="C230" t="s">
        <v>1157</v>
      </c>
      <c r="D230" t="s">
        <v>3479</v>
      </c>
    </row>
    <row r="231" spans="1:4" x14ac:dyDescent="0.2">
      <c r="A231" t="s">
        <v>246</v>
      </c>
      <c r="B231" t="s">
        <v>2715</v>
      </c>
      <c r="C231" t="s">
        <v>2716</v>
      </c>
      <c r="D231" t="s">
        <v>3480</v>
      </c>
    </row>
    <row r="232" spans="1:4" x14ac:dyDescent="0.2">
      <c r="A232" t="s">
        <v>247</v>
      </c>
      <c r="B232" t="s">
        <v>1160</v>
      </c>
      <c r="C232" t="s">
        <v>1161</v>
      </c>
      <c r="D232" t="s">
        <v>3481</v>
      </c>
    </row>
    <row r="233" spans="1:4" x14ac:dyDescent="0.2">
      <c r="A233" t="s">
        <v>248</v>
      </c>
      <c r="B233" t="s">
        <v>2717</v>
      </c>
      <c r="C233" t="s">
        <v>2718</v>
      </c>
      <c r="D233" t="s">
        <v>3482</v>
      </c>
    </row>
    <row r="234" spans="1:4" x14ac:dyDescent="0.2">
      <c r="A234" t="s">
        <v>249</v>
      </c>
      <c r="B234" t="s">
        <v>1166</v>
      </c>
      <c r="C234" t="s">
        <v>1167</v>
      </c>
      <c r="D234" t="s">
        <v>3483</v>
      </c>
    </row>
    <row r="235" spans="1:4" x14ac:dyDescent="0.2">
      <c r="A235" t="s">
        <v>250</v>
      </c>
      <c r="B235" t="s">
        <v>1184</v>
      </c>
      <c r="C235" t="s">
        <v>1185</v>
      </c>
      <c r="D235" t="s">
        <v>3484</v>
      </c>
    </row>
    <row r="236" spans="1:4" x14ac:dyDescent="0.2">
      <c r="A236" t="s">
        <v>251</v>
      </c>
      <c r="B236" t="s">
        <v>2719</v>
      </c>
      <c r="C236" t="s">
        <v>2720</v>
      </c>
      <c r="D236" t="s">
        <v>3485</v>
      </c>
    </row>
    <row r="237" spans="1:4" x14ac:dyDescent="0.2">
      <c r="A237" t="s">
        <v>252</v>
      </c>
      <c r="B237" t="s">
        <v>1497</v>
      </c>
      <c r="C237" t="s">
        <v>1498</v>
      </c>
      <c r="D237" t="s">
        <v>3486</v>
      </c>
    </row>
    <row r="238" spans="1:4" x14ac:dyDescent="0.2">
      <c r="A238" t="s">
        <v>253</v>
      </c>
      <c r="B238" t="s">
        <v>1501</v>
      </c>
      <c r="C238" t="s">
        <v>1502</v>
      </c>
      <c r="D238" t="s">
        <v>3487</v>
      </c>
    </row>
    <row r="239" spans="1:4" x14ac:dyDescent="0.2">
      <c r="A239" t="s">
        <v>254</v>
      </c>
      <c r="B239" t="s">
        <v>1508</v>
      </c>
      <c r="C239" t="s">
        <v>1509</v>
      </c>
      <c r="D239" t="s">
        <v>3488</v>
      </c>
    </row>
    <row r="240" spans="1:4" x14ac:dyDescent="0.2">
      <c r="A240" t="s">
        <v>255</v>
      </c>
      <c r="B240" t="s">
        <v>1515</v>
      </c>
      <c r="C240" t="s">
        <v>1516</v>
      </c>
      <c r="D240" t="s">
        <v>3489</v>
      </c>
    </row>
    <row r="241" spans="1:4" x14ac:dyDescent="0.2">
      <c r="A241" t="s">
        <v>256</v>
      </c>
      <c r="B241" t="s">
        <v>1520</v>
      </c>
      <c r="C241" t="s">
        <v>1521</v>
      </c>
      <c r="D241" t="s">
        <v>3490</v>
      </c>
    </row>
    <row r="242" spans="1:4" x14ac:dyDescent="0.2">
      <c r="A242" t="s">
        <v>257</v>
      </c>
      <c r="B242" t="s">
        <v>2721</v>
      </c>
      <c r="C242" t="s">
        <v>2722</v>
      </c>
      <c r="D242" t="s">
        <v>3491</v>
      </c>
    </row>
    <row r="243" spans="1:4" x14ac:dyDescent="0.2">
      <c r="A243" t="s">
        <v>1391</v>
      </c>
      <c r="B243" t="s">
        <v>2723</v>
      </c>
      <c r="C243" t="s">
        <v>2724</v>
      </c>
      <c r="D243" t="s">
        <v>4326</v>
      </c>
    </row>
    <row r="244" spans="1:4" x14ac:dyDescent="0.2">
      <c r="A244" t="s">
        <v>258</v>
      </c>
      <c r="B244" t="s">
        <v>2725</v>
      </c>
      <c r="C244" t="s">
        <v>2726</v>
      </c>
      <c r="D244" t="s">
        <v>3492</v>
      </c>
    </row>
    <row r="245" spans="1:4" x14ac:dyDescent="0.2">
      <c r="A245" t="s">
        <v>259</v>
      </c>
      <c r="B245" t="s">
        <v>2727</v>
      </c>
      <c r="C245" t="s">
        <v>2728</v>
      </c>
      <c r="D245" t="s">
        <v>3493</v>
      </c>
    </row>
    <row r="246" spans="1:4" x14ac:dyDescent="0.2">
      <c r="A246" t="s">
        <v>260</v>
      </c>
      <c r="B246" t="s">
        <v>2729</v>
      </c>
      <c r="C246" t="s">
        <v>2730</v>
      </c>
      <c r="D246" t="s">
        <v>3494</v>
      </c>
    </row>
    <row r="247" spans="1:4" x14ac:dyDescent="0.2">
      <c r="A247" t="s">
        <v>261</v>
      </c>
      <c r="B247" t="s">
        <v>1525</v>
      </c>
      <c r="C247" t="s">
        <v>1526</v>
      </c>
      <c r="D247" t="s">
        <v>3495</v>
      </c>
    </row>
    <row r="248" spans="1:4" x14ac:dyDescent="0.2">
      <c r="A248" t="s">
        <v>262</v>
      </c>
      <c r="B248" t="s">
        <v>2731</v>
      </c>
      <c r="C248" t="s">
        <v>2732</v>
      </c>
      <c r="D248" t="s">
        <v>3496</v>
      </c>
    </row>
    <row r="249" spans="1:4" x14ac:dyDescent="0.2">
      <c r="A249" t="s">
        <v>263</v>
      </c>
      <c r="B249" t="s">
        <v>1530</v>
      </c>
      <c r="C249" t="s">
        <v>1531</v>
      </c>
      <c r="D249" t="s">
        <v>3497</v>
      </c>
    </row>
    <row r="250" spans="1:4" x14ac:dyDescent="0.2">
      <c r="A250" t="s">
        <v>264</v>
      </c>
      <c r="B250" t="s">
        <v>1186</v>
      </c>
      <c r="C250" t="s">
        <v>1187</v>
      </c>
      <c r="D250" t="s">
        <v>3498</v>
      </c>
    </row>
    <row r="251" spans="1:4" x14ac:dyDescent="0.2">
      <c r="A251" t="s">
        <v>265</v>
      </c>
      <c r="B251" t="s">
        <v>2733</v>
      </c>
      <c r="C251" t="s">
        <v>2734</v>
      </c>
      <c r="D251" t="s">
        <v>3499</v>
      </c>
    </row>
    <row r="252" spans="1:4" x14ac:dyDescent="0.2">
      <c r="A252" t="s">
        <v>266</v>
      </c>
      <c r="B252" t="s">
        <v>1191</v>
      </c>
      <c r="C252" t="s">
        <v>1192</v>
      </c>
      <c r="D252" t="s">
        <v>3500</v>
      </c>
    </row>
    <row r="253" spans="1:4" x14ac:dyDescent="0.2">
      <c r="A253" t="s">
        <v>267</v>
      </c>
      <c r="B253" t="s">
        <v>2735</v>
      </c>
      <c r="C253" t="s">
        <v>2736</v>
      </c>
      <c r="D253" t="s">
        <v>3501</v>
      </c>
    </row>
    <row r="254" spans="1:4" x14ac:dyDescent="0.2">
      <c r="A254" t="s">
        <v>268</v>
      </c>
      <c r="B254" t="s">
        <v>1195</v>
      </c>
      <c r="C254" t="s">
        <v>1196</v>
      </c>
      <c r="D254" t="s">
        <v>3502</v>
      </c>
    </row>
    <row r="255" spans="1:4" x14ac:dyDescent="0.2">
      <c r="A255" t="s">
        <v>269</v>
      </c>
      <c r="B255" t="s">
        <v>1536</v>
      </c>
      <c r="C255" t="s">
        <v>1537</v>
      </c>
      <c r="D255" t="s">
        <v>3503</v>
      </c>
    </row>
    <row r="256" spans="1:4" x14ac:dyDescent="0.2">
      <c r="A256" t="s">
        <v>270</v>
      </c>
      <c r="B256" t="s">
        <v>1540</v>
      </c>
      <c r="C256" t="s">
        <v>1541</v>
      </c>
      <c r="D256" t="s">
        <v>3504</v>
      </c>
    </row>
    <row r="257" spans="1:4" x14ac:dyDescent="0.2">
      <c r="A257" t="s">
        <v>271</v>
      </c>
      <c r="B257" t="s">
        <v>2737</v>
      </c>
      <c r="C257" t="s">
        <v>2738</v>
      </c>
      <c r="D257" t="s">
        <v>3505</v>
      </c>
    </row>
    <row r="258" spans="1:4" x14ac:dyDescent="0.2">
      <c r="A258" t="s">
        <v>272</v>
      </c>
      <c r="B258" t="s">
        <v>2739</v>
      </c>
      <c r="C258" t="s">
        <v>2740</v>
      </c>
      <c r="D258" t="s">
        <v>3506</v>
      </c>
    </row>
    <row r="259" spans="1:4" x14ac:dyDescent="0.2">
      <c r="A259" t="s">
        <v>273</v>
      </c>
      <c r="B259" t="s">
        <v>2741</v>
      </c>
      <c r="C259" t="s">
        <v>2742</v>
      </c>
      <c r="D259" t="s">
        <v>3507</v>
      </c>
    </row>
    <row r="260" spans="1:4" x14ac:dyDescent="0.2">
      <c r="A260" t="s">
        <v>274</v>
      </c>
      <c r="B260" t="s">
        <v>1544</v>
      </c>
      <c r="C260" t="s">
        <v>1545</v>
      </c>
      <c r="D260" t="s">
        <v>3508</v>
      </c>
    </row>
    <row r="261" spans="1:4" x14ac:dyDescent="0.2">
      <c r="A261" t="s">
        <v>275</v>
      </c>
      <c r="B261" t="s">
        <v>1548</v>
      </c>
      <c r="C261" t="s">
        <v>1549</v>
      </c>
      <c r="D261" t="s">
        <v>3509</v>
      </c>
    </row>
    <row r="262" spans="1:4" x14ac:dyDescent="0.2">
      <c r="A262" t="s">
        <v>276</v>
      </c>
      <c r="B262" t="s">
        <v>2743</v>
      </c>
      <c r="C262" t="s">
        <v>2744</v>
      </c>
      <c r="D262" t="s">
        <v>3510</v>
      </c>
    </row>
    <row r="263" spans="1:4" x14ac:dyDescent="0.2">
      <c r="A263" t="s">
        <v>277</v>
      </c>
      <c r="B263" t="s">
        <v>2745</v>
      </c>
      <c r="C263" t="s">
        <v>2746</v>
      </c>
      <c r="D263" t="s">
        <v>3511</v>
      </c>
    </row>
    <row r="264" spans="1:4" x14ac:dyDescent="0.2">
      <c r="A264" t="s">
        <v>278</v>
      </c>
      <c r="B264" t="s">
        <v>1553</v>
      </c>
      <c r="C264" t="s">
        <v>1554</v>
      </c>
      <c r="D264" t="s">
        <v>3512</v>
      </c>
    </row>
    <row r="265" spans="1:4" x14ac:dyDescent="0.2">
      <c r="A265" t="s">
        <v>279</v>
      </c>
      <c r="B265" t="s">
        <v>1199</v>
      </c>
      <c r="C265" t="s">
        <v>1200</v>
      </c>
      <c r="D265" t="s">
        <v>3513</v>
      </c>
    </row>
    <row r="266" spans="1:4" x14ac:dyDescent="0.2">
      <c r="A266" t="s">
        <v>280</v>
      </c>
      <c r="B266" t="s">
        <v>1203</v>
      </c>
      <c r="C266" t="s">
        <v>1204</v>
      </c>
      <c r="D266" t="s">
        <v>3514</v>
      </c>
    </row>
    <row r="267" spans="1:4" x14ac:dyDescent="0.2">
      <c r="A267" t="s">
        <v>281</v>
      </c>
      <c r="B267" t="s">
        <v>1207</v>
      </c>
      <c r="C267" t="s">
        <v>1208</v>
      </c>
      <c r="D267" t="s">
        <v>3515</v>
      </c>
    </row>
    <row r="268" spans="1:4" x14ac:dyDescent="0.2">
      <c r="A268" t="s">
        <v>282</v>
      </c>
      <c r="B268" t="s">
        <v>2747</v>
      </c>
      <c r="C268" t="s">
        <v>2748</v>
      </c>
      <c r="D268" t="s">
        <v>3516</v>
      </c>
    </row>
    <row r="269" spans="1:4" x14ac:dyDescent="0.2">
      <c r="A269" t="s">
        <v>1449</v>
      </c>
      <c r="B269" t="s">
        <v>1557</v>
      </c>
      <c r="C269" t="s">
        <v>1558</v>
      </c>
      <c r="D269" t="s">
        <v>4185</v>
      </c>
    </row>
    <row r="270" spans="1:4" x14ac:dyDescent="0.2">
      <c r="A270" t="s">
        <v>1458</v>
      </c>
      <c r="B270" t="s">
        <v>2749</v>
      </c>
      <c r="C270" t="s">
        <v>2750</v>
      </c>
      <c r="D270" t="s">
        <v>4327</v>
      </c>
    </row>
    <row r="271" spans="1:4" x14ac:dyDescent="0.2">
      <c r="A271" t="s">
        <v>1461</v>
      </c>
      <c r="B271" t="s">
        <v>2751</v>
      </c>
      <c r="C271" t="s">
        <v>2752</v>
      </c>
      <c r="D271" t="s">
        <v>4328</v>
      </c>
    </row>
    <row r="272" spans="1:4" x14ac:dyDescent="0.2">
      <c r="A272" t="s">
        <v>1452</v>
      </c>
      <c r="B272" t="s">
        <v>1561</v>
      </c>
      <c r="C272" t="s">
        <v>1562</v>
      </c>
      <c r="D272" t="s">
        <v>4186</v>
      </c>
    </row>
    <row r="273" spans="1:4" x14ac:dyDescent="0.2">
      <c r="A273" t="s">
        <v>1464</v>
      </c>
      <c r="B273" t="s">
        <v>2753</v>
      </c>
      <c r="C273" t="s">
        <v>2754</v>
      </c>
      <c r="D273" t="s">
        <v>4329</v>
      </c>
    </row>
    <row r="274" spans="1:4" x14ac:dyDescent="0.2">
      <c r="A274" t="s">
        <v>1467</v>
      </c>
      <c r="B274" t="s">
        <v>2755</v>
      </c>
      <c r="C274" t="s">
        <v>2756</v>
      </c>
      <c r="D274" t="s">
        <v>4330</v>
      </c>
    </row>
    <row r="275" spans="1:4" x14ac:dyDescent="0.2">
      <c r="A275" t="s">
        <v>283</v>
      </c>
      <c r="B275" t="s">
        <v>1211</v>
      </c>
      <c r="C275" t="s">
        <v>1212</v>
      </c>
      <c r="D275" t="s">
        <v>4149</v>
      </c>
    </row>
    <row r="276" spans="1:4" x14ac:dyDescent="0.2">
      <c r="A276" t="s">
        <v>1470</v>
      </c>
      <c r="B276" t="s">
        <v>2757</v>
      </c>
      <c r="C276" t="s">
        <v>2758</v>
      </c>
      <c r="D276" t="s">
        <v>4331</v>
      </c>
    </row>
    <row r="277" spans="1:4" x14ac:dyDescent="0.2">
      <c r="A277" t="s">
        <v>1455</v>
      </c>
      <c r="B277" t="s">
        <v>1566</v>
      </c>
      <c r="C277" t="s">
        <v>1567</v>
      </c>
      <c r="D277" t="s">
        <v>4188</v>
      </c>
    </row>
    <row r="278" spans="1:4" x14ac:dyDescent="0.2">
      <c r="A278" t="s">
        <v>1446</v>
      </c>
      <c r="B278" t="s">
        <v>1215</v>
      </c>
      <c r="C278" t="s">
        <v>1216</v>
      </c>
      <c r="D278" t="s">
        <v>4150</v>
      </c>
    </row>
    <row r="279" spans="1:4" x14ac:dyDescent="0.2">
      <c r="A279" t="s">
        <v>284</v>
      </c>
      <c r="B279" t="s">
        <v>2759</v>
      </c>
      <c r="C279" t="s">
        <v>2760</v>
      </c>
      <c r="D279" t="s">
        <v>3518</v>
      </c>
    </row>
    <row r="280" spans="1:4" x14ac:dyDescent="0.2">
      <c r="A280" t="s">
        <v>285</v>
      </c>
      <c r="B280" t="s">
        <v>1219</v>
      </c>
      <c r="C280" t="s">
        <v>1220</v>
      </c>
      <c r="D280" t="s">
        <v>3519</v>
      </c>
    </row>
    <row r="281" spans="1:4" x14ac:dyDescent="0.2">
      <c r="A281" t="s">
        <v>286</v>
      </c>
      <c r="B281" t="s">
        <v>2762</v>
      </c>
      <c r="C281" t="s">
        <v>2763</v>
      </c>
      <c r="D281" t="s">
        <v>3520</v>
      </c>
    </row>
    <row r="282" spans="1:4" x14ac:dyDescent="0.2">
      <c r="A282" t="s">
        <v>287</v>
      </c>
      <c r="B282" t="s">
        <v>2764</v>
      </c>
      <c r="C282" t="s">
        <v>2765</v>
      </c>
      <c r="D282" t="s">
        <v>3521</v>
      </c>
    </row>
    <row r="283" spans="1:4" x14ac:dyDescent="0.2">
      <c r="A283" t="s">
        <v>288</v>
      </c>
      <c r="B283" t="s">
        <v>2766</v>
      </c>
      <c r="C283" t="s">
        <v>2767</v>
      </c>
      <c r="D283" t="s">
        <v>3522</v>
      </c>
    </row>
    <row r="284" spans="1:4" x14ac:dyDescent="0.2">
      <c r="A284" t="s">
        <v>289</v>
      </c>
      <c r="B284" t="s">
        <v>1225</v>
      </c>
      <c r="C284" t="s">
        <v>1226</v>
      </c>
      <c r="D284" t="s">
        <v>3523</v>
      </c>
    </row>
    <row r="285" spans="1:4" x14ac:dyDescent="0.2">
      <c r="A285" t="s">
        <v>290</v>
      </c>
      <c r="B285" t="s">
        <v>1229</v>
      </c>
      <c r="C285" t="s">
        <v>1230</v>
      </c>
      <c r="D285" t="s">
        <v>3524</v>
      </c>
    </row>
    <row r="286" spans="1:4" x14ac:dyDescent="0.2">
      <c r="A286" t="s">
        <v>291</v>
      </c>
      <c r="B286" t="s">
        <v>2768</v>
      </c>
      <c r="C286" t="s">
        <v>2769</v>
      </c>
      <c r="D286" t="s">
        <v>3525</v>
      </c>
    </row>
    <row r="287" spans="1:4" x14ac:dyDescent="0.2">
      <c r="A287" t="s">
        <v>292</v>
      </c>
      <c r="B287" t="s">
        <v>1570</v>
      </c>
      <c r="C287" t="s">
        <v>1571</v>
      </c>
      <c r="D287" t="s">
        <v>3526</v>
      </c>
    </row>
    <row r="288" spans="1:4" x14ac:dyDescent="0.2">
      <c r="A288" t="s">
        <v>1491</v>
      </c>
      <c r="B288" t="s">
        <v>2770</v>
      </c>
      <c r="C288" t="s">
        <v>2771</v>
      </c>
      <c r="D288" t="s">
        <v>4332</v>
      </c>
    </row>
    <row r="289" spans="1:4" x14ac:dyDescent="0.2">
      <c r="A289" t="s">
        <v>1494</v>
      </c>
      <c r="B289" t="s">
        <v>875</v>
      </c>
      <c r="C289" t="s">
        <v>876</v>
      </c>
      <c r="D289" t="s">
        <v>4111</v>
      </c>
    </row>
    <row r="290" spans="1:4" x14ac:dyDescent="0.2">
      <c r="A290" t="s">
        <v>293</v>
      </c>
      <c r="B290" t="s">
        <v>1013</v>
      </c>
      <c r="C290" t="s">
        <v>1014</v>
      </c>
      <c r="D290" t="s">
        <v>3527</v>
      </c>
    </row>
    <row r="291" spans="1:4" x14ac:dyDescent="0.2">
      <c r="A291" t="s">
        <v>294</v>
      </c>
      <c r="B291" t="s">
        <v>1017</v>
      </c>
      <c r="C291" t="s">
        <v>1018</v>
      </c>
      <c r="D291" t="s">
        <v>3528</v>
      </c>
    </row>
    <row r="292" spans="1:4" x14ac:dyDescent="0.2">
      <c r="A292" t="s">
        <v>295</v>
      </c>
      <c r="B292" t="s">
        <v>2482</v>
      </c>
      <c r="C292" t="s">
        <v>2483</v>
      </c>
      <c r="D292" t="s">
        <v>3529</v>
      </c>
    </row>
    <row r="293" spans="1:4" x14ac:dyDescent="0.2">
      <c r="A293" t="s">
        <v>1503</v>
      </c>
      <c r="B293" t="s">
        <v>2485</v>
      </c>
      <c r="C293" t="s">
        <v>2486</v>
      </c>
      <c r="D293" t="s">
        <v>4305</v>
      </c>
    </row>
    <row r="294" spans="1:4" x14ac:dyDescent="0.2">
      <c r="A294" t="s">
        <v>296</v>
      </c>
      <c r="B294" t="s">
        <v>2487</v>
      </c>
      <c r="C294" t="s">
        <v>2488</v>
      </c>
      <c r="D294" t="s">
        <v>3530</v>
      </c>
    </row>
    <row r="295" spans="1:4" x14ac:dyDescent="0.2">
      <c r="A295" t="s">
        <v>297</v>
      </c>
      <c r="B295" t="s">
        <v>877</v>
      </c>
      <c r="C295" t="s">
        <v>878</v>
      </c>
      <c r="D295" t="s">
        <v>3531</v>
      </c>
    </row>
    <row r="296" spans="1:4" x14ac:dyDescent="0.2">
      <c r="A296" t="s">
        <v>298</v>
      </c>
      <c r="B296" t="s">
        <v>2489</v>
      </c>
      <c r="C296" t="s">
        <v>2490</v>
      </c>
      <c r="D296" t="s">
        <v>3532</v>
      </c>
    </row>
    <row r="297" spans="1:4" x14ac:dyDescent="0.2">
      <c r="A297" t="s">
        <v>299</v>
      </c>
      <c r="B297" t="s">
        <v>1025</v>
      </c>
      <c r="C297" t="s">
        <v>1026</v>
      </c>
      <c r="D297" t="s">
        <v>3533</v>
      </c>
    </row>
    <row r="298" spans="1:4" x14ac:dyDescent="0.2">
      <c r="A298" t="s">
        <v>1514</v>
      </c>
      <c r="B298" t="s">
        <v>2492</v>
      </c>
      <c r="C298" t="s">
        <v>2493</v>
      </c>
      <c r="D298" t="s">
        <v>4306</v>
      </c>
    </row>
    <row r="299" spans="1:4" x14ac:dyDescent="0.2">
      <c r="A299" t="s">
        <v>1517</v>
      </c>
      <c r="B299" t="s">
        <v>1029</v>
      </c>
      <c r="C299" t="s">
        <v>1030</v>
      </c>
      <c r="D299" t="s">
        <v>4128</v>
      </c>
    </row>
    <row r="300" spans="1:4" x14ac:dyDescent="0.2">
      <c r="A300" t="s">
        <v>300</v>
      </c>
      <c r="B300" t="s">
        <v>1034</v>
      </c>
      <c r="C300" t="s">
        <v>1035</v>
      </c>
      <c r="D300" t="s">
        <v>3534</v>
      </c>
    </row>
    <row r="301" spans="1:4" x14ac:dyDescent="0.2">
      <c r="A301" t="s">
        <v>1522</v>
      </c>
      <c r="B301" t="s">
        <v>1040</v>
      </c>
      <c r="C301" t="s">
        <v>1041</v>
      </c>
      <c r="D301" t="s">
        <v>4129</v>
      </c>
    </row>
    <row r="302" spans="1:4" x14ac:dyDescent="0.2">
      <c r="A302" t="s">
        <v>301</v>
      </c>
      <c r="B302" t="s">
        <v>1046</v>
      </c>
      <c r="C302" t="s">
        <v>1047</v>
      </c>
      <c r="D302" t="s">
        <v>3535</v>
      </c>
    </row>
    <row r="303" spans="1:4" x14ac:dyDescent="0.2">
      <c r="A303" t="s">
        <v>302</v>
      </c>
      <c r="B303" t="s">
        <v>1050</v>
      </c>
      <c r="C303" t="s">
        <v>1051</v>
      </c>
      <c r="D303" t="s">
        <v>3536</v>
      </c>
    </row>
    <row r="304" spans="1:4" x14ac:dyDescent="0.2">
      <c r="A304" t="s">
        <v>1529</v>
      </c>
      <c r="B304" t="s">
        <v>879</v>
      </c>
      <c r="C304" t="s">
        <v>880</v>
      </c>
      <c r="D304" t="s">
        <v>4112</v>
      </c>
    </row>
    <row r="305" spans="1:4" x14ac:dyDescent="0.2">
      <c r="A305" t="s">
        <v>303</v>
      </c>
      <c r="B305" t="s">
        <v>1054</v>
      </c>
      <c r="C305" t="s">
        <v>1055</v>
      </c>
      <c r="D305" t="s">
        <v>3537</v>
      </c>
    </row>
    <row r="306" spans="1:4" x14ac:dyDescent="0.2">
      <c r="A306" t="s">
        <v>304</v>
      </c>
      <c r="B306" t="s">
        <v>2494</v>
      </c>
      <c r="C306" t="s">
        <v>2495</v>
      </c>
      <c r="D306" t="s">
        <v>3538</v>
      </c>
    </row>
    <row r="307" spans="1:4" x14ac:dyDescent="0.2">
      <c r="A307" t="s">
        <v>305</v>
      </c>
      <c r="B307" t="s">
        <v>881</v>
      </c>
      <c r="C307" t="s">
        <v>882</v>
      </c>
      <c r="D307" t="s">
        <v>3539</v>
      </c>
    </row>
    <row r="308" spans="1:4" x14ac:dyDescent="0.2">
      <c r="A308" t="s">
        <v>306</v>
      </c>
      <c r="B308" t="s">
        <v>1235</v>
      </c>
      <c r="C308" t="s">
        <v>1236</v>
      </c>
      <c r="D308" t="s">
        <v>3540</v>
      </c>
    </row>
    <row r="309" spans="1:4" x14ac:dyDescent="0.2">
      <c r="A309" t="s">
        <v>307</v>
      </c>
      <c r="B309" t="s">
        <v>2773</v>
      </c>
      <c r="C309" t="s">
        <v>2774</v>
      </c>
      <c r="D309" t="s">
        <v>3541</v>
      </c>
    </row>
    <row r="310" spans="1:4" x14ac:dyDescent="0.2">
      <c r="A310" t="s">
        <v>308</v>
      </c>
      <c r="B310" t="s">
        <v>1241</v>
      </c>
      <c r="C310" t="s">
        <v>1242</v>
      </c>
      <c r="D310" t="s">
        <v>3542</v>
      </c>
    </row>
    <row r="311" spans="1:4" x14ac:dyDescent="0.2">
      <c r="A311" t="s">
        <v>309</v>
      </c>
      <c r="B311" t="s">
        <v>2776</v>
      </c>
      <c r="C311" t="s">
        <v>2777</v>
      </c>
      <c r="D311" t="s">
        <v>3543</v>
      </c>
    </row>
    <row r="312" spans="1:4" x14ac:dyDescent="0.2">
      <c r="A312" t="s">
        <v>310</v>
      </c>
      <c r="B312" t="s">
        <v>1574</v>
      </c>
      <c r="C312" t="s">
        <v>1575</v>
      </c>
      <c r="D312" t="s">
        <v>3544</v>
      </c>
    </row>
    <row r="313" spans="1:4" x14ac:dyDescent="0.2">
      <c r="A313" t="s">
        <v>311</v>
      </c>
      <c r="B313" t="s">
        <v>2779</v>
      </c>
      <c r="C313" t="s">
        <v>2780</v>
      </c>
      <c r="D313" t="s">
        <v>3545</v>
      </c>
    </row>
    <row r="314" spans="1:4" x14ac:dyDescent="0.2">
      <c r="A314" t="s">
        <v>1550</v>
      </c>
      <c r="B314" t="s">
        <v>2781</v>
      </c>
      <c r="C314" t="s">
        <v>2782</v>
      </c>
      <c r="D314" t="s">
        <v>4333</v>
      </c>
    </row>
    <row r="315" spans="1:4" x14ac:dyDescent="0.2">
      <c r="A315" t="s">
        <v>312</v>
      </c>
      <c r="B315" t="s">
        <v>1578</v>
      </c>
      <c r="C315" t="s">
        <v>1579</v>
      </c>
      <c r="D315" t="s">
        <v>3546</v>
      </c>
    </row>
    <row r="316" spans="1:4" x14ac:dyDescent="0.2">
      <c r="A316" t="s">
        <v>313</v>
      </c>
      <c r="B316" t="s">
        <v>2783</v>
      </c>
      <c r="C316" t="s">
        <v>2784</v>
      </c>
      <c r="D316" t="s">
        <v>3547</v>
      </c>
    </row>
    <row r="317" spans="1:4" x14ac:dyDescent="0.2">
      <c r="A317" t="s">
        <v>314</v>
      </c>
      <c r="B317" t="s">
        <v>1244</v>
      </c>
      <c r="C317" t="s">
        <v>1245</v>
      </c>
      <c r="D317" t="s">
        <v>3548</v>
      </c>
    </row>
    <row r="318" spans="1:4" x14ac:dyDescent="0.2">
      <c r="A318" t="s">
        <v>315</v>
      </c>
      <c r="B318" t="s">
        <v>1583</v>
      </c>
      <c r="C318" t="s">
        <v>1584</v>
      </c>
      <c r="D318" t="s">
        <v>3549</v>
      </c>
    </row>
    <row r="319" spans="1:4" x14ac:dyDescent="0.2">
      <c r="A319" t="s">
        <v>316</v>
      </c>
      <c r="B319" t="s">
        <v>1253</v>
      </c>
      <c r="C319" t="s">
        <v>1254</v>
      </c>
      <c r="D319" t="s">
        <v>3550</v>
      </c>
    </row>
    <row r="320" spans="1:4" x14ac:dyDescent="0.2">
      <c r="A320" t="s">
        <v>317</v>
      </c>
      <c r="B320" t="s">
        <v>1257</v>
      </c>
      <c r="C320" t="s">
        <v>1258</v>
      </c>
      <c r="D320" t="s">
        <v>3551</v>
      </c>
    </row>
    <row r="321" spans="1:4" x14ac:dyDescent="0.2">
      <c r="A321" t="s">
        <v>1565</v>
      </c>
      <c r="B321" t="s">
        <v>2785</v>
      </c>
      <c r="C321" t="s">
        <v>2786</v>
      </c>
      <c r="D321" t="s">
        <v>4334</v>
      </c>
    </row>
    <row r="322" spans="1:4" x14ac:dyDescent="0.2">
      <c r="A322" t="s">
        <v>318</v>
      </c>
      <c r="B322" t="s">
        <v>1587</v>
      </c>
      <c r="C322" t="s">
        <v>1588</v>
      </c>
      <c r="D322" t="s">
        <v>3552</v>
      </c>
    </row>
    <row r="323" spans="1:4" x14ac:dyDescent="0.2">
      <c r="A323" t="s">
        <v>319</v>
      </c>
      <c r="B323" t="s">
        <v>2788</v>
      </c>
      <c r="C323" t="s">
        <v>2789</v>
      </c>
      <c r="D323" t="s">
        <v>3553</v>
      </c>
    </row>
    <row r="324" spans="1:4" x14ac:dyDescent="0.2">
      <c r="A324" t="s">
        <v>320</v>
      </c>
      <c r="B324" t="s">
        <v>1261</v>
      </c>
      <c r="C324" t="s">
        <v>1262</v>
      </c>
      <c r="D324" t="s">
        <v>3554</v>
      </c>
    </row>
    <row r="325" spans="1:4" x14ac:dyDescent="0.2">
      <c r="A325" t="s">
        <v>321</v>
      </c>
      <c r="B325" t="s">
        <v>1265</v>
      </c>
      <c r="C325" t="s">
        <v>1266</v>
      </c>
      <c r="D325" t="s">
        <v>3555</v>
      </c>
    </row>
    <row r="326" spans="1:4" x14ac:dyDescent="0.2">
      <c r="A326" t="s">
        <v>322</v>
      </c>
      <c r="B326" t="s">
        <v>2791</v>
      </c>
      <c r="C326" t="s">
        <v>2792</v>
      </c>
      <c r="D326" t="s">
        <v>3556</v>
      </c>
    </row>
    <row r="327" spans="1:4" x14ac:dyDescent="0.2">
      <c r="A327" t="s">
        <v>323</v>
      </c>
      <c r="B327" t="s">
        <v>1592</v>
      </c>
      <c r="C327" t="s">
        <v>1593</v>
      </c>
      <c r="D327" t="s">
        <v>3557</v>
      </c>
    </row>
    <row r="328" spans="1:4" x14ac:dyDescent="0.2">
      <c r="A328" t="s">
        <v>324</v>
      </c>
      <c r="B328" t="s">
        <v>2794</v>
      </c>
      <c r="C328" t="s">
        <v>2795</v>
      </c>
      <c r="D328" t="s">
        <v>3558</v>
      </c>
    </row>
    <row r="329" spans="1:4" x14ac:dyDescent="0.2">
      <c r="A329" t="s">
        <v>1582</v>
      </c>
      <c r="B329" t="s">
        <v>1270</v>
      </c>
      <c r="C329" t="s">
        <v>1271</v>
      </c>
      <c r="D329" t="s">
        <v>4153</v>
      </c>
    </row>
    <row r="330" spans="1:4" x14ac:dyDescent="0.2">
      <c r="A330" t="s">
        <v>325</v>
      </c>
      <c r="B330" t="s">
        <v>1597</v>
      </c>
      <c r="C330" t="s">
        <v>1598</v>
      </c>
      <c r="D330" t="s">
        <v>3559</v>
      </c>
    </row>
    <row r="331" spans="1:4" x14ac:dyDescent="0.2">
      <c r="A331" t="s">
        <v>326</v>
      </c>
      <c r="B331" t="s">
        <v>1602</v>
      </c>
      <c r="C331" t="s">
        <v>1603</v>
      </c>
      <c r="D331" t="s">
        <v>3560</v>
      </c>
    </row>
    <row r="332" spans="1:4" x14ac:dyDescent="0.2">
      <c r="A332" t="s">
        <v>1589</v>
      </c>
      <c r="B332" t="s">
        <v>1606</v>
      </c>
      <c r="C332" t="s">
        <v>1607</v>
      </c>
      <c r="D332" t="s">
        <v>4195</v>
      </c>
    </row>
    <row r="333" spans="1:4" x14ac:dyDescent="0.2">
      <c r="A333" t="s">
        <v>327</v>
      </c>
      <c r="B333" t="s">
        <v>1274</v>
      </c>
      <c r="C333" t="s">
        <v>1275</v>
      </c>
      <c r="D333" t="s">
        <v>3561</v>
      </c>
    </row>
    <row r="334" spans="1:4" x14ac:dyDescent="0.2">
      <c r="A334" t="s">
        <v>1594</v>
      </c>
      <c r="B334" t="s">
        <v>1609</v>
      </c>
      <c r="C334" t="s">
        <v>1610</v>
      </c>
      <c r="D334" t="s">
        <v>4196</v>
      </c>
    </row>
    <row r="335" spans="1:4" x14ac:dyDescent="0.2">
      <c r="A335" t="s">
        <v>328</v>
      </c>
      <c r="B335" t="s">
        <v>1611</v>
      </c>
      <c r="C335" t="s">
        <v>1612</v>
      </c>
      <c r="D335" t="s">
        <v>3562</v>
      </c>
    </row>
    <row r="336" spans="1:4" x14ac:dyDescent="0.2">
      <c r="A336" t="s">
        <v>1599</v>
      </c>
      <c r="B336" t="s">
        <v>1287</v>
      </c>
      <c r="C336" t="s">
        <v>1288</v>
      </c>
      <c r="D336" t="s">
        <v>4156</v>
      </c>
    </row>
    <row r="337" spans="1:4" x14ac:dyDescent="0.2">
      <c r="A337" t="s">
        <v>329</v>
      </c>
      <c r="B337" t="s">
        <v>1613</v>
      </c>
      <c r="C337" t="s">
        <v>1614</v>
      </c>
      <c r="D337" t="s">
        <v>3563</v>
      </c>
    </row>
    <row r="338" spans="1:4" x14ac:dyDescent="0.2">
      <c r="A338" t="s">
        <v>330</v>
      </c>
      <c r="B338" t="s">
        <v>2797</v>
      </c>
      <c r="C338" t="s">
        <v>2798</v>
      </c>
      <c r="D338" t="s">
        <v>3564</v>
      </c>
    </row>
    <row r="339" spans="1:4" x14ac:dyDescent="0.2">
      <c r="A339" t="s">
        <v>331</v>
      </c>
      <c r="B339" t="s">
        <v>1290</v>
      </c>
      <c r="C339" t="s">
        <v>1291</v>
      </c>
      <c r="D339" t="s">
        <v>3565</v>
      </c>
    </row>
    <row r="340" spans="1:4" x14ac:dyDescent="0.2">
      <c r="A340" t="s">
        <v>1608</v>
      </c>
      <c r="B340" t="s">
        <v>2799</v>
      </c>
      <c r="C340" t="s">
        <v>2800</v>
      </c>
      <c r="D340" t="s">
        <v>4335</v>
      </c>
    </row>
    <row r="341" spans="1:4" x14ac:dyDescent="0.2">
      <c r="A341" t="s">
        <v>332</v>
      </c>
      <c r="B341" t="s">
        <v>1619</v>
      </c>
      <c r="C341" t="s">
        <v>1620</v>
      </c>
      <c r="D341" t="s">
        <v>3566</v>
      </c>
    </row>
    <row r="342" spans="1:4" x14ac:dyDescent="0.2">
      <c r="A342" t="s">
        <v>333</v>
      </c>
      <c r="B342" t="s">
        <v>2801</v>
      </c>
      <c r="C342" t="s">
        <v>2802</v>
      </c>
      <c r="D342" t="s">
        <v>3567</v>
      </c>
    </row>
    <row r="343" spans="1:4" x14ac:dyDescent="0.2">
      <c r="A343" t="s">
        <v>1615</v>
      </c>
      <c r="B343" t="s">
        <v>1293</v>
      </c>
      <c r="C343" t="s">
        <v>1294</v>
      </c>
      <c r="D343" t="s">
        <v>4157</v>
      </c>
    </row>
    <row r="344" spans="1:4" x14ac:dyDescent="0.2">
      <c r="A344" t="s">
        <v>1618</v>
      </c>
      <c r="B344" t="s">
        <v>2803</v>
      </c>
      <c r="C344" t="s">
        <v>2804</v>
      </c>
      <c r="D344" t="s">
        <v>4336</v>
      </c>
    </row>
    <row r="345" spans="1:4" x14ac:dyDescent="0.2">
      <c r="A345" t="s">
        <v>334</v>
      </c>
      <c r="B345" t="s">
        <v>1623</v>
      </c>
      <c r="C345" t="s">
        <v>1624</v>
      </c>
      <c r="D345" t="s">
        <v>3568</v>
      </c>
    </row>
    <row r="346" spans="1:4" x14ac:dyDescent="0.2">
      <c r="A346" t="s">
        <v>335</v>
      </c>
      <c r="B346" t="s">
        <v>1629</v>
      </c>
      <c r="C346" t="s">
        <v>1630</v>
      </c>
      <c r="D346" t="s">
        <v>3569</v>
      </c>
    </row>
    <row r="347" spans="1:4" x14ac:dyDescent="0.2">
      <c r="A347" t="s">
        <v>336</v>
      </c>
      <c r="B347" t="s">
        <v>1299</v>
      </c>
      <c r="C347" t="s">
        <v>1300</v>
      </c>
      <c r="D347" t="s">
        <v>3570</v>
      </c>
    </row>
    <row r="348" spans="1:4" x14ac:dyDescent="0.2">
      <c r="A348" t="s">
        <v>337</v>
      </c>
      <c r="B348" t="s">
        <v>1305</v>
      </c>
      <c r="C348" t="s">
        <v>1306</v>
      </c>
      <c r="D348" t="s">
        <v>3571</v>
      </c>
    </row>
    <row r="349" spans="1:4" x14ac:dyDescent="0.2">
      <c r="A349" t="s">
        <v>338</v>
      </c>
      <c r="B349" t="s">
        <v>1308</v>
      </c>
      <c r="C349" t="s">
        <v>1309</v>
      </c>
      <c r="D349" t="s">
        <v>3572</v>
      </c>
    </row>
    <row r="350" spans="1:4" x14ac:dyDescent="0.2">
      <c r="A350" t="s">
        <v>339</v>
      </c>
      <c r="B350" t="s">
        <v>1633</v>
      </c>
      <c r="C350" t="s">
        <v>1634</v>
      </c>
      <c r="D350" t="s">
        <v>3573</v>
      </c>
    </row>
    <row r="351" spans="1:4" x14ac:dyDescent="0.2">
      <c r="A351" t="s">
        <v>340</v>
      </c>
      <c r="B351" t="s">
        <v>1314</v>
      </c>
      <c r="C351" t="s">
        <v>1315</v>
      </c>
      <c r="D351" t="s">
        <v>3574</v>
      </c>
    </row>
    <row r="352" spans="1:4" x14ac:dyDescent="0.2">
      <c r="A352" t="s">
        <v>1635</v>
      </c>
      <c r="B352" t="s">
        <v>1636</v>
      </c>
      <c r="C352" t="s">
        <v>1637</v>
      </c>
      <c r="D352" t="s">
        <v>4197</v>
      </c>
    </row>
    <row r="353" spans="1:4" x14ac:dyDescent="0.2">
      <c r="A353" t="s">
        <v>341</v>
      </c>
      <c r="B353" t="s">
        <v>2805</v>
      </c>
      <c r="C353" t="s">
        <v>2806</v>
      </c>
      <c r="D353" t="s">
        <v>3575</v>
      </c>
    </row>
    <row r="354" spans="1:4" x14ac:dyDescent="0.2">
      <c r="A354" t="s">
        <v>342</v>
      </c>
      <c r="B354" t="s">
        <v>2808</v>
      </c>
      <c r="C354" t="s">
        <v>2809</v>
      </c>
      <c r="D354" t="s">
        <v>3576</v>
      </c>
    </row>
    <row r="355" spans="1:4" x14ac:dyDescent="0.2">
      <c r="A355" t="s">
        <v>343</v>
      </c>
      <c r="B355" t="s">
        <v>1316</v>
      </c>
      <c r="C355" t="s">
        <v>1317</v>
      </c>
      <c r="D355" t="s">
        <v>3577</v>
      </c>
    </row>
    <row r="356" spans="1:4" x14ac:dyDescent="0.2">
      <c r="A356" t="s">
        <v>1644</v>
      </c>
      <c r="B356" t="s">
        <v>1640</v>
      </c>
      <c r="C356" t="s">
        <v>1641</v>
      </c>
      <c r="D356" t="s">
        <v>4199</v>
      </c>
    </row>
    <row r="357" spans="1:4" x14ac:dyDescent="0.2">
      <c r="A357" t="s">
        <v>344</v>
      </c>
      <c r="B357" t="s">
        <v>1322</v>
      </c>
      <c r="C357" t="s">
        <v>1323</v>
      </c>
      <c r="D357" t="s">
        <v>3578</v>
      </c>
    </row>
    <row r="358" spans="1:4" x14ac:dyDescent="0.2">
      <c r="A358" t="s">
        <v>345</v>
      </c>
      <c r="B358" t="s">
        <v>1647</v>
      </c>
      <c r="C358" t="s">
        <v>1648</v>
      </c>
      <c r="D358" t="s">
        <v>3579</v>
      </c>
    </row>
    <row r="359" spans="1:4" x14ac:dyDescent="0.2">
      <c r="A359" t="s">
        <v>1651</v>
      </c>
      <c r="B359" t="s">
        <v>1649</v>
      </c>
      <c r="C359" t="s">
        <v>1650</v>
      </c>
      <c r="D359" t="s">
        <v>4201</v>
      </c>
    </row>
    <row r="360" spans="1:4" x14ac:dyDescent="0.2">
      <c r="A360" t="s">
        <v>346</v>
      </c>
      <c r="B360" t="s">
        <v>1654</v>
      </c>
      <c r="C360" t="s">
        <v>1655</v>
      </c>
      <c r="D360" t="s">
        <v>3580</v>
      </c>
    </row>
    <row r="361" spans="1:4" x14ac:dyDescent="0.2">
      <c r="A361" t="s">
        <v>347</v>
      </c>
      <c r="B361" t="s">
        <v>2810</v>
      </c>
      <c r="C361" t="s">
        <v>2811</v>
      </c>
      <c r="D361" t="s">
        <v>3581</v>
      </c>
    </row>
    <row r="362" spans="1:4" x14ac:dyDescent="0.2">
      <c r="A362" t="s">
        <v>348</v>
      </c>
      <c r="B362" t="s">
        <v>1658</v>
      </c>
      <c r="C362" t="s">
        <v>1659</v>
      </c>
      <c r="D362" t="s">
        <v>3582</v>
      </c>
    </row>
    <row r="363" spans="1:4" x14ac:dyDescent="0.2">
      <c r="A363" t="s">
        <v>349</v>
      </c>
      <c r="B363" t="s">
        <v>1662</v>
      </c>
      <c r="C363" t="s">
        <v>1663</v>
      </c>
      <c r="D363" t="s">
        <v>3583</v>
      </c>
    </row>
    <row r="364" spans="1:4" x14ac:dyDescent="0.2">
      <c r="A364" t="s">
        <v>350</v>
      </c>
      <c r="B364" t="s">
        <v>2813</v>
      </c>
      <c r="C364" t="s">
        <v>2814</v>
      </c>
      <c r="D364" t="s">
        <v>3584</v>
      </c>
    </row>
    <row r="365" spans="1:4" x14ac:dyDescent="0.2">
      <c r="A365" t="s">
        <v>351</v>
      </c>
      <c r="B365" t="s">
        <v>1668</v>
      </c>
      <c r="C365" t="s">
        <v>1669</v>
      </c>
      <c r="D365" t="s">
        <v>3585</v>
      </c>
    </row>
    <row r="366" spans="1:4" x14ac:dyDescent="0.2">
      <c r="A366" t="s">
        <v>352</v>
      </c>
      <c r="B366" t="s">
        <v>1324</v>
      </c>
      <c r="C366" t="s">
        <v>1325</v>
      </c>
      <c r="D366" t="s">
        <v>3586</v>
      </c>
    </row>
    <row r="367" spans="1:4" x14ac:dyDescent="0.2">
      <c r="A367" t="s">
        <v>353</v>
      </c>
      <c r="B367" t="s">
        <v>1326</v>
      </c>
      <c r="C367" t="s">
        <v>1327</v>
      </c>
      <c r="D367" t="s">
        <v>3587</v>
      </c>
    </row>
    <row r="368" spans="1:4" x14ac:dyDescent="0.2">
      <c r="A368" t="s">
        <v>354</v>
      </c>
      <c r="B368" t="s">
        <v>2815</v>
      </c>
      <c r="C368" t="s">
        <v>2816</v>
      </c>
      <c r="D368" t="s">
        <v>3588</v>
      </c>
    </row>
    <row r="369" spans="1:4" x14ac:dyDescent="0.2">
      <c r="A369" t="s">
        <v>355</v>
      </c>
      <c r="B369" t="s">
        <v>2817</v>
      </c>
      <c r="C369" t="s">
        <v>2818</v>
      </c>
      <c r="D369" t="s">
        <v>3589</v>
      </c>
    </row>
    <row r="370" spans="1:4" x14ac:dyDescent="0.2">
      <c r="A370" t="s">
        <v>356</v>
      </c>
      <c r="B370" t="s">
        <v>1332</v>
      </c>
      <c r="C370" t="s">
        <v>1333</v>
      </c>
      <c r="D370" t="s">
        <v>3590</v>
      </c>
    </row>
    <row r="371" spans="1:4" x14ac:dyDescent="0.2">
      <c r="A371" t="s">
        <v>357</v>
      </c>
      <c r="B371" t="s">
        <v>2819</v>
      </c>
      <c r="C371" t="s">
        <v>2820</v>
      </c>
      <c r="D371" t="s">
        <v>3591</v>
      </c>
    </row>
    <row r="372" spans="1:4" x14ac:dyDescent="0.2">
      <c r="A372" t="s">
        <v>358</v>
      </c>
      <c r="B372" t="s">
        <v>2821</v>
      </c>
      <c r="C372" t="s">
        <v>2822</v>
      </c>
      <c r="D372" t="s">
        <v>3592</v>
      </c>
    </row>
    <row r="373" spans="1:4" x14ac:dyDescent="0.2">
      <c r="A373" t="s">
        <v>359</v>
      </c>
      <c r="B373" t="s">
        <v>1670</v>
      </c>
      <c r="C373" t="s">
        <v>1671</v>
      </c>
      <c r="D373" t="s">
        <v>3593</v>
      </c>
    </row>
    <row r="374" spans="1:4" x14ac:dyDescent="0.2">
      <c r="A374" t="s">
        <v>360</v>
      </c>
      <c r="B374" t="s">
        <v>1334</v>
      </c>
      <c r="C374" t="s">
        <v>1335</v>
      </c>
      <c r="D374" t="s">
        <v>4159</v>
      </c>
    </row>
    <row r="375" spans="1:4" x14ac:dyDescent="0.2">
      <c r="A375" t="s">
        <v>361</v>
      </c>
      <c r="B375" t="s">
        <v>1338</v>
      </c>
      <c r="C375" t="s">
        <v>1339</v>
      </c>
      <c r="D375" t="s">
        <v>3595</v>
      </c>
    </row>
    <row r="376" spans="1:4" x14ac:dyDescent="0.2">
      <c r="A376" t="s">
        <v>362</v>
      </c>
      <c r="B376" t="s">
        <v>2823</v>
      </c>
      <c r="C376" t="s">
        <v>2824</v>
      </c>
      <c r="D376" t="s">
        <v>3596</v>
      </c>
    </row>
    <row r="377" spans="1:4" x14ac:dyDescent="0.2">
      <c r="A377" t="s">
        <v>363</v>
      </c>
      <c r="B377" t="s">
        <v>2825</v>
      </c>
      <c r="C377" t="s">
        <v>2826</v>
      </c>
      <c r="D377" t="s">
        <v>4337</v>
      </c>
    </row>
    <row r="378" spans="1:4" x14ac:dyDescent="0.2">
      <c r="A378" t="s">
        <v>364</v>
      </c>
      <c r="B378" t="s">
        <v>1674</v>
      </c>
      <c r="C378" t="s">
        <v>1675</v>
      </c>
      <c r="D378" t="s">
        <v>3598</v>
      </c>
    </row>
    <row r="379" spans="1:4" x14ac:dyDescent="0.2">
      <c r="A379" t="s">
        <v>365</v>
      </c>
      <c r="B379" t="s">
        <v>1676</v>
      </c>
      <c r="C379" t="s">
        <v>1677</v>
      </c>
      <c r="D379" t="s">
        <v>3599</v>
      </c>
    </row>
    <row r="380" spans="1:4" x14ac:dyDescent="0.2">
      <c r="A380" t="s">
        <v>366</v>
      </c>
      <c r="B380" t="s">
        <v>1342</v>
      </c>
      <c r="C380" t="s">
        <v>1343</v>
      </c>
      <c r="D380" t="s">
        <v>3600</v>
      </c>
    </row>
    <row r="381" spans="1:4" x14ac:dyDescent="0.2">
      <c r="A381" t="s">
        <v>367</v>
      </c>
      <c r="B381" t="s">
        <v>1346</v>
      </c>
      <c r="C381" t="s">
        <v>1347</v>
      </c>
      <c r="D381" t="s">
        <v>3601</v>
      </c>
    </row>
    <row r="382" spans="1:4" x14ac:dyDescent="0.2">
      <c r="A382" t="s">
        <v>368</v>
      </c>
      <c r="B382" t="s">
        <v>1350</v>
      </c>
      <c r="C382" t="s">
        <v>1351</v>
      </c>
      <c r="D382" t="s">
        <v>3602</v>
      </c>
    </row>
    <row r="383" spans="1:4" x14ac:dyDescent="0.2">
      <c r="A383" t="s">
        <v>369</v>
      </c>
      <c r="B383" t="s">
        <v>1354</v>
      </c>
      <c r="C383" t="s">
        <v>1355</v>
      </c>
      <c r="D383" t="s">
        <v>3603</v>
      </c>
    </row>
    <row r="384" spans="1:4" x14ac:dyDescent="0.2">
      <c r="A384" t="s">
        <v>370</v>
      </c>
      <c r="B384" t="s">
        <v>2827</v>
      </c>
      <c r="C384" t="s">
        <v>2828</v>
      </c>
      <c r="D384" t="s">
        <v>3604</v>
      </c>
    </row>
    <row r="385" spans="1:4" x14ac:dyDescent="0.2">
      <c r="A385" t="s">
        <v>371</v>
      </c>
      <c r="B385" t="s">
        <v>2829</v>
      </c>
      <c r="C385" t="s">
        <v>2830</v>
      </c>
      <c r="D385" t="s">
        <v>3605</v>
      </c>
    </row>
    <row r="386" spans="1:4" x14ac:dyDescent="0.2">
      <c r="A386" t="s">
        <v>372</v>
      </c>
      <c r="B386" t="s">
        <v>1678</v>
      </c>
      <c r="C386" t="s">
        <v>1679</v>
      </c>
      <c r="D386" t="s">
        <v>3606</v>
      </c>
    </row>
    <row r="387" spans="1:4" x14ac:dyDescent="0.2">
      <c r="A387" t="s">
        <v>373</v>
      </c>
      <c r="B387" t="s">
        <v>1358</v>
      </c>
      <c r="C387" t="s">
        <v>1359</v>
      </c>
      <c r="D387" t="s">
        <v>3607</v>
      </c>
    </row>
    <row r="388" spans="1:4" x14ac:dyDescent="0.2">
      <c r="A388" t="s">
        <v>374</v>
      </c>
      <c r="B388" t="s">
        <v>1363</v>
      </c>
      <c r="C388" t="s">
        <v>1364</v>
      </c>
      <c r="D388" t="s">
        <v>3608</v>
      </c>
    </row>
    <row r="389" spans="1:4" x14ac:dyDescent="0.2">
      <c r="A389" t="s">
        <v>1712</v>
      </c>
      <c r="B389" t="s">
        <v>1682</v>
      </c>
      <c r="C389" t="s">
        <v>1683</v>
      </c>
      <c r="D389" t="s">
        <v>4202</v>
      </c>
    </row>
    <row r="390" spans="1:4" x14ac:dyDescent="0.2">
      <c r="A390" t="s">
        <v>375</v>
      </c>
      <c r="B390" t="s">
        <v>1686</v>
      </c>
      <c r="C390" t="s">
        <v>1687</v>
      </c>
      <c r="D390" t="s">
        <v>3610</v>
      </c>
    </row>
    <row r="391" spans="1:4" x14ac:dyDescent="0.2">
      <c r="A391" t="s">
        <v>376</v>
      </c>
      <c r="B391" t="s">
        <v>1688</v>
      </c>
      <c r="C391" t="s">
        <v>1689</v>
      </c>
      <c r="D391" t="s">
        <v>3611</v>
      </c>
    </row>
    <row r="392" spans="1:4" x14ac:dyDescent="0.2">
      <c r="A392" t="s">
        <v>377</v>
      </c>
      <c r="B392" t="s">
        <v>2831</v>
      </c>
      <c r="C392" t="s">
        <v>2832</v>
      </c>
      <c r="D392" t="s">
        <v>4338</v>
      </c>
    </row>
    <row r="393" spans="1:4" x14ac:dyDescent="0.2">
      <c r="A393" t="s">
        <v>1721</v>
      </c>
      <c r="B393" t="s">
        <v>2833</v>
      </c>
      <c r="C393" t="s">
        <v>2834</v>
      </c>
      <c r="D393" t="s">
        <v>4339</v>
      </c>
    </row>
    <row r="394" spans="1:4" x14ac:dyDescent="0.2">
      <c r="A394" t="s">
        <v>378</v>
      </c>
      <c r="B394" t="s">
        <v>2835</v>
      </c>
      <c r="C394" t="s">
        <v>2836</v>
      </c>
      <c r="D394" t="s">
        <v>3613</v>
      </c>
    </row>
    <row r="395" spans="1:4" x14ac:dyDescent="0.2">
      <c r="A395" t="s">
        <v>379</v>
      </c>
      <c r="B395" t="s">
        <v>1690</v>
      </c>
      <c r="C395" t="s">
        <v>1691</v>
      </c>
      <c r="D395" t="s">
        <v>3614</v>
      </c>
    </row>
    <row r="396" spans="1:4" x14ac:dyDescent="0.2">
      <c r="A396" t="s">
        <v>1728</v>
      </c>
      <c r="B396" t="s">
        <v>2837</v>
      </c>
      <c r="C396" t="s">
        <v>2838</v>
      </c>
      <c r="D396" t="s">
        <v>4340</v>
      </c>
    </row>
    <row r="397" spans="1:4" x14ac:dyDescent="0.2">
      <c r="A397" t="s">
        <v>380</v>
      </c>
      <c r="B397" t="s">
        <v>1692</v>
      </c>
      <c r="C397" t="s">
        <v>1693</v>
      </c>
      <c r="D397" t="s">
        <v>3615</v>
      </c>
    </row>
    <row r="398" spans="1:4" x14ac:dyDescent="0.2">
      <c r="A398" t="s">
        <v>381</v>
      </c>
      <c r="B398" t="s">
        <v>2839</v>
      </c>
      <c r="C398" t="s">
        <v>2840</v>
      </c>
      <c r="D398" t="s">
        <v>4341</v>
      </c>
    </row>
    <row r="399" spans="1:4" x14ac:dyDescent="0.2">
      <c r="A399" t="s">
        <v>382</v>
      </c>
      <c r="B399" t="s">
        <v>2842</v>
      </c>
      <c r="C399" t="s">
        <v>2843</v>
      </c>
      <c r="D399" t="s">
        <v>3617</v>
      </c>
    </row>
    <row r="400" spans="1:4" x14ac:dyDescent="0.2">
      <c r="A400" t="s">
        <v>383</v>
      </c>
      <c r="B400" t="s">
        <v>1694</v>
      </c>
      <c r="C400" t="s">
        <v>1695</v>
      </c>
      <c r="D400" t="s">
        <v>4203</v>
      </c>
    </row>
    <row r="401" spans="1:4" x14ac:dyDescent="0.2">
      <c r="A401" t="s">
        <v>384</v>
      </c>
      <c r="B401" t="s">
        <v>2844</v>
      </c>
      <c r="C401" t="s">
        <v>2845</v>
      </c>
      <c r="D401" t="s">
        <v>3619</v>
      </c>
    </row>
    <row r="402" spans="1:4" x14ac:dyDescent="0.2">
      <c r="A402" t="s">
        <v>385</v>
      </c>
      <c r="B402" t="s">
        <v>2846</v>
      </c>
      <c r="C402" t="s">
        <v>2847</v>
      </c>
      <c r="D402" t="s">
        <v>3620</v>
      </c>
    </row>
    <row r="403" spans="1:4" x14ac:dyDescent="0.2">
      <c r="A403" t="s">
        <v>386</v>
      </c>
      <c r="B403" t="s">
        <v>1696</v>
      </c>
      <c r="C403" t="s">
        <v>1697</v>
      </c>
      <c r="D403" t="s">
        <v>3621</v>
      </c>
    </row>
    <row r="404" spans="1:4" x14ac:dyDescent="0.2">
      <c r="A404" t="s">
        <v>387</v>
      </c>
      <c r="B404" t="s">
        <v>1373</v>
      </c>
      <c r="C404" t="s">
        <v>1374</v>
      </c>
      <c r="D404" t="s">
        <v>3622</v>
      </c>
    </row>
    <row r="405" spans="1:4" x14ac:dyDescent="0.2">
      <c r="A405" t="s">
        <v>388</v>
      </c>
      <c r="B405" t="s">
        <v>1698</v>
      </c>
      <c r="C405" t="s">
        <v>1699</v>
      </c>
      <c r="D405" t="s">
        <v>3623</v>
      </c>
    </row>
    <row r="406" spans="1:4" x14ac:dyDescent="0.2">
      <c r="A406" t="s">
        <v>1749</v>
      </c>
      <c r="B406" t="s">
        <v>2848</v>
      </c>
      <c r="C406" t="s">
        <v>2849</v>
      </c>
      <c r="D406" t="s">
        <v>4342</v>
      </c>
    </row>
    <row r="407" spans="1:4" x14ac:dyDescent="0.2">
      <c r="A407" t="s">
        <v>389</v>
      </c>
      <c r="B407" t="s">
        <v>2850</v>
      </c>
      <c r="C407" t="s">
        <v>2851</v>
      </c>
      <c r="D407" t="s">
        <v>3624</v>
      </c>
    </row>
    <row r="408" spans="1:4" x14ac:dyDescent="0.2">
      <c r="A408" t="s">
        <v>390</v>
      </c>
      <c r="B408" t="s">
        <v>2852</v>
      </c>
      <c r="C408" t="s">
        <v>2853</v>
      </c>
      <c r="D408" t="s">
        <v>4343</v>
      </c>
    </row>
    <row r="409" spans="1:4" x14ac:dyDescent="0.2">
      <c r="A409" t="s">
        <v>391</v>
      </c>
      <c r="B409" t="s">
        <v>2854</v>
      </c>
      <c r="C409" t="s">
        <v>2855</v>
      </c>
      <c r="D409" t="s">
        <v>3626</v>
      </c>
    </row>
    <row r="410" spans="1:4" x14ac:dyDescent="0.2">
      <c r="A410" t="s">
        <v>392</v>
      </c>
      <c r="B410" t="s">
        <v>2856</v>
      </c>
      <c r="C410" t="s">
        <v>2857</v>
      </c>
      <c r="D410" t="s">
        <v>3627</v>
      </c>
    </row>
    <row r="411" spans="1:4" x14ac:dyDescent="0.2">
      <c r="A411" t="s">
        <v>393</v>
      </c>
      <c r="B411" t="s">
        <v>1700</v>
      </c>
      <c r="C411" t="s">
        <v>1701</v>
      </c>
      <c r="D411" t="s">
        <v>3628</v>
      </c>
    </row>
    <row r="412" spans="1:4" x14ac:dyDescent="0.2">
      <c r="A412" t="s">
        <v>394</v>
      </c>
      <c r="B412" t="s">
        <v>1377</v>
      </c>
      <c r="C412" t="s">
        <v>1378</v>
      </c>
      <c r="D412" t="s">
        <v>3629</v>
      </c>
    </row>
    <row r="413" spans="1:4" x14ac:dyDescent="0.2">
      <c r="A413" t="s">
        <v>395</v>
      </c>
      <c r="B413" t="s">
        <v>1381</v>
      </c>
      <c r="C413" t="s">
        <v>1382</v>
      </c>
      <c r="D413" t="s">
        <v>3630</v>
      </c>
    </row>
    <row r="414" spans="1:4" x14ac:dyDescent="0.2">
      <c r="A414" t="s">
        <v>1766</v>
      </c>
      <c r="B414" t="s">
        <v>2858</v>
      </c>
      <c r="C414" t="s">
        <v>2859</v>
      </c>
      <c r="D414" t="s">
        <v>4344</v>
      </c>
    </row>
    <row r="415" spans="1:4" x14ac:dyDescent="0.2">
      <c r="A415" t="s">
        <v>396</v>
      </c>
      <c r="B415" t="s">
        <v>1385</v>
      </c>
      <c r="C415" t="s">
        <v>1386</v>
      </c>
      <c r="D415" t="s">
        <v>4161</v>
      </c>
    </row>
    <row r="416" spans="1:4" x14ac:dyDescent="0.2">
      <c r="A416" t="s">
        <v>397</v>
      </c>
      <c r="B416" t="s">
        <v>2860</v>
      </c>
      <c r="C416" t="s">
        <v>2861</v>
      </c>
      <c r="D416" t="s">
        <v>3632</v>
      </c>
    </row>
    <row r="417" spans="1:4" x14ac:dyDescent="0.2">
      <c r="A417" t="s">
        <v>398</v>
      </c>
      <c r="B417" t="s">
        <v>1389</v>
      </c>
      <c r="C417" t="s">
        <v>1390</v>
      </c>
      <c r="D417" t="s">
        <v>3633</v>
      </c>
    </row>
    <row r="418" spans="1:4" x14ac:dyDescent="0.2">
      <c r="A418" t="s">
        <v>399</v>
      </c>
      <c r="B418" t="s">
        <v>1704</v>
      </c>
      <c r="C418" t="s">
        <v>1705</v>
      </c>
      <c r="D418" t="s">
        <v>3634</v>
      </c>
    </row>
    <row r="419" spans="1:4" x14ac:dyDescent="0.2">
      <c r="A419" t="s">
        <v>400</v>
      </c>
      <c r="B419" t="s">
        <v>1708</v>
      </c>
      <c r="C419" t="s">
        <v>1709</v>
      </c>
      <c r="D419" t="s">
        <v>3635</v>
      </c>
    </row>
    <row r="420" spans="1:4" x14ac:dyDescent="0.2">
      <c r="A420" t="s">
        <v>401</v>
      </c>
      <c r="B420" t="s">
        <v>1394</v>
      </c>
      <c r="C420" t="s">
        <v>1395</v>
      </c>
      <c r="D420" t="s">
        <v>3636</v>
      </c>
    </row>
    <row r="421" spans="1:4" x14ac:dyDescent="0.2">
      <c r="A421" t="s">
        <v>402</v>
      </c>
      <c r="B421" t="s">
        <v>1715</v>
      </c>
      <c r="C421" t="s">
        <v>1716</v>
      </c>
      <c r="D421" t="s">
        <v>3637</v>
      </c>
    </row>
    <row r="422" spans="1:4" x14ac:dyDescent="0.2">
      <c r="A422" t="s">
        <v>403</v>
      </c>
      <c r="B422" t="s">
        <v>1719</v>
      </c>
      <c r="C422" t="s">
        <v>1720</v>
      </c>
      <c r="D422" t="s">
        <v>3638</v>
      </c>
    </row>
    <row r="423" spans="1:4" x14ac:dyDescent="0.2">
      <c r="A423" t="s">
        <v>404</v>
      </c>
      <c r="B423" t="s">
        <v>1724</v>
      </c>
      <c r="C423" t="s">
        <v>1725</v>
      </c>
      <c r="D423" t="s">
        <v>3639</v>
      </c>
    </row>
    <row r="424" spans="1:4" x14ac:dyDescent="0.2">
      <c r="A424" t="s">
        <v>405</v>
      </c>
      <c r="B424" t="s">
        <v>1729</v>
      </c>
      <c r="C424" t="s">
        <v>1730</v>
      </c>
      <c r="D424" t="s">
        <v>4206</v>
      </c>
    </row>
    <row r="425" spans="1:4" x14ac:dyDescent="0.2">
      <c r="A425" t="s">
        <v>406</v>
      </c>
      <c r="B425" t="s">
        <v>2862</v>
      </c>
      <c r="C425" t="s">
        <v>2863</v>
      </c>
      <c r="D425" t="s">
        <v>3641</v>
      </c>
    </row>
    <row r="426" spans="1:4" x14ac:dyDescent="0.2">
      <c r="A426" t="s">
        <v>407</v>
      </c>
      <c r="B426" t="s">
        <v>1398</v>
      </c>
      <c r="C426" t="s">
        <v>1399</v>
      </c>
      <c r="D426" t="s">
        <v>3642</v>
      </c>
    </row>
    <row r="427" spans="1:4" x14ac:dyDescent="0.2">
      <c r="A427" t="s">
        <v>408</v>
      </c>
      <c r="B427" t="s">
        <v>1733</v>
      </c>
      <c r="C427" t="s">
        <v>1734</v>
      </c>
      <c r="D427" t="s">
        <v>3643</v>
      </c>
    </row>
    <row r="428" spans="1:4" x14ac:dyDescent="0.2">
      <c r="A428" t="s">
        <v>1795</v>
      </c>
      <c r="B428" t="s">
        <v>1737</v>
      </c>
      <c r="C428" t="s">
        <v>1738</v>
      </c>
      <c r="D428" t="s">
        <v>4208</v>
      </c>
    </row>
    <row r="429" spans="1:4" x14ac:dyDescent="0.2">
      <c r="A429" t="s">
        <v>1798</v>
      </c>
      <c r="B429" t="s">
        <v>1402</v>
      </c>
      <c r="C429" t="s">
        <v>1403</v>
      </c>
      <c r="D429" t="s">
        <v>4162</v>
      </c>
    </row>
    <row r="430" spans="1:4" x14ac:dyDescent="0.2">
      <c r="A430" t="s">
        <v>409</v>
      </c>
      <c r="B430" t="s">
        <v>2864</v>
      </c>
      <c r="C430" t="s">
        <v>2865</v>
      </c>
      <c r="D430" t="s">
        <v>3644</v>
      </c>
    </row>
    <row r="431" spans="1:4" x14ac:dyDescent="0.2">
      <c r="A431" t="s">
        <v>410</v>
      </c>
      <c r="B431" t="s">
        <v>1743</v>
      </c>
      <c r="C431" t="s">
        <v>1744</v>
      </c>
      <c r="D431" t="s">
        <v>3645</v>
      </c>
    </row>
    <row r="432" spans="1:4" x14ac:dyDescent="0.2">
      <c r="A432" t="s">
        <v>411</v>
      </c>
      <c r="B432" t="s">
        <v>1406</v>
      </c>
      <c r="C432" t="s">
        <v>1407</v>
      </c>
      <c r="D432" t="s">
        <v>4163</v>
      </c>
    </row>
    <row r="433" spans="1:4" x14ac:dyDescent="0.2">
      <c r="A433" t="s">
        <v>412</v>
      </c>
      <c r="B433" t="s">
        <v>2866</v>
      </c>
      <c r="C433" t="s">
        <v>2867</v>
      </c>
      <c r="D433" t="s">
        <v>4345</v>
      </c>
    </row>
    <row r="434" spans="1:4" x14ac:dyDescent="0.2">
      <c r="A434" t="s">
        <v>1809</v>
      </c>
      <c r="B434" t="s">
        <v>1747</v>
      </c>
      <c r="C434" t="s">
        <v>1748</v>
      </c>
      <c r="D434" t="s">
        <v>4211</v>
      </c>
    </row>
    <row r="435" spans="1:4" x14ac:dyDescent="0.2">
      <c r="A435" t="s">
        <v>1812</v>
      </c>
      <c r="B435" t="s">
        <v>1752</v>
      </c>
      <c r="C435" t="s">
        <v>1753</v>
      </c>
      <c r="D435" t="s">
        <v>4212</v>
      </c>
    </row>
    <row r="436" spans="1:4" x14ac:dyDescent="0.2">
      <c r="A436" t="s">
        <v>1815</v>
      </c>
      <c r="B436" t="s">
        <v>2868</v>
      </c>
      <c r="C436" t="s">
        <v>2869</v>
      </c>
      <c r="D436" t="s">
        <v>4346</v>
      </c>
    </row>
    <row r="437" spans="1:4" x14ac:dyDescent="0.2">
      <c r="A437" t="s">
        <v>1818</v>
      </c>
      <c r="B437" t="s">
        <v>1756</v>
      </c>
      <c r="C437" t="s">
        <v>1757</v>
      </c>
      <c r="D437" t="s">
        <v>4214</v>
      </c>
    </row>
    <row r="438" spans="1:4" x14ac:dyDescent="0.2">
      <c r="A438" t="s">
        <v>1821</v>
      </c>
      <c r="B438" t="s">
        <v>1410</v>
      </c>
      <c r="C438" t="s">
        <v>1411</v>
      </c>
      <c r="D438" t="s">
        <v>4164</v>
      </c>
    </row>
    <row r="439" spans="1:4" x14ac:dyDescent="0.2">
      <c r="A439" t="s">
        <v>1824</v>
      </c>
      <c r="B439" t="s">
        <v>1414</v>
      </c>
      <c r="C439" t="s">
        <v>1415</v>
      </c>
      <c r="D439" t="s">
        <v>4165</v>
      </c>
    </row>
    <row r="440" spans="1:4" x14ac:dyDescent="0.2">
      <c r="A440" t="s">
        <v>1827</v>
      </c>
      <c r="B440" t="s">
        <v>1760</v>
      </c>
      <c r="C440" t="s">
        <v>1761</v>
      </c>
      <c r="D440" t="s">
        <v>4215</v>
      </c>
    </row>
    <row r="441" spans="1:4" x14ac:dyDescent="0.2">
      <c r="A441" t="s">
        <v>1830</v>
      </c>
      <c r="B441" t="s">
        <v>1418</v>
      </c>
      <c r="C441" t="s">
        <v>1419</v>
      </c>
      <c r="D441" t="s">
        <v>4166</v>
      </c>
    </row>
    <row r="442" spans="1:4" x14ac:dyDescent="0.2">
      <c r="A442" t="s">
        <v>1833</v>
      </c>
      <c r="B442" t="s">
        <v>1764</v>
      </c>
      <c r="C442" t="s">
        <v>1765</v>
      </c>
      <c r="D442" t="s">
        <v>4217</v>
      </c>
    </row>
    <row r="443" spans="1:4" x14ac:dyDescent="0.2">
      <c r="A443" t="s">
        <v>1836</v>
      </c>
      <c r="B443" t="s">
        <v>1422</v>
      </c>
      <c r="C443" t="s">
        <v>1423</v>
      </c>
      <c r="D443" t="s">
        <v>4167</v>
      </c>
    </row>
    <row r="444" spans="1:4" x14ac:dyDescent="0.2">
      <c r="A444" t="s">
        <v>1839</v>
      </c>
      <c r="B444" t="s">
        <v>1769</v>
      </c>
      <c r="C444" t="s">
        <v>1770</v>
      </c>
      <c r="D444" t="s">
        <v>4219</v>
      </c>
    </row>
    <row r="445" spans="1:4" x14ac:dyDescent="0.2">
      <c r="A445" t="s">
        <v>1842</v>
      </c>
      <c r="B445" t="s">
        <v>2870</v>
      </c>
      <c r="C445" t="s">
        <v>2871</v>
      </c>
      <c r="D445" t="s">
        <v>4347</v>
      </c>
    </row>
    <row r="446" spans="1:4" x14ac:dyDescent="0.2">
      <c r="A446" t="s">
        <v>1845</v>
      </c>
      <c r="B446" t="s">
        <v>2873</v>
      </c>
      <c r="C446" t="s">
        <v>2874</v>
      </c>
      <c r="D446" t="s">
        <v>4348</v>
      </c>
    </row>
    <row r="447" spans="1:4" x14ac:dyDescent="0.2">
      <c r="A447" t="s">
        <v>1848</v>
      </c>
      <c r="B447" t="s">
        <v>1430</v>
      </c>
      <c r="C447" t="s">
        <v>1431</v>
      </c>
      <c r="D447" t="s">
        <v>4171</v>
      </c>
    </row>
    <row r="448" spans="1:4" x14ac:dyDescent="0.2">
      <c r="A448" t="s">
        <v>1851</v>
      </c>
      <c r="B448" t="s">
        <v>2876</v>
      </c>
      <c r="C448" t="s">
        <v>2877</v>
      </c>
      <c r="D448" t="s">
        <v>4349</v>
      </c>
    </row>
    <row r="449" spans="1:4" x14ac:dyDescent="0.2">
      <c r="A449" t="s">
        <v>1854</v>
      </c>
      <c r="B449" t="s">
        <v>1773</v>
      </c>
      <c r="C449" t="s">
        <v>1774</v>
      </c>
      <c r="D449" t="s">
        <v>4220</v>
      </c>
    </row>
    <row r="450" spans="1:4" x14ac:dyDescent="0.2">
      <c r="A450" t="s">
        <v>1857</v>
      </c>
      <c r="B450" t="s">
        <v>1432</v>
      </c>
      <c r="C450" t="s">
        <v>1433</v>
      </c>
      <c r="D450" t="s">
        <v>4172</v>
      </c>
    </row>
    <row r="451" spans="1:4" x14ac:dyDescent="0.2">
      <c r="A451" t="s">
        <v>1860</v>
      </c>
      <c r="B451" t="s">
        <v>1777</v>
      </c>
      <c r="C451" t="s">
        <v>1778</v>
      </c>
      <c r="D451" t="s">
        <v>4221</v>
      </c>
    </row>
    <row r="452" spans="1:4" x14ac:dyDescent="0.2">
      <c r="A452" t="s">
        <v>1863</v>
      </c>
      <c r="B452" t="s">
        <v>2878</v>
      </c>
      <c r="C452" t="s">
        <v>2879</v>
      </c>
      <c r="D452" t="s">
        <v>4350</v>
      </c>
    </row>
    <row r="453" spans="1:4" x14ac:dyDescent="0.2">
      <c r="A453" t="s">
        <v>1866</v>
      </c>
      <c r="B453" t="s">
        <v>1438</v>
      </c>
      <c r="C453" t="s">
        <v>1439</v>
      </c>
      <c r="D453" t="s">
        <v>4174</v>
      </c>
    </row>
    <row r="454" spans="1:4" x14ac:dyDescent="0.2">
      <c r="A454" t="s">
        <v>1869</v>
      </c>
      <c r="B454" t="s">
        <v>1444</v>
      </c>
      <c r="C454" t="s">
        <v>1445</v>
      </c>
      <c r="D454" t="s">
        <v>4177</v>
      </c>
    </row>
    <row r="455" spans="1:4" x14ac:dyDescent="0.2">
      <c r="A455" t="s">
        <v>1872</v>
      </c>
      <c r="B455" t="s">
        <v>1781</v>
      </c>
      <c r="C455" t="s">
        <v>1782</v>
      </c>
      <c r="D455" t="s">
        <v>4222</v>
      </c>
    </row>
    <row r="456" spans="1:4" x14ac:dyDescent="0.2">
      <c r="A456" t="s">
        <v>1875</v>
      </c>
      <c r="B456" t="s">
        <v>1447</v>
      </c>
      <c r="C456" t="s">
        <v>1448</v>
      </c>
      <c r="D456" t="s">
        <v>4178</v>
      </c>
    </row>
    <row r="457" spans="1:4" x14ac:dyDescent="0.2">
      <c r="A457" t="s">
        <v>1878</v>
      </c>
      <c r="B457" t="s">
        <v>2880</v>
      </c>
      <c r="C457" t="s">
        <v>2881</v>
      </c>
      <c r="D457" t="s">
        <v>4351</v>
      </c>
    </row>
    <row r="458" spans="1:4" x14ac:dyDescent="0.2">
      <c r="A458" t="s">
        <v>413</v>
      </c>
      <c r="B458" t="s">
        <v>2882</v>
      </c>
      <c r="C458" t="s">
        <v>2883</v>
      </c>
      <c r="D458" t="s">
        <v>3648</v>
      </c>
    </row>
    <row r="459" spans="1:4" x14ac:dyDescent="0.2">
      <c r="A459" t="s">
        <v>414</v>
      </c>
      <c r="B459" t="s">
        <v>1453</v>
      </c>
      <c r="C459" t="s">
        <v>1454</v>
      </c>
      <c r="D459" t="s">
        <v>3649</v>
      </c>
    </row>
    <row r="460" spans="1:4" x14ac:dyDescent="0.2">
      <c r="A460" t="s">
        <v>415</v>
      </c>
      <c r="B460" t="s">
        <v>2884</v>
      </c>
      <c r="C460" t="s">
        <v>2885</v>
      </c>
      <c r="D460" t="s">
        <v>3650</v>
      </c>
    </row>
    <row r="461" spans="1:4" x14ac:dyDescent="0.2">
      <c r="A461" t="s">
        <v>1887</v>
      </c>
      <c r="B461" t="s">
        <v>1459</v>
      </c>
      <c r="C461" t="s">
        <v>1460</v>
      </c>
      <c r="D461" t="s">
        <v>4180</v>
      </c>
    </row>
    <row r="462" spans="1:4" x14ac:dyDescent="0.2">
      <c r="A462" t="s">
        <v>416</v>
      </c>
      <c r="B462" t="s">
        <v>2886</v>
      </c>
      <c r="C462" t="s">
        <v>2887</v>
      </c>
      <c r="D462" t="s">
        <v>3651</v>
      </c>
    </row>
    <row r="463" spans="1:4" x14ac:dyDescent="0.2">
      <c r="A463" t="s">
        <v>417</v>
      </c>
      <c r="B463" t="s">
        <v>1785</v>
      </c>
      <c r="C463" t="s">
        <v>1786</v>
      </c>
      <c r="D463" t="s">
        <v>3652</v>
      </c>
    </row>
    <row r="464" spans="1:4" x14ac:dyDescent="0.2">
      <c r="A464" t="s">
        <v>418</v>
      </c>
      <c r="B464" t="s">
        <v>2888</v>
      </c>
      <c r="C464" t="s">
        <v>2889</v>
      </c>
      <c r="D464" t="s">
        <v>3653</v>
      </c>
    </row>
    <row r="465" spans="1:4" x14ac:dyDescent="0.2">
      <c r="A465" t="s">
        <v>419</v>
      </c>
      <c r="B465" t="s">
        <v>1465</v>
      </c>
      <c r="C465" t="s">
        <v>1466</v>
      </c>
      <c r="D465" t="s">
        <v>3654</v>
      </c>
    </row>
    <row r="466" spans="1:4" x14ac:dyDescent="0.2">
      <c r="A466" t="s">
        <v>420</v>
      </c>
      <c r="B466" t="s">
        <v>2890</v>
      </c>
      <c r="C466" t="s">
        <v>2891</v>
      </c>
      <c r="D466" t="s">
        <v>3655</v>
      </c>
    </row>
    <row r="467" spans="1:4" x14ac:dyDescent="0.2">
      <c r="A467" t="s">
        <v>421</v>
      </c>
      <c r="B467" t="s">
        <v>1787</v>
      </c>
      <c r="C467" t="s">
        <v>1788</v>
      </c>
      <c r="D467" t="s">
        <v>3656</v>
      </c>
    </row>
    <row r="468" spans="1:4" x14ac:dyDescent="0.2">
      <c r="A468" t="s">
        <v>422</v>
      </c>
      <c r="B468" t="s">
        <v>1789</v>
      </c>
      <c r="C468" t="s">
        <v>1790</v>
      </c>
      <c r="D468" t="s">
        <v>3657</v>
      </c>
    </row>
    <row r="469" spans="1:4" x14ac:dyDescent="0.2">
      <c r="A469" t="s">
        <v>423</v>
      </c>
      <c r="B469" t="s">
        <v>1471</v>
      </c>
      <c r="C469" t="s">
        <v>1472</v>
      </c>
      <c r="D469" t="s">
        <v>3658</v>
      </c>
    </row>
    <row r="470" spans="1:4" x14ac:dyDescent="0.2">
      <c r="A470" t="s">
        <v>424</v>
      </c>
      <c r="B470" t="s">
        <v>1475</v>
      </c>
      <c r="C470" t="s">
        <v>1476</v>
      </c>
      <c r="D470" t="s">
        <v>3659</v>
      </c>
    </row>
    <row r="471" spans="1:4" x14ac:dyDescent="0.2">
      <c r="A471" t="s">
        <v>425</v>
      </c>
      <c r="B471" t="s">
        <v>2892</v>
      </c>
      <c r="C471" t="s">
        <v>2893</v>
      </c>
      <c r="D471" t="s">
        <v>3660</v>
      </c>
    </row>
    <row r="472" spans="1:4" x14ac:dyDescent="0.2">
      <c r="A472" t="s">
        <v>1910</v>
      </c>
      <c r="B472" t="s">
        <v>2894</v>
      </c>
      <c r="C472" t="s">
        <v>2895</v>
      </c>
      <c r="D472" t="s">
        <v>4352</v>
      </c>
    </row>
    <row r="473" spans="1:4" x14ac:dyDescent="0.2">
      <c r="A473" t="s">
        <v>426</v>
      </c>
      <c r="B473" t="s">
        <v>2896</v>
      </c>
      <c r="C473" t="s">
        <v>2897</v>
      </c>
      <c r="D473" t="s">
        <v>3661</v>
      </c>
    </row>
    <row r="474" spans="1:4" x14ac:dyDescent="0.2">
      <c r="A474" t="s">
        <v>427</v>
      </c>
      <c r="B474" t="s">
        <v>1487</v>
      </c>
      <c r="C474" t="s">
        <v>1488</v>
      </c>
      <c r="D474" t="s">
        <v>3662</v>
      </c>
    </row>
    <row r="475" spans="1:4" x14ac:dyDescent="0.2">
      <c r="A475" t="s">
        <v>428</v>
      </c>
      <c r="B475" t="s">
        <v>1791</v>
      </c>
      <c r="C475" t="s">
        <v>1792</v>
      </c>
      <c r="D475" t="s">
        <v>3663</v>
      </c>
    </row>
    <row r="476" spans="1:4" x14ac:dyDescent="0.2">
      <c r="A476" t="s">
        <v>429</v>
      </c>
      <c r="B476" t="s">
        <v>1796</v>
      </c>
      <c r="C476" t="s">
        <v>1797</v>
      </c>
      <c r="D476" t="s">
        <v>3664</v>
      </c>
    </row>
    <row r="477" spans="1:4" x14ac:dyDescent="0.2">
      <c r="A477" t="s">
        <v>430</v>
      </c>
      <c r="B477" t="s">
        <v>2898</v>
      </c>
      <c r="C477" t="s">
        <v>2899</v>
      </c>
      <c r="D477" t="s">
        <v>3665</v>
      </c>
    </row>
    <row r="478" spans="1:4" x14ac:dyDescent="0.2">
      <c r="A478" t="s">
        <v>431</v>
      </c>
      <c r="B478" t="s">
        <v>2900</v>
      </c>
      <c r="C478" t="s">
        <v>2901</v>
      </c>
      <c r="D478" t="s">
        <v>3666</v>
      </c>
    </row>
    <row r="479" spans="1:4" x14ac:dyDescent="0.2">
      <c r="A479" t="s">
        <v>432</v>
      </c>
      <c r="B479" t="s">
        <v>2902</v>
      </c>
      <c r="C479" t="s">
        <v>2903</v>
      </c>
      <c r="D479" t="s">
        <v>3667</v>
      </c>
    </row>
    <row r="480" spans="1:4" x14ac:dyDescent="0.2">
      <c r="A480" t="s">
        <v>1927</v>
      </c>
      <c r="B480" t="s">
        <v>1801</v>
      </c>
      <c r="C480" t="s">
        <v>1802</v>
      </c>
      <c r="D480" t="s">
        <v>4224</v>
      </c>
    </row>
    <row r="481" spans="1:4" x14ac:dyDescent="0.2">
      <c r="A481" t="s">
        <v>433</v>
      </c>
      <c r="B481" t="s">
        <v>2904</v>
      </c>
      <c r="C481" t="s">
        <v>2905</v>
      </c>
      <c r="D481" t="s">
        <v>3668</v>
      </c>
    </row>
    <row r="482" spans="1:4" x14ac:dyDescent="0.2">
      <c r="A482" t="s">
        <v>434</v>
      </c>
      <c r="B482" t="s">
        <v>2906</v>
      </c>
      <c r="C482" t="s">
        <v>2907</v>
      </c>
      <c r="D482" t="s">
        <v>3669</v>
      </c>
    </row>
    <row r="483" spans="1:4" x14ac:dyDescent="0.2">
      <c r="A483" t="s">
        <v>435</v>
      </c>
      <c r="B483" t="s">
        <v>1805</v>
      </c>
      <c r="C483" t="s">
        <v>1806</v>
      </c>
      <c r="D483" t="s">
        <v>3670</v>
      </c>
    </row>
    <row r="484" spans="1:4" x14ac:dyDescent="0.2">
      <c r="A484" t="s">
        <v>436</v>
      </c>
      <c r="B484" t="s">
        <v>1492</v>
      </c>
      <c r="C484" t="s">
        <v>1493</v>
      </c>
      <c r="D484" t="s">
        <v>3671</v>
      </c>
    </row>
    <row r="485" spans="1:4" x14ac:dyDescent="0.2">
      <c r="A485" t="s">
        <v>437</v>
      </c>
      <c r="B485" t="s">
        <v>1810</v>
      </c>
      <c r="C485" t="s">
        <v>1811</v>
      </c>
      <c r="D485" t="s">
        <v>3672</v>
      </c>
    </row>
    <row r="486" spans="1:4" x14ac:dyDescent="0.2">
      <c r="A486" t="s">
        <v>438</v>
      </c>
      <c r="B486" t="s">
        <v>1816</v>
      </c>
      <c r="C486" t="s">
        <v>1817</v>
      </c>
      <c r="D486" t="s">
        <v>3673</v>
      </c>
    </row>
    <row r="487" spans="1:4" x14ac:dyDescent="0.2">
      <c r="A487" t="s">
        <v>439</v>
      </c>
      <c r="B487" t="s">
        <v>1499</v>
      </c>
      <c r="C487" t="s">
        <v>1500</v>
      </c>
      <c r="D487" t="s">
        <v>3674</v>
      </c>
    </row>
    <row r="488" spans="1:4" x14ac:dyDescent="0.2">
      <c r="A488" t="s">
        <v>1944</v>
      </c>
      <c r="B488" t="s">
        <v>1504</v>
      </c>
      <c r="C488" t="s">
        <v>1505</v>
      </c>
      <c r="D488" t="s">
        <v>4184</v>
      </c>
    </row>
    <row r="489" spans="1:4" x14ac:dyDescent="0.2">
      <c r="A489" t="s">
        <v>1947</v>
      </c>
      <c r="B489" t="s">
        <v>1825</v>
      </c>
      <c r="C489" t="s">
        <v>1826</v>
      </c>
      <c r="D489" t="s">
        <v>4227</v>
      </c>
    </row>
    <row r="490" spans="1:4" x14ac:dyDescent="0.2">
      <c r="A490" t="s">
        <v>440</v>
      </c>
      <c r="B490" t="s">
        <v>1831</v>
      </c>
      <c r="C490" t="s">
        <v>1832</v>
      </c>
      <c r="D490" t="s">
        <v>3675</v>
      </c>
    </row>
    <row r="491" spans="1:4" x14ac:dyDescent="0.2">
      <c r="A491" t="s">
        <v>441</v>
      </c>
      <c r="B491" t="s">
        <v>2908</v>
      </c>
      <c r="C491" t="s">
        <v>2909</v>
      </c>
      <c r="D491" t="s">
        <v>3676</v>
      </c>
    </row>
    <row r="492" spans="1:4" x14ac:dyDescent="0.2">
      <c r="A492" t="s">
        <v>1954</v>
      </c>
      <c r="B492" t="s">
        <v>1837</v>
      </c>
      <c r="C492" t="s">
        <v>1838</v>
      </c>
      <c r="D492" t="s">
        <v>4228</v>
      </c>
    </row>
    <row r="493" spans="1:4" x14ac:dyDescent="0.2">
      <c r="A493" t="s">
        <v>442</v>
      </c>
      <c r="B493" t="s">
        <v>1846</v>
      </c>
      <c r="C493" t="s">
        <v>1847</v>
      </c>
      <c r="D493" t="s">
        <v>3677</v>
      </c>
    </row>
    <row r="494" spans="1:4" x14ac:dyDescent="0.2">
      <c r="A494" t="s">
        <v>443</v>
      </c>
      <c r="B494" t="s">
        <v>1506</v>
      </c>
      <c r="C494" t="s">
        <v>1507</v>
      </c>
      <c r="D494" t="s">
        <v>3678</v>
      </c>
    </row>
    <row r="495" spans="1:4" x14ac:dyDescent="0.2">
      <c r="A495" t="s">
        <v>1961</v>
      </c>
      <c r="B495" t="s">
        <v>1852</v>
      </c>
      <c r="C495" t="s">
        <v>1853</v>
      </c>
      <c r="D495" t="s">
        <v>4230</v>
      </c>
    </row>
    <row r="496" spans="1:4" x14ac:dyDescent="0.2">
      <c r="A496" t="s">
        <v>444</v>
      </c>
      <c r="B496" t="s">
        <v>1510</v>
      </c>
      <c r="C496" t="s">
        <v>1511</v>
      </c>
      <c r="D496" t="s">
        <v>3679</v>
      </c>
    </row>
    <row r="497" spans="1:4" x14ac:dyDescent="0.2">
      <c r="A497" t="s">
        <v>445</v>
      </c>
      <c r="B497" t="s">
        <v>1512</v>
      </c>
      <c r="C497" t="s">
        <v>1513</v>
      </c>
      <c r="D497" t="s">
        <v>3680</v>
      </c>
    </row>
    <row r="498" spans="1:4" x14ac:dyDescent="0.2">
      <c r="A498" t="s">
        <v>446</v>
      </c>
      <c r="B498" t="s">
        <v>1518</v>
      </c>
      <c r="C498" t="s">
        <v>1519</v>
      </c>
      <c r="D498" t="s">
        <v>3681</v>
      </c>
    </row>
    <row r="499" spans="1:4" x14ac:dyDescent="0.2">
      <c r="A499" t="s">
        <v>447</v>
      </c>
      <c r="B499" t="s">
        <v>1858</v>
      </c>
      <c r="C499" t="s">
        <v>1859</v>
      </c>
      <c r="D499" t="s">
        <v>3682</v>
      </c>
    </row>
    <row r="500" spans="1:4" x14ac:dyDescent="0.2">
      <c r="A500" t="s">
        <v>448</v>
      </c>
      <c r="B500" t="s">
        <v>2910</v>
      </c>
      <c r="C500" t="s">
        <v>2911</v>
      </c>
      <c r="D500" t="s">
        <v>3683</v>
      </c>
    </row>
    <row r="501" spans="1:4" x14ac:dyDescent="0.2">
      <c r="A501" t="s">
        <v>1974</v>
      </c>
      <c r="B501" t="s">
        <v>1864</v>
      </c>
      <c r="C501" t="s">
        <v>1865</v>
      </c>
      <c r="D501" t="s">
        <v>4231</v>
      </c>
    </row>
    <row r="502" spans="1:4" x14ac:dyDescent="0.2">
      <c r="A502" t="s">
        <v>449</v>
      </c>
      <c r="B502" t="s">
        <v>1523</v>
      </c>
      <c r="C502" t="s">
        <v>1524</v>
      </c>
      <c r="D502" t="s">
        <v>3684</v>
      </c>
    </row>
    <row r="503" spans="1:4" x14ac:dyDescent="0.2">
      <c r="A503" t="s">
        <v>450</v>
      </c>
      <c r="B503" t="s">
        <v>1873</v>
      </c>
      <c r="C503" t="s">
        <v>1874</v>
      </c>
      <c r="D503" t="s">
        <v>3685</v>
      </c>
    </row>
    <row r="504" spans="1:4" x14ac:dyDescent="0.2">
      <c r="A504" t="s">
        <v>451</v>
      </c>
      <c r="B504" t="s">
        <v>1527</v>
      </c>
      <c r="C504" t="s">
        <v>1528</v>
      </c>
      <c r="D504" t="s">
        <v>3686</v>
      </c>
    </row>
    <row r="505" spans="1:4" x14ac:dyDescent="0.2">
      <c r="A505" t="s">
        <v>1983</v>
      </c>
      <c r="B505" t="s">
        <v>2912</v>
      </c>
      <c r="C505" t="s">
        <v>2913</v>
      </c>
      <c r="D505" t="s">
        <v>4353</v>
      </c>
    </row>
    <row r="506" spans="1:4" x14ac:dyDescent="0.2">
      <c r="A506" t="s">
        <v>452</v>
      </c>
      <c r="B506" t="s">
        <v>2914</v>
      </c>
      <c r="C506" t="s">
        <v>2915</v>
      </c>
      <c r="D506" t="s">
        <v>3687</v>
      </c>
    </row>
    <row r="507" spans="1:4" x14ac:dyDescent="0.2">
      <c r="A507" t="s">
        <v>453</v>
      </c>
      <c r="B507" t="s">
        <v>1879</v>
      </c>
      <c r="C507" t="s">
        <v>1880</v>
      </c>
      <c r="D507" t="s">
        <v>3688</v>
      </c>
    </row>
    <row r="508" spans="1:4" x14ac:dyDescent="0.2">
      <c r="A508" t="s">
        <v>454</v>
      </c>
      <c r="B508" t="s">
        <v>1532</v>
      </c>
      <c r="C508" t="s">
        <v>1533</v>
      </c>
      <c r="D508" t="s">
        <v>3689</v>
      </c>
    </row>
    <row r="509" spans="1:4" x14ac:dyDescent="0.2">
      <c r="A509" t="s">
        <v>455</v>
      </c>
      <c r="B509" t="s">
        <v>1534</v>
      </c>
      <c r="C509" t="s">
        <v>1535</v>
      </c>
      <c r="D509" t="s">
        <v>3690</v>
      </c>
    </row>
    <row r="510" spans="1:4" x14ac:dyDescent="0.2">
      <c r="A510" t="s">
        <v>456</v>
      </c>
      <c r="B510" t="s">
        <v>1883</v>
      </c>
      <c r="C510" t="s">
        <v>1884</v>
      </c>
      <c r="D510" t="s">
        <v>3691</v>
      </c>
    </row>
    <row r="511" spans="1:4" x14ac:dyDescent="0.2">
      <c r="A511" t="s">
        <v>457</v>
      </c>
      <c r="B511" t="s">
        <v>1538</v>
      </c>
      <c r="C511" t="s">
        <v>1539</v>
      </c>
      <c r="D511" t="s">
        <v>3692</v>
      </c>
    </row>
    <row r="512" spans="1:4" x14ac:dyDescent="0.2">
      <c r="A512" t="s">
        <v>1998</v>
      </c>
      <c r="B512" t="s">
        <v>1885</v>
      </c>
      <c r="C512" t="s">
        <v>1886</v>
      </c>
      <c r="D512" t="s">
        <v>4232</v>
      </c>
    </row>
    <row r="513" spans="1:4" x14ac:dyDescent="0.2">
      <c r="A513" t="s">
        <v>2001</v>
      </c>
      <c r="B513" t="s">
        <v>1888</v>
      </c>
      <c r="C513" t="s">
        <v>1889</v>
      </c>
      <c r="D513" t="s">
        <v>4233</v>
      </c>
    </row>
    <row r="514" spans="1:4" x14ac:dyDescent="0.2">
      <c r="A514" t="s">
        <v>458</v>
      </c>
      <c r="B514" t="s">
        <v>1890</v>
      </c>
      <c r="C514" t="s">
        <v>1891</v>
      </c>
      <c r="D514" t="s">
        <v>3693</v>
      </c>
    </row>
    <row r="515" spans="1:4" x14ac:dyDescent="0.2">
      <c r="A515" t="s">
        <v>459</v>
      </c>
      <c r="B515" t="s">
        <v>2916</v>
      </c>
      <c r="C515" t="s">
        <v>2917</v>
      </c>
      <c r="D515" t="s">
        <v>3694</v>
      </c>
    </row>
    <row r="516" spans="1:4" x14ac:dyDescent="0.2">
      <c r="A516" t="s">
        <v>460</v>
      </c>
      <c r="B516" t="s">
        <v>1542</v>
      </c>
      <c r="C516" t="s">
        <v>1543</v>
      </c>
      <c r="D516" t="s">
        <v>3695</v>
      </c>
    </row>
    <row r="517" spans="1:4" x14ac:dyDescent="0.2">
      <c r="A517" t="s">
        <v>461</v>
      </c>
      <c r="B517" t="s">
        <v>1546</v>
      </c>
      <c r="C517" t="s">
        <v>1547</v>
      </c>
      <c r="D517" t="s">
        <v>3696</v>
      </c>
    </row>
    <row r="518" spans="1:4" x14ac:dyDescent="0.2">
      <c r="A518" t="s">
        <v>462</v>
      </c>
      <c r="B518" t="s">
        <v>1892</v>
      </c>
      <c r="C518" t="s">
        <v>1893</v>
      </c>
      <c r="D518" t="s">
        <v>3697</v>
      </c>
    </row>
    <row r="519" spans="1:4" x14ac:dyDescent="0.2">
      <c r="A519" t="s">
        <v>463</v>
      </c>
      <c r="B519" t="s">
        <v>1551</v>
      </c>
      <c r="C519" t="s">
        <v>1552</v>
      </c>
      <c r="D519" t="s">
        <v>3698</v>
      </c>
    </row>
    <row r="520" spans="1:4" x14ac:dyDescent="0.2">
      <c r="A520" t="s">
        <v>464</v>
      </c>
      <c r="B520" t="s">
        <v>1555</v>
      </c>
      <c r="C520" t="s">
        <v>1556</v>
      </c>
      <c r="D520" t="s">
        <v>3699</v>
      </c>
    </row>
    <row r="521" spans="1:4" x14ac:dyDescent="0.2">
      <c r="A521" t="s">
        <v>465</v>
      </c>
      <c r="B521" t="s">
        <v>2918</v>
      </c>
      <c r="C521" t="s">
        <v>2919</v>
      </c>
      <c r="D521" t="s">
        <v>3700</v>
      </c>
    </row>
    <row r="522" spans="1:4" x14ac:dyDescent="0.2">
      <c r="A522" t="s">
        <v>466</v>
      </c>
      <c r="B522" t="s">
        <v>1896</v>
      </c>
      <c r="C522" t="s">
        <v>1897</v>
      </c>
      <c r="D522" t="s">
        <v>3701</v>
      </c>
    </row>
    <row r="523" spans="1:4" x14ac:dyDescent="0.2">
      <c r="A523" t="s">
        <v>467</v>
      </c>
      <c r="B523" t="s">
        <v>1559</v>
      </c>
      <c r="C523" t="s">
        <v>1560</v>
      </c>
      <c r="D523" t="s">
        <v>3702</v>
      </c>
    </row>
    <row r="524" spans="1:4" x14ac:dyDescent="0.2">
      <c r="A524" t="s">
        <v>468</v>
      </c>
      <c r="B524" t="s">
        <v>2920</v>
      </c>
      <c r="C524" t="s">
        <v>2921</v>
      </c>
      <c r="D524" t="s">
        <v>3703</v>
      </c>
    </row>
    <row r="525" spans="1:4" x14ac:dyDescent="0.2">
      <c r="A525" t="s">
        <v>2026</v>
      </c>
      <c r="B525" t="s">
        <v>1898</v>
      </c>
      <c r="C525" t="s">
        <v>1899</v>
      </c>
      <c r="D525" t="s">
        <v>4235</v>
      </c>
    </row>
    <row r="526" spans="1:4" x14ac:dyDescent="0.2">
      <c r="A526" t="s">
        <v>469</v>
      </c>
      <c r="B526" t="s">
        <v>1900</v>
      </c>
      <c r="C526" t="s">
        <v>1901</v>
      </c>
      <c r="D526" t="s">
        <v>3704</v>
      </c>
    </row>
    <row r="527" spans="1:4" x14ac:dyDescent="0.2">
      <c r="A527" t="s">
        <v>470</v>
      </c>
      <c r="B527" t="s">
        <v>1902</v>
      </c>
      <c r="C527" t="s">
        <v>1903</v>
      </c>
      <c r="D527" t="s">
        <v>3705</v>
      </c>
    </row>
    <row r="528" spans="1:4" x14ac:dyDescent="0.2">
      <c r="A528" t="s">
        <v>2033</v>
      </c>
      <c r="B528" t="s">
        <v>1904</v>
      </c>
      <c r="C528" t="s">
        <v>1905</v>
      </c>
      <c r="D528" t="s">
        <v>4236</v>
      </c>
    </row>
    <row r="529" spans="1:4" x14ac:dyDescent="0.2">
      <c r="A529" t="s">
        <v>471</v>
      </c>
      <c r="B529" t="s">
        <v>1906</v>
      </c>
      <c r="C529" t="s">
        <v>1907</v>
      </c>
      <c r="D529" t="s">
        <v>3706</v>
      </c>
    </row>
    <row r="530" spans="1:4" x14ac:dyDescent="0.2">
      <c r="A530" t="s">
        <v>472</v>
      </c>
      <c r="B530" t="s">
        <v>1911</v>
      </c>
      <c r="C530" t="s">
        <v>1912</v>
      </c>
      <c r="D530" t="s">
        <v>3707</v>
      </c>
    </row>
    <row r="531" spans="1:4" x14ac:dyDescent="0.2">
      <c r="A531" t="s">
        <v>473</v>
      </c>
      <c r="B531" t="s">
        <v>1915</v>
      </c>
      <c r="C531" t="s">
        <v>1916</v>
      </c>
      <c r="D531" t="s">
        <v>3708</v>
      </c>
    </row>
    <row r="532" spans="1:4" x14ac:dyDescent="0.2">
      <c r="A532" t="s">
        <v>474</v>
      </c>
      <c r="B532" t="s">
        <v>2922</v>
      </c>
      <c r="C532" t="s">
        <v>2923</v>
      </c>
      <c r="D532" t="s">
        <v>3709</v>
      </c>
    </row>
    <row r="533" spans="1:4" x14ac:dyDescent="0.2">
      <c r="A533" t="s">
        <v>475</v>
      </c>
      <c r="B533" t="s">
        <v>1919</v>
      </c>
      <c r="C533" t="s">
        <v>1920</v>
      </c>
      <c r="D533" t="s">
        <v>3710</v>
      </c>
    </row>
    <row r="534" spans="1:4" x14ac:dyDescent="0.2">
      <c r="A534" t="s">
        <v>2049</v>
      </c>
      <c r="B534" t="s">
        <v>1923</v>
      </c>
      <c r="C534" t="s">
        <v>1924</v>
      </c>
      <c r="D534" t="s">
        <v>4237</v>
      </c>
    </row>
    <row r="535" spans="1:4" x14ac:dyDescent="0.2">
      <c r="A535" t="s">
        <v>2046</v>
      </c>
      <c r="B535" t="s">
        <v>1563</v>
      </c>
      <c r="C535" t="s">
        <v>1564</v>
      </c>
      <c r="D535" t="s">
        <v>4187</v>
      </c>
    </row>
    <row r="536" spans="1:4" x14ac:dyDescent="0.2">
      <c r="A536" t="s">
        <v>476</v>
      </c>
      <c r="B536" t="s">
        <v>2924</v>
      </c>
      <c r="C536" t="s">
        <v>2925</v>
      </c>
      <c r="D536" t="s">
        <v>3711</v>
      </c>
    </row>
    <row r="537" spans="1:4" x14ac:dyDescent="0.2">
      <c r="A537" t="s">
        <v>2054</v>
      </c>
      <c r="B537" t="s">
        <v>1925</v>
      </c>
      <c r="C537" t="s">
        <v>1926</v>
      </c>
      <c r="D537" t="s">
        <v>4238</v>
      </c>
    </row>
    <row r="538" spans="1:4" x14ac:dyDescent="0.2">
      <c r="A538" t="s">
        <v>2057</v>
      </c>
      <c r="B538" t="s">
        <v>1932</v>
      </c>
      <c r="C538" t="s">
        <v>1933</v>
      </c>
      <c r="D538" t="s">
        <v>4239</v>
      </c>
    </row>
    <row r="539" spans="1:4" x14ac:dyDescent="0.2">
      <c r="A539" t="s">
        <v>477</v>
      </c>
      <c r="B539" t="s">
        <v>2926</v>
      </c>
      <c r="C539" t="s">
        <v>2927</v>
      </c>
      <c r="D539" t="s">
        <v>3712</v>
      </c>
    </row>
    <row r="540" spans="1:4" x14ac:dyDescent="0.2">
      <c r="A540" t="s">
        <v>478</v>
      </c>
      <c r="B540" t="s">
        <v>1936</v>
      </c>
      <c r="C540" t="s">
        <v>1937</v>
      </c>
      <c r="D540" t="s">
        <v>3713</v>
      </c>
    </row>
    <row r="541" spans="1:4" x14ac:dyDescent="0.2">
      <c r="A541" t="s">
        <v>479</v>
      </c>
      <c r="B541" t="s">
        <v>2928</v>
      </c>
      <c r="C541" t="s">
        <v>2929</v>
      </c>
      <c r="D541" t="s">
        <v>3714</v>
      </c>
    </row>
    <row r="542" spans="1:4" x14ac:dyDescent="0.2">
      <c r="A542" t="s">
        <v>480</v>
      </c>
      <c r="B542" t="s">
        <v>2931</v>
      </c>
      <c r="C542" t="s">
        <v>2932</v>
      </c>
      <c r="D542" t="s">
        <v>3715</v>
      </c>
    </row>
    <row r="543" spans="1:4" x14ac:dyDescent="0.2">
      <c r="A543" t="s">
        <v>481</v>
      </c>
      <c r="B543" t="s">
        <v>1940</v>
      </c>
      <c r="C543" t="s">
        <v>1941</v>
      </c>
      <c r="D543" t="s">
        <v>3716</v>
      </c>
    </row>
    <row r="544" spans="1:4" x14ac:dyDescent="0.2">
      <c r="A544" t="s">
        <v>482</v>
      </c>
      <c r="B544" t="s">
        <v>2933</v>
      </c>
      <c r="C544" t="s">
        <v>2934</v>
      </c>
      <c r="D544" t="s">
        <v>3717</v>
      </c>
    </row>
    <row r="545" spans="1:4" x14ac:dyDescent="0.2">
      <c r="A545" t="s">
        <v>483</v>
      </c>
      <c r="B545" t="s">
        <v>1568</v>
      </c>
      <c r="C545" t="s">
        <v>1569</v>
      </c>
      <c r="D545" t="s">
        <v>4189</v>
      </c>
    </row>
    <row r="546" spans="1:4" x14ac:dyDescent="0.2">
      <c r="A546" t="s">
        <v>484</v>
      </c>
      <c r="B546" t="s">
        <v>2935</v>
      </c>
      <c r="C546" t="s">
        <v>2936</v>
      </c>
      <c r="D546" t="s">
        <v>3719</v>
      </c>
    </row>
    <row r="547" spans="1:4" x14ac:dyDescent="0.2">
      <c r="A547" t="s">
        <v>2079</v>
      </c>
      <c r="B547" t="s">
        <v>1942</v>
      </c>
      <c r="C547" t="s">
        <v>1943</v>
      </c>
      <c r="D547" t="s">
        <v>4242</v>
      </c>
    </row>
    <row r="548" spans="1:4" x14ac:dyDescent="0.2">
      <c r="A548" t="s">
        <v>2082</v>
      </c>
      <c r="B548" t="s">
        <v>1945</v>
      </c>
      <c r="C548" t="s">
        <v>1946</v>
      </c>
      <c r="D548" t="s">
        <v>4243</v>
      </c>
    </row>
    <row r="549" spans="1:4" x14ac:dyDescent="0.2">
      <c r="A549" t="s">
        <v>2085</v>
      </c>
      <c r="B549" t="s">
        <v>1948</v>
      </c>
      <c r="C549" t="s">
        <v>1949</v>
      </c>
      <c r="D549" t="s">
        <v>4244</v>
      </c>
    </row>
    <row r="550" spans="1:4" x14ac:dyDescent="0.2">
      <c r="A550" t="s">
        <v>2088</v>
      </c>
      <c r="B550" t="s">
        <v>1952</v>
      </c>
      <c r="C550" t="s">
        <v>1953</v>
      </c>
      <c r="D550" t="s">
        <v>4246</v>
      </c>
    </row>
    <row r="551" spans="1:4" x14ac:dyDescent="0.2">
      <c r="A551" t="s">
        <v>2100</v>
      </c>
      <c r="B551" t="s">
        <v>2937</v>
      </c>
      <c r="C551" t="s">
        <v>2938</v>
      </c>
      <c r="D551" t="s">
        <v>4354</v>
      </c>
    </row>
    <row r="552" spans="1:4" x14ac:dyDescent="0.2">
      <c r="A552" t="s">
        <v>2076</v>
      </c>
      <c r="B552" t="s">
        <v>1572</v>
      </c>
      <c r="C552" t="s">
        <v>1573</v>
      </c>
      <c r="D552" t="s">
        <v>4190</v>
      </c>
    </row>
    <row r="553" spans="1:4" x14ac:dyDescent="0.2">
      <c r="A553" t="s">
        <v>2091</v>
      </c>
      <c r="B553" t="s">
        <v>1957</v>
      </c>
      <c r="C553" t="s">
        <v>1958</v>
      </c>
      <c r="D553" t="s">
        <v>4248</v>
      </c>
    </row>
    <row r="554" spans="1:4" x14ac:dyDescent="0.2">
      <c r="A554" t="s">
        <v>2103</v>
      </c>
      <c r="B554" t="s">
        <v>2939</v>
      </c>
      <c r="C554" t="s">
        <v>2940</v>
      </c>
      <c r="D554" t="s">
        <v>4355</v>
      </c>
    </row>
    <row r="555" spans="1:4" x14ac:dyDescent="0.2">
      <c r="A555" t="s">
        <v>2094</v>
      </c>
      <c r="B555" t="s">
        <v>1962</v>
      </c>
      <c r="C555" t="s">
        <v>1963</v>
      </c>
      <c r="D555" t="s">
        <v>4250</v>
      </c>
    </row>
    <row r="556" spans="1:4" x14ac:dyDescent="0.2">
      <c r="A556" t="s">
        <v>2097</v>
      </c>
      <c r="B556" t="s">
        <v>1966</v>
      </c>
      <c r="C556" t="s">
        <v>1967</v>
      </c>
      <c r="D556" t="s">
        <v>4252</v>
      </c>
    </row>
    <row r="557" spans="1:4" x14ac:dyDescent="0.2">
      <c r="A557" t="s">
        <v>485</v>
      </c>
      <c r="B557" t="s">
        <v>2942</v>
      </c>
      <c r="C557" t="s">
        <v>2943</v>
      </c>
      <c r="D557" t="s">
        <v>4356</v>
      </c>
    </row>
    <row r="558" spans="1:4" x14ac:dyDescent="0.2">
      <c r="A558" t="s">
        <v>486</v>
      </c>
      <c r="B558" t="s">
        <v>1970</v>
      </c>
      <c r="C558" t="s">
        <v>1971</v>
      </c>
      <c r="D558" t="s">
        <v>3721</v>
      </c>
    </row>
    <row r="559" spans="1:4" x14ac:dyDescent="0.2">
      <c r="A559" t="s">
        <v>2110</v>
      </c>
      <c r="B559" t="s">
        <v>2944</v>
      </c>
      <c r="C559" t="s">
        <v>2945</v>
      </c>
      <c r="D559" t="s">
        <v>4357</v>
      </c>
    </row>
    <row r="560" spans="1:4" x14ac:dyDescent="0.2">
      <c r="A560" t="s">
        <v>487</v>
      </c>
      <c r="B560" t="s">
        <v>1972</v>
      </c>
      <c r="C560" t="s">
        <v>1973</v>
      </c>
      <c r="D560" t="s">
        <v>3722</v>
      </c>
    </row>
    <row r="561" spans="1:4" x14ac:dyDescent="0.2">
      <c r="A561" t="s">
        <v>488</v>
      </c>
      <c r="B561" t="s">
        <v>2946</v>
      </c>
      <c r="C561" t="s">
        <v>2947</v>
      </c>
      <c r="D561" t="s">
        <v>3723</v>
      </c>
    </row>
    <row r="562" spans="1:4" x14ac:dyDescent="0.2">
      <c r="A562" t="s">
        <v>489</v>
      </c>
      <c r="B562" t="s">
        <v>1576</v>
      </c>
      <c r="C562" t="s">
        <v>1577</v>
      </c>
      <c r="D562" t="s">
        <v>3724</v>
      </c>
    </row>
    <row r="563" spans="1:4" x14ac:dyDescent="0.2">
      <c r="A563" t="s">
        <v>2119</v>
      </c>
      <c r="B563" t="s">
        <v>1975</v>
      </c>
      <c r="C563" t="s">
        <v>1976</v>
      </c>
      <c r="D563" t="s">
        <v>4253</v>
      </c>
    </row>
    <row r="564" spans="1:4" x14ac:dyDescent="0.2">
      <c r="A564" t="s">
        <v>2122</v>
      </c>
      <c r="B564" t="s">
        <v>1977</v>
      </c>
      <c r="C564" t="s">
        <v>1978</v>
      </c>
      <c r="D564" t="s">
        <v>4254</v>
      </c>
    </row>
    <row r="565" spans="1:4" x14ac:dyDescent="0.2">
      <c r="A565" t="s">
        <v>2134</v>
      </c>
      <c r="B565" t="s">
        <v>2948</v>
      </c>
      <c r="C565" t="s">
        <v>2949</v>
      </c>
      <c r="D565" t="s">
        <v>4358</v>
      </c>
    </row>
    <row r="566" spans="1:4" x14ac:dyDescent="0.2">
      <c r="A566" t="s">
        <v>2125</v>
      </c>
      <c r="B566" t="s">
        <v>1981</v>
      </c>
      <c r="C566" t="s">
        <v>1982</v>
      </c>
      <c r="D566" t="s">
        <v>4255</v>
      </c>
    </row>
    <row r="567" spans="1:4" x14ac:dyDescent="0.2">
      <c r="A567" t="s">
        <v>2137</v>
      </c>
      <c r="B567" t="s">
        <v>2950</v>
      </c>
      <c r="C567" t="s">
        <v>2951</v>
      </c>
      <c r="D567" t="s">
        <v>4359</v>
      </c>
    </row>
    <row r="568" spans="1:4" x14ac:dyDescent="0.2">
      <c r="A568" t="s">
        <v>2140</v>
      </c>
      <c r="B568" t="s">
        <v>2952</v>
      </c>
      <c r="C568" t="s">
        <v>2953</v>
      </c>
      <c r="D568" t="s">
        <v>4360</v>
      </c>
    </row>
    <row r="569" spans="1:4" x14ac:dyDescent="0.2">
      <c r="A569" t="s">
        <v>2128</v>
      </c>
      <c r="B569" t="s">
        <v>1986</v>
      </c>
      <c r="C569" t="s">
        <v>1987</v>
      </c>
      <c r="D569" t="s">
        <v>4256</v>
      </c>
    </row>
    <row r="570" spans="1:4" x14ac:dyDescent="0.2">
      <c r="A570" t="s">
        <v>2143</v>
      </c>
      <c r="B570" t="s">
        <v>2954</v>
      </c>
      <c r="C570" t="s">
        <v>2955</v>
      </c>
      <c r="D570" t="s">
        <v>4361</v>
      </c>
    </row>
    <row r="571" spans="1:4" x14ac:dyDescent="0.2">
      <c r="A571" t="s">
        <v>2146</v>
      </c>
      <c r="B571" t="s">
        <v>2957</v>
      </c>
      <c r="C571" t="s">
        <v>2958</v>
      </c>
      <c r="D571" t="s">
        <v>4362</v>
      </c>
    </row>
    <row r="572" spans="1:4" x14ac:dyDescent="0.2">
      <c r="A572" t="s">
        <v>2149</v>
      </c>
      <c r="B572" t="s">
        <v>2959</v>
      </c>
      <c r="C572" t="s">
        <v>2960</v>
      </c>
      <c r="D572" t="s">
        <v>4363</v>
      </c>
    </row>
    <row r="573" spans="1:4" x14ac:dyDescent="0.2">
      <c r="A573" t="s">
        <v>2131</v>
      </c>
      <c r="B573" t="s">
        <v>1992</v>
      </c>
      <c r="C573" t="s">
        <v>1993</v>
      </c>
      <c r="D573" t="s">
        <v>4257</v>
      </c>
    </row>
    <row r="574" spans="1:4" x14ac:dyDescent="0.2">
      <c r="A574" t="s">
        <v>490</v>
      </c>
      <c r="B574" t="s">
        <v>1996</v>
      </c>
      <c r="C574" t="s">
        <v>1997</v>
      </c>
      <c r="D574" t="s">
        <v>3725</v>
      </c>
    </row>
    <row r="575" spans="1:4" x14ac:dyDescent="0.2">
      <c r="A575" t="s">
        <v>491</v>
      </c>
      <c r="B575" t="s">
        <v>2004</v>
      </c>
      <c r="C575" t="s">
        <v>2005</v>
      </c>
      <c r="D575" t="s">
        <v>3726</v>
      </c>
    </row>
    <row r="576" spans="1:4" x14ac:dyDescent="0.2">
      <c r="A576" t="s">
        <v>492</v>
      </c>
      <c r="B576" t="s">
        <v>2961</v>
      </c>
      <c r="C576" t="s">
        <v>2962</v>
      </c>
      <c r="D576" t="s">
        <v>3727</v>
      </c>
    </row>
    <row r="577" spans="1:4" x14ac:dyDescent="0.2">
      <c r="A577" t="s">
        <v>493</v>
      </c>
      <c r="B577" t="s">
        <v>2963</v>
      </c>
      <c r="C577" t="s">
        <v>2964</v>
      </c>
      <c r="D577" t="s">
        <v>3728</v>
      </c>
    </row>
    <row r="578" spans="1:4" x14ac:dyDescent="0.2">
      <c r="A578" t="s">
        <v>494</v>
      </c>
      <c r="B578" t="s">
        <v>2008</v>
      </c>
      <c r="C578" t="s">
        <v>2009</v>
      </c>
      <c r="D578" t="s">
        <v>3729</v>
      </c>
    </row>
    <row r="579" spans="1:4" x14ac:dyDescent="0.2">
      <c r="A579" t="s">
        <v>2162</v>
      </c>
      <c r="B579" t="s">
        <v>2965</v>
      </c>
      <c r="C579" t="s">
        <v>2966</v>
      </c>
      <c r="D579" t="s">
        <v>4364</v>
      </c>
    </row>
    <row r="580" spans="1:4" x14ac:dyDescent="0.2">
      <c r="A580" t="s">
        <v>495</v>
      </c>
      <c r="B580" t="s">
        <v>2012</v>
      </c>
      <c r="C580" t="s">
        <v>2013</v>
      </c>
      <c r="D580" t="s">
        <v>3730</v>
      </c>
    </row>
    <row r="581" spans="1:4" x14ac:dyDescent="0.2">
      <c r="A581" t="s">
        <v>496</v>
      </c>
      <c r="B581" t="s">
        <v>2967</v>
      </c>
      <c r="C581" t="s">
        <v>2968</v>
      </c>
      <c r="D581" t="s">
        <v>3731</v>
      </c>
    </row>
    <row r="582" spans="1:4" x14ac:dyDescent="0.2">
      <c r="A582" t="s">
        <v>497</v>
      </c>
      <c r="B582" t="s">
        <v>2018</v>
      </c>
      <c r="C582" t="s">
        <v>2019</v>
      </c>
      <c r="D582" t="s">
        <v>3732</v>
      </c>
    </row>
    <row r="583" spans="1:4" x14ac:dyDescent="0.2">
      <c r="A583" t="s">
        <v>498</v>
      </c>
      <c r="B583" t="s">
        <v>2022</v>
      </c>
      <c r="C583" t="s">
        <v>2023</v>
      </c>
      <c r="D583" t="s">
        <v>3733</v>
      </c>
    </row>
    <row r="584" spans="1:4" x14ac:dyDescent="0.2">
      <c r="A584" t="s">
        <v>2173</v>
      </c>
      <c r="B584" t="s">
        <v>2027</v>
      </c>
      <c r="C584" t="s">
        <v>2028</v>
      </c>
      <c r="D584" t="s">
        <v>4259</v>
      </c>
    </row>
    <row r="585" spans="1:4" x14ac:dyDescent="0.2">
      <c r="A585" t="s">
        <v>2176</v>
      </c>
      <c r="B585" t="s">
        <v>1580</v>
      </c>
      <c r="C585" t="s">
        <v>1581</v>
      </c>
      <c r="D585" t="s">
        <v>4191</v>
      </c>
    </row>
    <row r="586" spans="1:4" x14ac:dyDescent="0.2">
      <c r="A586" t="s">
        <v>499</v>
      </c>
      <c r="B586" t="s">
        <v>2031</v>
      </c>
      <c r="C586" t="s">
        <v>2032</v>
      </c>
      <c r="D586" t="s">
        <v>3734</v>
      </c>
    </row>
    <row r="587" spans="1:4" x14ac:dyDescent="0.2">
      <c r="A587" t="s">
        <v>500</v>
      </c>
      <c r="B587" t="s">
        <v>1585</v>
      </c>
      <c r="C587" t="s">
        <v>1586</v>
      </c>
      <c r="D587" t="s">
        <v>3735</v>
      </c>
    </row>
    <row r="588" spans="1:4" x14ac:dyDescent="0.2">
      <c r="A588" t="s">
        <v>501</v>
      </c>
      <c r="B588" t="s">
        <v>2970</v>
      </c>
      <c r="C588" t="s">
        <v>2971</v>
      </c>
      <c r="D588" t="s">
        <v>3736</v>
      </c>
    </row>
    <row r="589" spans="1:4" x14ac:dyDescent="0.2">
      <c r="A589" t="s">
        <v>502</v>
      </c>
      <c r="B589" t="s">
        <v>2036</v>
      </c>
      <c r="C589" t="s">
        <v>2037</v>
      </c>
      <c r="D589" t="s">
        <v>3737</v>
      </c>
    </row>
    <row r="590" spans="1:4" x14ac:dyDescent="0.2">
      <c r="A590" t="s">
        <v>2187</v>
      </c>
      <c r="B590" t="s">
        <v>1590</v>
      </c>
      <c r="C590" t="s">
        <v>1591</v>
      </c>
      <c r="D590" t="s">
        <v>4192</v>
      </c>
    </row>
    <row r="591" spans="1:4" x14ac:dyDescent="0.2">
      <c r="A591" t="s">
        <v>2190</v>
      </c>
      <c r="B591" t="s">
        <v>1595</v>
      </c>
      <c r="C591" t="s">
        <v>1596</v>
      </c>
      <c r="D591" t="s">
        <v>4193</v>
      </c>
    </row>
    <row r="592" spans="1:4" x14ac:dyDescent="0.2">
      <c r="A592" t="s">
        <v>2193</v>
      </c>
      <c r="B592" t="s">
        <v>2972</v>
      </c>
      <c r="C592" t="s">
        <v>2973</v>
      </c>
      <c r="D592" t="s">
        <v>4365</v>
      </c>
    </row>
    <row r="593" spans="1:4" x14ac:dyDescent="0.2">
      <c r="A593" t="s">
        <v>2196</v>
      </c>
      <c r="B593" t="s">
        <v>2038</v>
      </c>
      <c r="C593" t="s">
        <v>2039</v>
      </c>
      <c r="D593" t="s">
        <v>4260</v>
      </c>
    </row>
    <row r="594" spans="1:4" x14ac:dyDescent="0.2">
      <c r="A594" t="s">
        <v>503</v>
      </c>
      <c r="B594" t="s">
        <v>2975</v>
      </c>
      <c r="C594" t="s">
        <v>2976</v>
      </c>
      <c r="D594" t="s">
        <v>3738</v>
      </c>
    </row>
    <row r="595" spans="1:4" x14ac:dyDescent="0.2">
      <c r="A595" t="s">
        <v>504</v>
      </c>
      <c r="B595" t="s">
        <v>2977</v>
      </c>
      <c r="C595" t="s">
        <v>2978</v>
      </c>
      <c r="D595" t="s">
        <v>3739</v>
      </c>
    </row>
    <row r="596" spans="1:4" x14ac:dyDescent="0.2">
      <c r="A596" t="s">
        <v>2203</v>
      </c>
      <c r="B596" t="s">
        <v>2040</v>
      </c>
      <c r="C596" t="s">
        <v>2041</v>
      </c>
      <c r="D596" t="s">
        <v>4261</v>
      </c>
    </row>
    <row r="597" spans="1:4" x14ac:dyDescent="0.2">
      <c r="A597" t="s">
        <v>2206</v>
      </c>
      <c r="B597" t="s">
        <v>1600</v>
      </c>
      <c r="C597" t="s">
        <v>1601</v>
      </c>
      <c r="D597" t="s">
        <v>4194</v>
      </c>
    </row>
    <row r="598" spans="1:4" x14ac:dyDescent="0.2">
      <c r="A598" t="s">
        <v>505</v>
      </c>
      <c r="B598" t="s">
        <v>2979</v>
      </c>
      <c r="C598" t="s">
        <v>2980</v>
      </c>
      <c r="D598" t="s">
        <v>3740</v>
      </c>
    </row>
    <row r="599" spans="1:4" x14ac:dyDescent="0.2">
      <c r="A599" t="s">
        <v>506</v>
      </c>
      <c r="B599" t="s">
        <v>2982</v>
      </c>
      <c r="C599" t="s">
        <v>2983</v>
      </c>
      <c r="D599" t="s">
        <v>3741</v>
      </c>
    </row>
    <row r="600" spans="1:4" x14ac:dyDescent="0.2">
      <c r="A600" t="s">
        <v>2213</v>
      </c>
      <c r="B600" t="s">
        <v>2044</v>
      </c>
      <c r="C600" t="s">
        <v>2045</v>
      </c>
      <c r="D600" t="s">
        <v>4262</v>
      </c>
    </row>
    <row r="601" spans="1:4" x14ac:dyDescent="0.2">
      <c r="A601" t="s">
        <v>507</v>
      </c>
      <c r="B601" t="s">
        <v>1604</v>
      </c>
      <c r="C601" t="s">
        <v>1605</v>
      </c>
      <c r="D601" t="s">
        <v>3742</v>
      </c>
    </row>
    <row r="602" spans="1:4" x14ac:dyDescent="0.2">
      <c r="A602" t="s">
        <v>508</v>
      </c>
      <c r="B602" t="s">
        <v>1616</v>
      </c>
      <c r="C602" t="s">
        <v>1617</v>
      </c>
      <c r="D602" t="s">
        <v>3743</v>
      </c>
    </row>
    <row r="603" spans="1:4" x14ac:dyDescent="0.2">
      <c r="A603" t="s">
        <v>509</v>
      </c>
      <c r="B603" t="s">
        <v>1621</v>
      </c>
      <c r="C603" t="s">
        <v>1622</v>
      </c>
      <c r="D603" t="s">
        <v>3744</v>
      </c>
    </row>
    <row r="604" spans="1:4" x14ac:dyDescent="0.2">
      <c r="A604" t="s">
        <v>510</v>
      </c>
      <c r="B604" t="s">
        <v>2984</v>
      </c>
      <c r="C604" t="s">
        <v>2985</v>
      </c>
      <c r="D604" t="s">
        <v>3745</v>
      </c>
    </row>
    <row r="605" spans="1:4" x14ac:dyDescent="0.2">
      <c r="A605" t="s">
        <v>511</v>
      </c>
      <c r="B605" t="s">
        <v>1625</v>
      </c>
      <c r="C605" t="s">
        <v>1626</v>
      </c>
      <c r="D605" t="s">
        <v>3746</v>
      </c>
    </row>
    <row r="606" spans="1:4" x14ac:dyDescent="0.2">
      <c r="A606" t="s">
        <v>2226</v>
      </c>
      <c r="B606" t="s">
        <v>2986</v>
      </c>
      <c r="C606" t="s">
        <v>2987</v>
      </c>
      <c r="D606" t="s">
        <v>4366</v>
      </c>
    </row>
    <row r="607" spans="1:4" x14ac:dyDescent="0.2">
      <c r="A607" t="s">
        <v>512</v>
      </c>
      <c r="B607" t="s">
        <v>2989</v>
      </c>
      <c r="C607" t="s">
        <v>2990</v>
      </c>
      <c r="D607" t="s">
        <v>3747</v>
      </c>
    </row>
    <row r="608" spans="1:4" x14ac:dyDescent="0.2">
      <c r="A608" t="s">
        <v>2231</v>
      </c>
      <c r="B608" t="s">
        <v>2050</v>
      </c>
      <c r="C608" t="s">
        <v>2051</v>
      </c>
      <c r="D608" t="s">
        <v>4263</v>
      </c>
    </row>
    <row r="609" spans="1:4" x14ac:dyDescent="0.2">
      <c r="A609" t="s">
        <v>513</v>
      </c>
      <c r="B609" t="s">
        <v>2991</v>
      </c>
      <c r="C609" t="s">
        <v>2992</v>
      </c>
      <c r="D609" t="s">
        <v>3748</v>
      </c>
    </row>
    <row r="610" spans="1:4" x14ac:dyDescent="0.2">
      <c r="A610" t="s">
        <v>514</v>
      </c>
      <c r="B610" t="s">
        <v>1627</v>
      </c>
      <c r="C610" t="s">
        <v>1628</v>
      </c>
      <c r="D610" t="s">
        <v>3749</v>
      </c>
    </row>
    <row r="611" spans="1:4" x14ac:dyDescent="0.2">
      <c r="A611" t="s">
        <v>515</v>
      </c>
      <c r="B611" t="s">
        <v>2993</v>
      </c>
      <c r="C611" t="s">
        <v>2994</v>
      </c>
      <c r="D611" t="s">
        <v>3750</v>
      </c>
    </row>
    <row r="612" spans="1:4" x14ac:dyDescent="0.2">
      <c r="A612" t="s">
        <v>516</v>
      </c>
      <c r="B612" t="s">
        <v>2052</v>
      </c>
      <c r="C612" t="s">
        <v>2053</v>
      </c>
      <c r="D612" t="s">
        <v>3751</v>
      </c>
    </row>
    <row r="613" spans="1:4" x14ac:dyDescent="0.2">
      <c r="A613" t="s">
        <v>517</v>
      </c>
      <c r="B613" t="s">
        <v>2060</v>
      </c>
      <c r="C613" t="s">
        <v>2061</v>
      </c>
      <c r="D613" t="s">
        <v>3752</v>
      </c>
    </row>
    <row r="614" spans="1:4" x14ac:dyDescent="0.2">
      <c r="A614" t="s">
        <v>518</v>
      </c>
      <c r="B614" t="s">
        <v>1631</v>
      </c>
      <c r="C614" t="s">
        <v>1632</v>
      </c>
      <c r="D614" t="s">
        <v>3753</v>
      </c>
    </row>
    <row r="615" spans="1:4" x14ac:dyDescent="0.2">
      <c r="A615" t="s">
        <v>2246</v>
      </c>
      <c r="B615" t="s">
        <v>1638</v>
      </c>
      <c r="C615" t="s">
        <v>1639</v>
      </c>
      <c r="D615" t="s">
        <v>4198</v>
      </c>
    </row>
    <row r="616" spans="1:4" x14ac:dyDescent="0.2">
      <c r="A616" t="s">
        <v>519</v>
      </c>
      <c r="B616" t="s">
        <v>1642</v>
      </c>
      <c r="C616" t="s">
        <v>1643</v>
      </c>
      <c r="D616" t="s">
        <v>3754</v>
      </c>
    </row>
    <row r="617" spans="1:4" x14ac:dyDescent="0.2">
      <c r="A617" t="s">
        <v>520</v>
      </c>
      <c r="B617" t="s">
        <v>2995</v>
      </c>
      <c r="C617" t="s">
        <v>2996</v>
      </c>
      <c r="D617" t="s">
        <v>3755</v>
      </c>
    </row>
    <row r="618" spans="1:4" x14ac:dyDescent="0.2">
      <c r="A618" t="s">
        <v>2253</v>
      </c>
      <c r="B618" t="s">
        <v>1645</v>
      </c>
      <c r="C618" t="s">
        <v>1646</v>
      </c>
      <c r="D618" t="s">
        <v>4200</v>
      </c>
    </row>
    <row r="619" spans="1:4" x14ac:dyDescent="0.2">
      <c r="A619" t="s">
        <v>2256</v>
      </c>
      <c r="B619" t="s">
        <v>2998</v>
      </c>
      <c r="C619" t="s">
        <v>2999</v>
      </c>
      <c r="D619" t="s">
        <v>4367</v>
      </c>
    </row>
    <row r="620" spans="1:4" x14ac:dyDescent="0.2">
      <c r="A620" t="s">
        <v>2259</v>
      </c>
      <c r="B620" t="s">
        <v>2064</v>
      </c>
      <c r="C620" t="s">
        <v>2065</v>
      </c>
      <c r="D620" t="s">
        <v>4265</v>
      </c>
    </row>
    <row r="621" spans="1:4" x14ac:dyDescent="0.2">
      <c r="A621" t="s">
        <v>2262</v>
      </c>
      <c r="B621" t="s">
        <v>3001</v>
      </c>
      <c r="C621" t="s">
        <v>3002</v>
      </c>
      <c r="D621" t="s">
        <v>4368</v>
      </c>
    </row>
    <row r="622" spans="1:4" x14ac:dyDescent="0.2">
      <c r="A622" t="s">
        <v>521</v>
      </c>
      <c r="B622" t="s">
        <v>3004</v>
      </c>
      <c r="C622" t="s">
        <v>3005</v>
      </c>
      <c r="D622" t="s">
        <v>3756</v>
      </c>
    </row>
    <row r="623" spans="1:4" x14ac:dyDescent="0.2">
      <c r="A623" t="s">
        <v>522</v>
      </c>
      <c r="B623" t="s">
        <v>2068</v>
      </c>
      <c r="C623" t="s">
        <v>2069</v>
      </c>
      <c r="D623" t="s">
        <v>3757</v>
      </c>
    </row>
    <row r="624" spans="1:4" x14ac:dyDescent="0.2">
      <c r="A624" t="s">
        <v>523</v>
      </c>
      <c r="B624" t="s">
        <v>2072</v>
      </c>
      <c r="C624" t="s">
        <v>2073</v>
      </c>
      <c r="D624" t="s">
        <v>3758</v>
      </c>
    </row>
    <row r="625" spans="1:4" x14ac:dyDescent="0.2">
      <c r="A625" t="s">
        <v>524</v>
      </c>
      <c r="B625" t="s">
        <v>1652</v>
      </c>
      <c r="C625" t="s">
        <v>1653</v>
      </c>
      <c r="D625" t="s">
        <v>3759</v>
      </c>
    </row>
    <row r="626" spans="1:4" x14ac:dyDescent="0.2">
      <c r="A626" t="s">
        <v>525</v>
      </c>
      <c r="B626" t="s">
        <v>3007</v>
      </c>
      <c r="C626" t="s">
        <v>3008</v>
      </c>
      <c r="D626" t="s">
        <v>3760</v>
      </c>
    </row>
    <row r="627" spans="1:4" x14ac:dyDescent="0.2">
      <c r="A627" t="s">
        <v>2275</v>
      </c>
      <c r="B627" t="s">
        <v>3010</v>
      </c>
      <c r="C627" t="s">
        <v>3011</v>
      </c>
      <c r="D627" t="s">
        <v>4369</v>
      </c>
    </row>
    <row r="628" spans="1:4" x14ac:dyDescent="0.2">
      <c r="A628" t="s">
        <v>526</v>
      </c>
      <c r="B628" t="s">
        <v>2077</v>
      </c>
      <c r="C628" t="s">
        <v>2078</v>
      </c>
      <c r="D628" t="s">
        <v>3761</v>
      </c>
    </row>
    <row r="629" spans="1:4" x14ac:dyDescent="0.2">
      <c r="A629" t="s">
        <v>527</v>
      </c>
      <c r="B629" t="s">
        <v>3012</v>
      </c>
      <c r="C629" t="s">
        <v>3013</v>
      </c>
      <c r="D629" t="s">
        <v>3762</v>
      </c>
    </row>
    <row r="630" spans="1:4" x14ac:dyDescent="0.2">
      <c r="A630" t="s">
        <v>528</v>
      </c>
      <c r="B630" t="s">
        <v>2083</v>
      </c>
      <c r="C630" t="s">
        <v>2084</v>
      </c>
      <c r="D630" t="s">
        <v>3763</v>
      </c>
    </row>
    <row r="631" spans="1:4" x14ac:dyDescent="0.2">
      <c r="A631" t="s">
        <v>529</v>
      </c>
      <c r="B631" t="s">
        <v>1656</v>
      </c>
      <c r="C631" t="s">
        <v>1657</v>
      </c>
      <c r="D631" t="s">
        <v>3764</v>
      </c>
    </row>
    <row r="632" spans="1:4" x14ac:dyDescent="0.2">
      <c r="A632" t="s">
        <v>530</v>
      </c>
      <c r="B632" t="s">
        <v>1660</v>
      </c>
      <c r="C632" t="s">
        <v>1661</v>
      </c>
      <c r="D632" t="s">
        <v>3765</v>
      </c>
    </row>
    <row r="633" spans="1:4" x14ac:dyDescent="0.2">
      <c r="A633" t="s">
        <v>531</v>
      </c>
      <c r="B633" t="s">
        <v>1664</v>
      </c>
      <c r="C633" t="s">
        <v>1665</v>
      </c>
      <c r="D633" t="s">
        <v>3766</v>
      </c>
    </row>
    <row r="634" spans="1:4" x14ac:dyDescent="0.2">
      <c r="A634" t="s">
        <v>2290</v>
      </c>
      <c r="B634" t="s">
        <v>2089</v>
      </c>
      <c r="C634" t="s">
        <v>2090</v>
      </c>
      <c r="D634" t="s">
        <v>4268</v>
      </c>
    </row>
    <row r="635" spans="1:4" x14ac:dyDescent="0.2">
      <c r="A635" t="s">
        <v>2293</v>
      </c>
      <c r="B635" t="s">
        <v>3014</v>
      </c>
      <c r="C635" t="s">
        <v>3015</v>
      </c>
      <c r="D635" t="s">
        <v>4370</v>
      </c>
    </row>
    <row r="636" spans="1:4" x14ac:dyDescent="0.2">
      <c r="A636" t="s">
        <v>532</v>
      </c>
      <c r="B636" t="s">
        <v>2095</v>
      </c>
      <c r="C636" t="s">
        <v>2096</v>
      </c>
      <c r="D636" t="s">
        <v>3767</v>
      </c>
    </row>
    <row r="637" spans="1:4" x14ac:dyDescent="0.2">
      <c r="A637" t="s">
        <v>533</v>
      </c>
      <c r="B637" t="s">
        <v>2101</v>
      </c>
      <c r="C637" t="s">
        <v>2102</v>
      </c>
      <c r="D637" t="s">
        <v>3768</v>
      </c>
    </row>
    <row r="638" spans="1:4" x14ac:dyDescent="0.2">
      <c r="A638" t="s">
        <v>534</v>
      </c>
      <c r="B638" t="s">
        <v>2106</v>
      </c>
      <c r="C638" t="s">
        <v>2107</v>
      </c>
      <c r="D638" t="s">
        <v>3769</v>
      </c>
    </row>
    <row r="639" spans="1:4" x14ac:dyDescent="0.2">
      <c r="A639" t="s">
        <v>2302</v>
      </c>
      <c r="B639" t="s">
        <v>2108</v>
      </c>
      <c r="C639" t="s">
        <v>2109</v>
      </c>
      <c r="D639" t="s">
        <v>4269</v>
      </c>
    </row>
    <row r="640" spans="1:4" x14ac:dyDescent="0.2">
      <c r="A640" t="s">
        <v>2305</v>
      </c>
      <c r="B640" t="s">
        <v>3016</v>
      </c>
      <c r="C640" t="s">
        <v>3017</v>
      </c>
      <c r="D640" t="s">
        <v>4371</v>
      </c>
    </row>
    <row r="641" spans="1:4" x14ac:dyDescent="0.2">
      <c r="A641" t="s">
        <v>535</v>
      </c>
      <c r="B641" t="s">
        <v>3018</v>
      </c>
      <c r="C641" t="s">
        <v>3019</v>
      </c>
      <c r="D641" t="s">
        <v>3770</v>
      </c>
    </row>
    <row r="642" spans="1:4" x14ac:dyDescent="0.2">
      <c r="A642" t="s">
        <v>536</v>
      </c>
      <c r="B642" t="s">
        <v>3020</v>
      </c>
      <c r="C642" t="s">
        <v>3021</v>
      </c>
      <c r="D642" t="s">
        <v>3771</v>
      </c>
    </row>
    <row r="643" spans="1:4" x14ac:dyDescent="0.2">
      <c r="A643" t="s">
        <v>537</v>
      </c>
      <c r="B643" t="s">
        <v>1666</v>
      </c>
      <c r="C643" t="s">
        <v>1667</v>
      </c>
      <c r="D643" t="s">
        <v>3772</v>
      </c>
    </row>
    <row r="644" spans="1:4" x14ac:dyDescent="0.2">
      <c r="A644" t="s">
        <v>538</v>
      </c>
      <c r="B644" t="s">
        <v>1672</v>
      </c>
      <c r="C644" t="s">
        <v>1673</v>
      </c>
      <c r="D644" t="s">
        <v>3773</v>
      </c>
    </row>
    <row r="645" spans="1:4" x14ac:dyDescent="0.2">
      <c r="A645" t="s">
        <v>539</v>
      </c>
      <c r="B645" t="s">
        <v>2113</v>
      </c>
      <c r="C645" t="s">
        <v>2114</v>
      </c>
      <c r="D645" t="s">
        <v>3774</v>
      </c>
    </row>
    <row r="646" spans="1:4" x14ac:dyDescent="0.2">
      <c r="A646" t="s">
        <v>540</v>
      </c>
      <c r="B646" t="s">
        <v>2120</v>
      </c>
      <c r="C646" t="s">
        <v>2121</v>
      </c>
      <c r="D646" t="s">
        <v>3775</v>
      </c>
    </row>
    <row r="647" spans="1:4" x14ac:dyDescent="0.2">
      <c r="A647" t="s">
        <v>541</v>
      </c>
      <c r="B647" t="s">
        <v>2132</v>
      </c>
      <c r="C647" t="s">
        <v>2133</v>
      </c>
      <c r="D647" t="s">
        <v>3776</v>
      </c>
    </row>
    <row r="648" spans="1:4" x14ac:dyDescent="0.2">
      <c r="A648" t="s">
        <v>542</v>
      </c>
      <c r="B648" t="s">
        <v>3022</v>
      </c>
      <c r="C648" t="s">
        <v>3023</v>
      </c>
      <c r="D648" t="s">
        <v>3777</v>
      </c>
    </row>
    <row r="649" spans="1:4" x14ac:dyDescent="0.2">
      <c r="A649" t="s">
        <v>543</v>
      </c>
      <c r="B649" t="s">
        <v>3025</v>
      </c>
      <c r="C649" t="s">
        <v>3026</v>
      </c>
      <c r="D649" t="s">
        <v>3778</v>
      </c>
    </row>
    <row r="650" spans="1:4" x14ac:dyDescent="0.2">
      <c r="A650" t="s">
        <v>544</v>
      </c>
      <c r="B650" t="s">
        <v>3028</v>
      </c>
      <c r="C650" t="s">
        <v>3029</v>
      </c>
      <c r="D650" t="s">
        <v>3779</v>
      </c>
    </row>
    <row r="651" spans="1:4" x14ac:dyDescent="0.2">
      <c r="A651" t="s">
        <v>545</v>
      </c>
      <c r="B651" t="s">
        <v>1680</v>
      </c>
      <c r="C651" t="s">
        <v>1681</v>
      </c>
      <c r="D651" t="s">
        <v>3780</v>
      </c>
    </row>
    <row r="652" spans="1:4" x14ac:dyDescent="0.2">
      <c r="A652" t="s">
        <v>546</v>
      </c>
      <c r="B652" t="s">
        <v>2138</v>
      </c>
      <c r="C652" t="s">
        <v>2139</v>
      </c>
      <c r="D652" t="s">
        <v>3781</v>
      </c>
    </row>
    <row r="653" spans="1:4" x14ac:dyDescent="0.2">
      <c r="A653" t="s">
        <v>547</v>
      </c>
      <c r="B653" t="s">
        <v>1684</v>
      </c>
      <c r="C653" t="s">
        <v>1685</v>
      </c>
      <c r="D653" t="s">
        <v>3782</v>
      </c>
    </row>
    <row r="654" spans="1:4" x14ac:dyDescent="0.2">
      <c r="A654" t="s">
        <v>548</v>
      </c>
      <c r="B654" t="s">
        <v>3030</v>
      </c>
      <c r="C654" t="s">
        <v>3031</v>
      </c>
      <c r="D654" t="s">
        <v>3783</v>
      </c>
    </row>
    <row r="655" spans="1:4" x14ac:dyDescent="0.2">
      <c r="A655" t="s">
        <v>549</v>
      </c>
      <c r="B655" t="s">
        <v>1702</v>
      </c>
      <c r="C655" t="s">
        <v>1703</v>
      </c>
      <c r="D655" t="s">
        <v>3784</v>
      </c>
    </row>
    <row r="656" spans="1:4" x14ac:dyDescent="0.2">
      <c r="A656" t="s">
        <v>2338</v>
      </c>
      <c r="B656" t="s">
        <v>1706</v>
      </c>
      <c r="C656" t="s">
        <v>1707</v>
      </c>
      <c r="D656" t="s">
        <v>4204</v>
      </c>
    </row>
    <row r="657" spans="1:4" x14ac:dyDescent="0.2">
      <c r="A657" t="s">
        <v>550</v>
      </c>
      <c r="B657" t="s">
        <v>2144</v>
      </c>
      <c r="C657" t="s">
        <v>2145</v>
      </c>
      <c r="D657" t="s">
        <v>3785</v>
      </c>
    </row>
    <row r="658" spans="1:4" x14ac:dyDescent="0.2">
      <c r="A658" t="s">
        <v>551</v>
      </c>
      <c r="B658" t="s">
        <v>1710</v>
      </c>
      <c r="C658" t="s">
        <v>1711</v>
      </c>
      <c r="D658" t="s">
        <v>3786</v>
      </c>
    </row>
    <row r="659" spans="1:4" x14ac:dyDescent="0.2">
      <c r="A659" t="s">
        <v>552</v>
      </c>
      <c r="B659" t="s">
        <v>2150</v>
      </c>
      <c r="C659" t="s">
        <v>2151</v>
      </c>
      <c r="D659" t="s">
        <v>3787</v>
      </c>
    </row>
    <row r="660" spans="1:4" x14ac:dyDescent="0.2">
      <c r="A660" t="s">
        <v>553</v>
      </c>
      <c r="B660" t="s">
        <v>3032</v>
      </c>
      <c r="C660" t="s">
        <v>3033</v>
      </c>
      <c r="D660" t="s">
        <v>3788</v>
      </c>
    </row>
    <row r="661" spans="1:4" x14ac:dyDescent="0.2">
      <c r="A661" t="s">
        <v>2349</v>
      </c>
      <c r="B661" t="s">
        <v>2154</v>
      </c>
      <c r="C661" t="s">
        <v>2155</v>
      </c>
      <c r="D661" t="s">
        <v>4270</v>
      </c>
    </row>
    <row r="662" spans="1:4" x14ac:dyDescent="0.2">
      <c r="A662" t="s">
        <v>2352</v>
      </c>
      <c r="B662" t="s">
        <v>3034</v>
      </c>
      <c r="C662" t="s">
        <v>3035</v>
      </c>
      <c r="D662" t="s">
        <v>4372</v>
      </c>
    </row>
    <row r="663" spans="1:4" x14ac:dyDescent="0.2">
      <c r="A663" t="s">
        <v>554</v>
      </c>
      <c r="B663" t="s">
        <v>1713</v>
      </c>
      <c r="C663" t="s">
        <v>1714</v>
      </c>
      <c r="D663" t="s">
        <v>3789</v>
      </c>
    </row>
    <row r="664" spans="1:4" x14ac:dyDescent="0.2">
      <c r="A664" t="s">
        <v>555</v>
      </c>
      <c r="B664" t="s">
        <v>1717</v>
      </c>
      <c r="C664" t="s">
        <v>1718</v>
      </c>
      <c r="D664" t="s">
        <v>3790</v>
      </c>
    </row>
    <row r="665" spans="1:4" x14ac:dyDescent="0.2">
      <c r="A665" t="s">
        <v>556</v>
      </c>
      <c r="B665" t="s">
        <v>1722</v>
      </c>
      <c r="C665" t="s">
        <v>1723</v>
      </c>
      <c r="D665" t="s">
        <v>3791</v>
      </c>
    </row>
    <row r="666" spans="1:4" x14ac:dyDescent="0.2">
      <c r="A666" t="s">
        <v>2361</v>
      </c>
      <c r="B666" t="s">
        <v>1726</v>
      </c>
      <c r="C666" t="s">
        <v>1727</v>
      </c>
      <c r="D666" t="s">
        <v>4205</v>
      </c>
    </row>
    <row r="667" spans="1:4" x14ac:dyDescent="0.2">
      <c r="A667" t="s">
        <v>557</v>
      </c>
      <c r="B667" t="s">
        <v>3036</v>
      </c>
      <c r="C667" t="s">
        <v>3037</v>
      </c>
      <c r="D667" t="s">
        <v>3792</v>
      </c>
    </row>
    <row r="668" spans="1:4" x14ac:dyDescent="0.2">
      <c r="A668" t="s">
        <v>558</v>
      </c>
      <c r="B668" t="s">
        <v>1731</v>
      </c>
      <c r="C668" t="s">
        <v>1732</v>
      </c>
      <c r="D668" t="s">
        <v>3793</v>
      </c>
    </row>
    <row r="669" spans="1:4" x14ac:dyDescent="0.2">
      <c r="A669" t="s">
        <v>559</v>
      </c>
      <c r="B669" t="s">
        <v>3038</v>
      </c>
      <c r="C669" t="s">
        <v>3039</v>
      </c>
      <c r="D669" t="s">
        <v>3794</v>
      </c>
    </row>
    <row r="670" spans="1:4" x14ac:dyDescent="0.2">
      <c r="A670" t="s">
        <v>560</v>
      </c>
      <c r="B670" t="s">
        <v>2158</v>
      </c>
      <c r="C670" t="s">
        <v>2159</v>
      </c>
      <c r="D670" t="s">
        <v>3795</v>
      </c>
    </row>
    <row r="671" spans="1:4" x14ac:dyDescent="0.2">
      <c r="A671" t="s">
        <v>561</v>
      </c>
      <c r="B671" t="s">
        <v>2163</v>
      </c>
      <c r="C671" t="s">
        <v>2164</v>
      </c>
      <c r="D671" t="s">
        <v>3796</v>
      </c>
    </row>
    <row r="672" spans="1:4" x14ac:dyDescent="0.2">
      <c r="A672" t="s">
        <v>562</v>
      </c>
      <c r="B672" t="s">
        <v>2167</v>
      </c>
      <c r="C672" t="s">
        <v>2168</v>
      </c>
      <c r="D672" t="s">
        <v>3797</v>
      </c>
    </row>
    <row r="673" spans="1:4" x14ac:dyDescent="0.2">
      <c r="A673" t="s">
        <v>2376</v>
      </c>
      <c r="B673" t="s">
        <v>1735</v>
      </c>
      <c r="C673" t="s">
        <v>1736</v>
      </c>
      <c r="D673" t="s">
        <v>4207</v>
      </c>
    </row>
    <row r="674" spans="1:4" x14ac:dyDescent="0.2">
      <c r="A674" t="s">
        <v>2379</v>
      </c>
      <c r="B674" t="s">
        <v>2171</v>
      </c>
      <c r="C674" t="s">
        <v>2172</v>
      </c>
      <c r="D674" t="s">
        <v>4271</v>
      </c>
    </row>
    <row r="675" spans="1:4" x14ac:dyDescent="0.2">
      <c r="A675" t="s">
        <v>2382</v>
      </c>
      <c r="B675" t="s">
        <v>3040</v>
      </c>
      <c r="C675" t="s">
        <v>3041</v>
      </c>
      <c r="D675" t="s">
        <v>4373</v>
      </c>
    </row>
    <row r="676" spans="1:4" x14ac:dyDescent="0.2">
      <c r="A676" t="s">
        <v>2385</v>
      </c>
      <c r="B676" t="s">
        <v>1739</v>
      </c>
      <c r="C676" t="s">
        <v>1740</v>
      </c>
      <c r="D676" t="s">
        <v>4209</v>
      </c>
    </row>
    <row r="677" spans="1:4" x14ac:dyDescent="0.2">
      <c r="A677" t="s">
        <v>2388</v>
      </c>
      <c r="B677" t="s">
        <v>1741</v>
      </c>
      <c r="C677" t="s">
        <v>1742</v>
      </c>
      <c r="D677" t="s">
        <v>4210</v>
      </c>
    </row>
    <row r="678" spans="1:4" x14ac:dyDescent="0.2">
      <c r="A678" t="s">
        <v>2391</v>
      </c>
      <c r="B678" t="s">
        <v>2174</v>
      </c>
      <c r="C678" t="s">
        <v>2175</v>
      </c>
      <c r="D678" t="s">
        <v>4272</v>
      </c>
    </row>
    <row r="679" spans="1:4" x14ac:dyDescent="0.2">
      <c r="A679" t="s">
        <v>563</v>
      </c>
      <c r="B679" t="s">
        <v>3042</v>
      </c>
      <c r="C679" t="s">
        <v>3043</v>
      </c>
      <c r="D679" t="s">
        <v>3798</v>
      </c>
    </row>
    <row r="680" spans="1:4" x14ac:dyDescent="0.2">
      <c r="A680" t="s">
        <v>564</v>
      </c>
      <c r="B680" t="s">
        <v>1745</v>
      </c>
      <c r="C680" t="s">
        <v>1746</v>
      </c>
      <c r="D680" t="s">
        <v>3799</v>
      </c>
    </row>
    <row r="681" spans="1:4" x14ac:dyDescent="0.2">
      <c r="A681" t="s">
        <v>565</v>
      </c>
      <c r="B681" t="s">
        <v>3044</v>
      </c>
      <c r="C681" t="s">
        <v>3045</v>
      </c>
      <c r="D681" t="s">
        <v>3800</v>
      </c>
    </row>
    <row r="682" spans="1:4" x14ac:dyDescent="0.2">
      <c r="A682" t="s">
        <v>566</v>
      </c>
      <c r="B682" t="s">
        <v>2179</v>
      </c>
      <c r="C682" t="s">
        <v>2180</v>
      </c>
      <c r="D682" t="s">
        <v>3801</v>
      </c>
    </row>
    <row r="683" spans="1:4" x14ac:dyDescent="0.2">
      <c r="A683" t="s">
        <v>567</v>
      </c>
      <c r="B683" t="s">
        <v>3046</v>
      </c>
      <c r="C683" t="s">
        <v>3047</v>
      </c>
      <c r="D683" t="s">
        <v>3802</v>
      </c>
    </row>
    <row r="684" spans="1:4" x14ac:dyDescent="0.2">
      <c r="A684" t="s">
        <v>568</v>
      </c>
      <c r="B684" t="s">
        <v>3048</v>
      </c>
      <c r="C684" t="s">
        <v>3049</v>
      </c>
      <c r="D684" t="s">
        <v>3803</v>
      </c>
    </row>
    <row r="685" spans="1:4" x14ac:dyDescent="0.2">
      <c r="A685" t="s">
        <v>569</v>
      </c>
      <c r="B685" t="s">
        <v>1750</v>
      </c>
      <c r="C685" t="s">
        <v>1751</v>
      </c>
      <c r="D685" t="s">
        <v>3804</v>
      </c>
    </row>
    <row r="686" spans="1:4" x14ac:dyDescent="0.2">
      <c r="A686" t="s">
        <v>2408</v>
      </c>
      <c r="B686" t="s">
        <v>1754</v>
      </c>
      <c r="C686" t="s">
        <v>1755</v>
      </c>
      <c r="D686" t="s">
        <v>4213</v>
      </c>
    </row>
    <row r="687" spans="1:4" x14ac:dyDescent="0.2">
      <c r="A687" t="s">
        <v>570</v>
      </c>
      <c r="B687" t="s">
        <v>3050</v>
      </c>
      <c r="C687" t="s">
        <v>3051</v>
      </c>
      <c r="D687" t="s">
        <v>3805</v>
      </c>
    </row>
    <row r="688" spans="1:4" x14ac:dyDescent="0.2">
      <c r="A688" t="s">
        <v>571</v>
      </c>
      <c r="B688" t="s">
        <v>2181</v>
      </c>
      <c r="C688" t="s">
        <v>2182</v>
      </c>
      <c r="D688" t="s">
        <v>3806</v>
      </c>
    </row>
    <row r="689" spans="1:4" x14ac:dyDescent="0.2">
      <c r="A689" t="s">
        <v>572</v>
      </c>
      <c r="B689" t="s">
        <v>1758</v>
      </c>
      <c r="C689" t="s">
        <v>1759</v>
      </c>
      <c r="D689" t="s">
        <v>3807</v>
      </c>
    </row>
    <row r="690" spans="1:4" x14ac:dyDescent="0.2">
      <c r="A690" t="s">
        <v>573</v>
      </c>
      <c r="B690" t="s">
        <v>3052</v>
      </c>
      <c r="C690" t="s">
        <v>3053</v>
      </c>
      <c r="D690" t="s">
        <v>3808</v>
      </c>
    </row>
    <row r="691" spans="1:4" x14ac:dyDescent="0.2">
      <c r="A691" t="s">
        <v>574</v>
      </c>
      <c r="B691" t="s">
        <v>2185</v>
      </c>
      <c r="C691" t="s">
        <v>2186</v>
      </c>
      <c r="D691" t="s">
        <v>3809</v>
      </c>
    </row>
    <row r="692" spans="1:4" x14ac:dyDescent="0.2">
      <c r="A692" t="s">
        <v>575</v>
      </c>
      <c r="B692" t="s">
        <v>2188</v>
      </c>
      <c r="C692" t="s">
        <v>2189</v>
      </c>
      <c r="D692" t="s">
        <v>3810</v>
      </c>
    </row>
    <row r="693" spans="1:4" x14ac:dyDescent="0.2">
      <c r="A693" t="s">
        <v>2423</v>
      </c>
      <c r="B693" t="s">
        <v>2194</v>
      </c>
      <c r="C693" t="s">
        <v>2195</v>
      </c>
      <c r="D693" t="s">
        <v>4273</v>
      </c>
    </row>
    <row r="694" spans="1:4" x14ac:dyDescent="0.2">
      <c r="A694" t="s">
        <v>2426</v>
      </c>
      <c r="B694" t="s">
        <v>1762</v>
      </c>
      <c r="C694" t="s">
        <v>1763</v>
      </c>
      <c r="D694" t="s">
        <v>4216</v>
      </c>
    </row>
    <row r="695" spans="1:4" x14ac:dyDescent="0.2">
      <c r="A695" t="s">
        <v>576</v>
      </c>
      <c r="B695" t="s">
        <v>3054</v>
      </c>
      <c r="C695" t="s">
        <v>3055</v>
      </c>
      <c r="D695" t="s">
        <v>3811</v>
      </c>
    </row>
    <row r="696" spans="1:4" x14ac:dyDescent="0.2">
      <c r="A696" t="s">
        <v>577</v>
      </c>
      <c r="B696" t="s">
        <v>3056</v>
      </c>
      <c r="C696" t="s">
        <v>3057</v>
      </c>
      <c r="D696" t="s">
        <v>3812</v>
      </c>
    </row>
    <row r="697" spans="1:4" x14ac:dyDescent="0.2">
      <c r="A697" t="s">
        <v>2433</v>
      </c>
      <c r="B697" t="s">
        <v>1767</v>
      </c>
      <c r="C697" t="s">
        <v>1768</v>
      </c>
      <c r="D697" t="s">
        <v>4218</v>
      </c>
    </row>
    <row r="698" spans="1:4" x14ac:dyDescent="0.2">
      <c r="A698" t="s">
        <v>578</v>
      </c>
      <c r="B698" t="s">
        <v>3059</v>
      </c>
      <c r="C698" t="s">
        <v>3060</v>
      </c>
      <c r="D698" t="s">
        <v>3813</v>
      </c>
    </row>
    <row r="699" spans="1:4" x14ac:dyDescent="0.2">
      <c r="A699" t="s">
        <v>579</v>
      </c>
      <c r="B699" t="s">
        <v>2199</v>
      </c>
      <c r="C699" t="s">
        <v>2200</v>
      </c>
      <c r="D699" t="s">
        <v>3814</v>
      </c>
    </row>
    <row r="700" spans="1:4" x14ac:dyDescent="0.2">
      <c r="A700" t="s">
        <v>580</v>
      </c>
      <c r="B700" t="s">
        <v>2204</v>
      </c>
      <c r="C700" t="s">
        <v>2205</v>
      </c>
      <c r="D700" t="s">
        <v>3815</v>
      </c>
    </row>
    <row r="701" spans="1:4" x14ac:dyDescent="0.2">
      <c r="A701" t="s">
        <v>581</v>
      </c>
      <c r="B701" t="s">
        <v>3062</v>
      </c>
      <c r="C701" t="s">
        <v>3063</v>
      </c>
      <c r="D701" t="s">
        <v>3816</v>
      </c>
    </row>
    <row r="702" spans="1:4" x14ac:dyDescent="0.2">
      <c r="A702" t="s">
        <v>582</v>
      </c>
      <c r="B702" t="s">
        <v>1771</v>
      </c>
      <c r="C702" t="s">
        <v>1772</v>
      </c>
      <c r="D702" t="s">
        <v>3817</v>
      </c>
    </row>
    <row r="703" spans="1:4" x14ac:dyDescent="0.2">
      <c r="A703" t="s">
        <v>583</v>
      </c>
      <c r="B703" t="s">
        <v>3064</v>
      </c>
      <c r="C703" t="s">
        <v>3065</v>
      </c>
      <c r="D703" t="s">
        <v>3818</v>
      </c>
    </row>
    <row r="704" spans="1:4" x14ac:dyDescent="0.2">
      <c r="A704" t="s">
        <v>584</v>
      </c>
      <c r="B704" t="s">
        <v>3066</v>
      </c>
      <c r="C704" t="s">
        <v>3067</v>
      </c>
      <c r="D704" t="s">
        <v>3819</v>
      </c>
    </row>
    <row r="705" spans="1:4" x14ac:dyDescent="0.2">
      <c r="A705" t="s">
        <v>585</v>
      </c>
      <c r="B705" t="s">
        <v>1775</v>
      </c>
      <c r="C705" t="s">
        <v>1776</v>
      </c>
      <c r="D705" t="s">
        <v>3820</v>
      </c>
    </row>
    <row r="706" spans="1:4" x14ac:dyDescent="0.2">
      <c r="A706" t="s">
        <v>586</v>
      </c>
      <c r="B706" t="s">
        <v>3068</v>
      </c>
      <c r="C706" t="s">
        <v>3069</v>
      </c>
      <c r="D706" t="s">
        <v>3821</v>
      </c>
    </row>
    <row r="707" spans="1:4" x14ac:dyDescent="0.2">
      <c r="A707" t="s">
        <v>587</v>
      </c>
      <c r="B707" t="s">
        <v>1779</v>
      </c>
      <c r="C707" t="s">
        <v>1780</v>
      </c>
      <c r="D707" t="s">
        <v>3822</v>
      </c>
    </row>
    <row r="708" spans="1:4" x14ac:dyDescent="0.2">
      <c r="A708" t="s">
        <v>2456</v>
      </c>
      <c r="B708" t="s">
        <v>1783</v>
      </c>
      <c r="C708" t="s">
        <v>1784</v>
      </c>
      <c r="D708" t="s">
        <v>4223</v>
      </c>
    </row>
    <row r="709" spans="1:4" x14ac:dyDescent="0.2">
      <c r="A709" t="s">
        <v>588</v>
      </c>
      <c r="B709" t="s">
        <v>1793</v>
      </c>
      <c r="C709" t="s">
        <v>1794</v>
      </c>
      <c r="D709" t="s">
        <v>3823</v>
      </c>
    </row>
    <row r="710" spans="1:4" x14ac:dyDescent="0.2">
      <c r="A710" t="s">
        <v>589</v>
      </c>
      <c r="B710" t="s">
        <v>1799</v>
      </c>
      <c r="C710" t="s">
        <v>1800</v>
      </c>
      <c r="D710" t="s">
        <v>3824</v>
      </c>
    </row>
    <row r="711" spans="1:4" x14ac:dyDescent="0.2">
      <c r="A711" t="s">
        <v>590</v>
      </c>
      <c r="B711" t="s">
        <v>1803</v>
      </c>
      <c r="C711" t="s">
        <v>1804</v>
      </c>
      <c r="D711" t="s">
        <v>3825</v>
      </c>
    </row>
    <row r="712" spans="1:4" x14ac:dyDescent="0.2">
      <c r="A712" t="s">
        <v>591</v>
      </c>
      <c r="B712" t="s">
        <v>2209</v>
      </c>
      <c r="C712" t="s">
        <v>2210</v>
      </c>
      <c r="D712" t="s">
        <v>3826</v>
      </c>
    </row>
    <row r="713" spans="1:4" x14ac:dyDescent="0.2">
      <c r="A713" t="s">
        <v>592</v>
      </c>
      <c r="B713" t="s">
        <v>1807</v>
      </c>
      <c r="C713" t="s">
        <v>1808</v>
      </c>
      <c r="D713" t="s">
        <v>3827</v>
      </c>
    </row>
    <row r="714" spans="1:4" x14ac:dyDescent="0.2">
      <c r="A714" t="s">
        <v>593</v>
      </c>
      <c r="B714" t="s">
        <v>2214</v>
      </c>
      <c r="C714" t="s">
        <v>2215</v>
      </c>
      <c r="D714" t="s">
        <v>3828</v>
      </c>
    </row>
    <row r="715" spans="1:4" x14ac:dyDescent="0.2">
      <c r="A715" t="s">
        <v>594</v>
      </c>
      <c r="B715" t="s">
        <v>2218</v>
      </c>
      <c r="C715" t="s">
        <v>2219</v>
      </c>
      <c r="D715" t="s">
        <v>3829</v>
      </c>
    </row>
    <row r="716" spans="1:4" x14ac:dyDescent="0.2">
      <c r="A716" t="s">
        <v>595</v>
      </c>
      <c r="B716" t="s">
        <v>3070</v>
      </c>
      <c r="C716" t="s">
        <v>3071</v>
      </c>
      <c r="D716" t="s">
        <v>3830</v>
      </c>
    </row>
    <row r="717" spans="1:4" x14ac:dyDescent="0.2">
      <c r="A717" t="s">
        <v>2475</v>
      </c>
      <c r="B717" t="s">
        <v>2224</v>
      </c>
      <c r="C717" t="s">
        <v>2225</v>
      </c>
      <c r="D717" t="s">
        <v>4275</v>
      </c>
    </row>
    <row r="718" spans="1:4" x14ac:dyDescent="0.2">
      <c r="A718" t="s">
        <v>2478</v>
      </c>
      <c r="B718" t="s">
        <v>1813</v>
      </c>
      <c r="C718" t="s">
        <v>1814</v>
      </c>
      <c r="D718" t="s">
        <v>4225</v>
      </c>
    </row>
    <row r="719" spans="1:4" x14ac:dyDescent="0.2">
      <c r="A719" t="s">
        <v>2481</v>
      </c>
      <c r="B719" t="s">
        <v>1819</v>
      </c>
      <c r="C719" t="s">
        <v>1820</v>
      </c>
      <c r="D719" t="s">
        <v>4226</v>
      </c>
    </row>
    <row r="720" spans="1:4" x14ac:dyDescent="0.2">
      <c r="A720" t="s">
        <v>2484</v>
      </c>
      <c r="B720" t="s">
        <v>3072</v>
      </c>
      <c r="C720" t="s">
        <v>3073</v>
      </c>
      <c r="D720" t="s">
        <v>4374</v>
      </c>
    </row>
    <row r="721" spans="1:4" x14ac:dyDescent="0.2">
      <c r="A721" t="s">
        <v>596</v>
      </c>
      <c r="B721" t="s">
        <v>1822</v>
      </c>
      <c r="C721" t="s">
        <v>1823</v>
      </c>
      <c r="D721" t="s">
        <v>3831</v>
      </c>
    </row>
    <row r="722" spans="1:4" x14ac:dyDescent="0.2">
      <c r="A722" t="s">
        <v>597</v>
      </c>
      <c r="B722" t="s">
        <v>1828</v>
      </c>
      <c r="C722" t="s">
        <v>1829</v>
      </c>
      <c r="D722" t="s">
        <v>3832</v>
      </c>
    </row>
    <row r="723" spans="1:4" x14ac:dyDescent="0.2">
      <c r="A723" t="s">
        <v>2491</v>
      </c>
      <c r="B723" t="s">
        <v>3074</v>
      </c>
      <c r="C723" t="s">
        <v>3075</v>
      </c>
      <c r="D723" t="s">
        <v>4375</v>
      </c>
    </row>
    <row r="724" spans="1:4" x14ac:dyDescent="0.2">
      <c r="A724" t="s">
        <v>598</v>
      </c>
      <c r="B724" t="s">
        <v>2229</v>
      </c>
      <c r="C724" t="s">
        <v>2230</v>
      </c>
      <c r="D724" t="s">
        <v>3833</v>
      </c>
    </row>
    <row r="725" spans="1:4" x14ac:dyDescent="0.2">
      <c r="A725" t="s">
        <v>599</v>
      </c>
      <c r="B725" t="s">
        <v>3076</v>
      </c>
      <c r="C725" t="s">
        <v>3077</v>
      </c>
      <c r="D725" t="s">
        <v>3834</v>
      </c>
    </row>
    <row r="726" spans="1:4" x14ac:dyDescent="0.2">
      <c r="A726" t="s">
        <v>600</v>
      </c>
      <c r="B726" t="s">
        <v>1834</v>
      </c>
      <c r="C726" t="s">
        <v>1835</v>
      </c>
      <c r="D726" t="s">
        <v>3835</v>
      </c>
    </row>
    <row r="727" spans="1:4" x14ac:dyDescent="0.2">
      <c r="A727" t="s">
        <v>2500</v>
      </c>
      <c r="B727" t="s">
        <v>2238</v>
      </c>
      <c r="C727" t="s">
        <v>2239</v>
      </c>
      <c r="D727" t="s">
        <v>4277</v>
      </c>
    </row>
    <row r="728" spans="1:4" x14ac:dyDescent="0.2">
      <c r="A728" t="s">
        <v>601</v>
      </c>
      <c r="B728" t="s">
        <v>3078</v>
      </c>
      <c r="C728" t="s">
        <v>3079</v>
      </c>
      <c r="D728" t="s">
        <v>3836</v>
      </c>
    </row>
    <row r="729" spans="1:4" x14ac:dyDescent="0.2">
      <c r="A729" t="s">
        <v>602</v>
      </c>
      <c r="B729" t="s">
        <v>1840</v>
      </c>
      <c r="C729" t="s">
        <v>1841</v>
      </c>
      <c r="D729" t="s">
        <v>3837</v>
      </c>
    </row>
    <row r="730" spans="1:4" x14ac:dyDescent="0.2">
      <c r="A730" t="s">
        <v>603</v>
      </c>
      <c r="B730" t="s">
        <v>1843</v>
      </c>
      <c r="C730" t="s">
        <v>1844</v>
      </c>
      <c r="D730" t="s">
        <v>3838</v>
      </c>
    </row>
    <row r="731" spans="1:4" x14ac:dyDescent="0.2">
      <c r="A731" t="s">
        <v>2509</v>
      </c>
      <c r="B731" t="s">
        <v>1849</v>
      </c>
      <c r="C731" t="s">
        <v>1850</v>
      </c>
      <c r="D731" t="s">
        <v>4229</v>
      </c>
    </row>
    <row r="732" spans="1:4" x14ac:dyDescent="0.2">
      <c r="A732" t="s">
        <v>604</v>
      </c>
      <c r="B732" t="s">
        <v>3081</v>
      </c>
      <c r="C732" t="s">
        <v>3082</v>
      </c>
      <c r="D732" t="s">
        <v>3839</v>
      </c>
    </row>
    <row r="733" spans="1:4" x14ac:dyDescent="0.2">
      <c r="A733" t="s">
        <v>605</v>
      </c>
      <c r="B733" t="s">
        <v>2242</v>
      </c>
      <c r="C733" t="s">
        <v>2243</v>
      </c>
      <c r="D733" t="s">
        <v>3840</v>
      </c>
    </row>
    <row r="734" spans="1:4" x14ac:dyDescent="0.2">
      <c r="A734" t="s">
        <v>606</v>
      </c>
      <c r="B734" t="s">
        <v>1855</v>
      </c>
      <c r="C734" t="s">
        <v>1856</v>
      </c>
      <c r="D734" t="s">
        <v>3841</v>
      </c>
    </row>
    <row r="735" spans="1:4" x14ac:dyDescent="0.2">
      <c r="A735" t="s">
        <v>607</v>
      </c>
      <c r="B735" t="s">
        <v>2247</v>
      </c>
      <c r="C735" t="s">
        <v>2248</v>
      </c>
      <c r="D735" t="s">
        <v>3842</v>
      </c>
    </row>
    <row r="736" spans="1:4" x14ac:dyDescent="0.2">
      <c r="A736" t="s">
        <v>608</v>
      </c>
      <c r="B736" t="s">
        <v>3083</v>
      </c>
      <c r="C736" t="s">
        <v>3084</v>
      </c>
      <c r="D736" t="s">
        <v>3843</v>
      </c>
    </row>
    <row r="737" spans="1:4" x14ac:dyDescent="0.2">
      <c r="A737" t="s">
        <v>609</v>
      </c>
      <c r="B737" t="s">
        <v>2251</v>
      </c>
      <c r="C737" t="s">
        <v>2252</v>
      </c>
      <c r="D737" t="s">
        <v>3844</v>
      </c>
    </row>
    <row r="738" spans="1:4" x14ac:dyDescent="0.2">
      <c r="A738" t="s">
        <v>610</v>
      </c>
      <c r="B738" t="s">
        <v>2257</v>
      </c>
      <c r="C738" t="s">
        <v>2258</v>
      </c>
      <c r="D738" t="s">
        <v>3845</v>
      </c>
    </row>
    <row r="739" spans="1:4" x14ac:dyDescent="0.2">
      <c r="A739" t="s">
        <v>611</v>
      </c>
      <c r="B739" t="s">
        <v>3085</v>
      </c>
      <c r="C739" t="s">
        <v>3086</v>
      </c>
      <c r="D739" t="s">
        <v>3846</v>
      </c>
    </row>
    <row r="740" spans="1:4" x14ac:dyDescent="0.2">
      <c r="A740" t="s">
        <v>612</v>
      </c>
      <c r="B740" t="s">
        <v>2263</v>
      </c>
      <c r="C740" t="s">
        <v>2264</v>
      </c>
      <c r="D740" t="s">
        <v>3847</v>
      </c>
    </row>
    <row r="741" spans="1:4" x14ac:dyDescent="0.2">
      <c r="A741" t="s">
        <v>613</v>
      </c>
      <c r="B741" t="s">
        <v>1861</v>
      </c>
      <c r="C741" t="s">
        <v>1862</v>
      </c>
      <c r="D741" t="s">
        <v>3848</v>
      </c>
    </row>
    <row r="742" spans="1:4" x14ac:dyDescent="0.2">
      <c r="A742" t="s">
        <v>614</v>
      </c>
      <c r="B742" t="s">
        <v>2267</v>
      </c>
      <c r="C742" t="s">
        <v>2268</v>
      </c>
      <c r="D742" t="s">
        <v>3849</v>
      </c>
    </row>
    <row r="743" spans="1:4" x14ac:dyDescent="0.2">
      <c r="A743" t="s">
        <v>615</v>
      </c>
      <c r="B743" t="s">
        <v>2271</v>
      </c>
      <c r="C743" t="s">
        <v>2272</v>
      </c>
      <c r="D743" t="s">
        <v>3850</v>
      </c>
    </row>
    <row r="744" spans="1:4" x14ac:dyDescent="0.2">
      <c r="A744" t="s">
        <v>616</v>
      </c>
      <c r="B744" t="s">
        <v>1867</v>
      </c>
      <c r="C744" t="s">
        <v>1868</v>
      </c>
      <c r="D744" t="s">
        <v>3851</v>
      </c>
    </row>
    <row r="745" spans="1:4" x14ac:dyDescent="0.2">
      <c r="A745" t="s">
        <v>617</v>
      </c>
      <c r="B745" t="s">
        <v>2273</v>
      </c>
      <c r="C745" t="s">
        <v>2274</v>
      </c>
      <c r="D745" t="s">
        <v>3852</v>
      </c>
    </row>
    <row r="746" spans="1:4" x14ac:dyDescent="0.2">
      <c r="A746" t="s">
        <v>618</v>
      </c>
      <c r="B746" t="s">
        <v>3087</v>
      </c>
      <c r="C746" t="s">
        <v>3088</v>
      </c>
      <c r="D746" t="s">
        <v>3853</v>
      </c>
    </row>
    <row r="747" spans="1:4" x14ac:dyDescent="0.2">
      <c r="A747" t="s">
        <v>619</v>
      </c>
      <c r="B747" t="s">
        <v>1870</v>
      </c>
      <c r="C747" t="s">
        <v>1871</v>
      </c>
      <c r="D747" t="s">
        <v>3854</v>
      </c>
    </row>
    <row r="748" spans="1:4" x14ac:dyDescent="0.2">
      <c r="A748" t="s">
        <v>620</v>
      </c>
      <c r="B748" t="s">
        <v>1876</v>
      </c>
      <c r="C748" t="s">
        <v>1877</v>
      </c>
      <c r="D748" t="s">
        <v>3855</v>
      </c>
    </row>
    <row r="749" spans="1:4" x14ac:dyDescent="0.2">
      <c r="A749" t="s">
        <v>621</v>
      </c>
      <c r="B749" t="s">
        <v>3089</v>
      </c>
      <c r="C749" t="s">
        <v>3090</v>
      </c>
      <c r="D749" t="s">
        <v>3856</v>
      </c>
    </row>
    <row r="750" spans="1:4" x14ac:dyDescent="0.2">
      <c r="A750" t="s">
        <v>622</v>
      </c>
      <c r="B750" t="s">
        <v>1881</v>
      </c>
      <c r="C750" t="s">
        <v>1882</v>
      </c>
      <c r="D750" t="s">
        <v>3857</v>
      </c>
    </row>
    <row r="751" spans="1:4" x14ac:dyDescent="0.2">
      <c r="A751" t="s">
        <v>623</v>
      </c>
      <c r="B751" t="s">
        <v>2278</v>
      </c>
      <c r="C751" t="s">
        <v>2279</v>
      </c>
      <c r="D751" t="s">
        <v>3858</v>
      </c>
    </row>
    <row r="752" spans="1:4" x14ac:dyDescent="0.2">
      <c r="A752" t="s">
        <v>2552</v>
      </c>
      <c r="B752" t="s">
        <v>1894</v>
      </c>
      <c r="C752" t="s">
        <v>1895</v>
      </c>
      <c r="D752" t="s">
        <v>4234</v>
      </c>
    </row>
    <row r="753" spans="1:4" x14ac:dyDescent="0.2">
      <c r="A753" t="s">
        <v>624</v>
      </c>
      <c r="B753" t="s">
        <v>1908</v>
      </c>
      <c r="C753" t="s">
        <v>1909</v>
      </c>
      <c r="D753" t="s">
        <v>3859</v>
      </c>
    </row>
    <row r="754" spans="1:4" x14ac:dyDescent="0.2">
      <c r="A754" t="s">
        <v>2557</v>
      </c>
      <c r="B754" t="s">
        <v>2280</v>
      </c>
      <c r="C754" t="s">
        <v>2281</v>
      </c>
      <c r="D754" t="s">
        <v>4280</v>
      </c>
    </row>
    <row r="755" spans="1:4" x14ac:dyDescent="0.2">
      <c r="A755" t="s">
        <v>2560</v>
      </c>
      <c r="B755" t="s">
        <v>2284</v>
      </c>
      <c r="C755" t="s">
        <v>2285</v>
      </c>
      <c r="D755" t="s">
        <v>4281</v>
      </c>
    </row>
    <row r="756" spans="1:4" x14ac:dyDescent="0.2">
      <c r="A756" t="s">
        <v>625</v>
      </c>
      <c r="B756" t="s">
        <v>2288</v>
      </c>
      <c r="C756" t="s">
        <v>2289</v>
      </c>
      <c r="D756" t="s">
        <v>3860</v>
      </c>
    </row>
    <row r="757" spans="1:4" x14ac:dyDescent="0.2">
      <c r="A757" t="s">
        <v>626</v>
      </c>
      <c r="B757" t="s">
        <v>1913</v>
      </c>
      <c r="C757" t="s">
        <v>1914</v>
      </c>
      <c r="D757" t="s">
        <v>3861</v>
      </c>
    </row>
    <row r="758" spans="1:4" x14ac:dyDescent="0.2">
      <c r="A758" t="s">
        <v>627</v>
      </c>
      <c r="B758" t="s">
        <v>1917</v>
      </c>
      <c r="C758" t="s">
        <v>1918</v>
      </c>
      <c r="D758" t="s">
        <v>3862</v>
      </c>
    </row>
    <row r="759" spans="1:4" x14ac:dyDescent="0.2">
      <c r="A759" t="s">
        <v>628</v>
      </c>
      <c r="B759" t="s">
        <v>1921</v>
      </c>
      <c r="C759" t="s">
        <v>1922</v>
      </c>
      <c r="D759" t="s">
        <v>3863</v>
      </c>
    </row>
    <row r="760" spans="1:4" x14ac:dyDescent="0.2">
      <c r="A760" t="s">
        <v>629</v>
      </c>
      <c r="B760" t="s">
        <v>3091</v>
      </c>
      <c r="C760" t="s">
        <v>3092</v>
      </c>
      <c r="D760" t="s">
        <v>3864</v>
      </c>
    </row>
    <row r="761" spans="1:4" x14ac:dyDescent="0.2">
      <c r="A761" t="s">
        <v>630</v>
      </c>
      <c r="B761" t="s">
        <v>3093</v>
      </c>
      <c r="C761" t="s">
        <v>3094</v>
      </c>
      <c r="D761" t="s">
        <v>3865</v>
      </c>
    </row>
    <row r="762" spans="1:4" x14ac:dyDescent="0.2">
      <c r="A762" t="s">
        <v>631</v>
      </c>
      <c r="B762" t="s">
        <v>2294</v>
      </c>
      <c r="C762" t="s">
        <v>2295</v>
      </c>
      <c r="D762" t="s">
        <v>3866</v>
      </c>
    </row>
    <row r="763" spans="1:4" x14ac:dyDescent="0.2">
      <c r="A763" t="s">
        <v>632</v>
      </c>
      <c r="B763" t="s">
        <v>2296</v>
      </c>
      <c r="C763" t="s">
        <v>2297</v>
      </c>
      <c r="D763" t="s">
        <v>3867</v>
      </c>
    </row>
    <row r="764" spans="1:4" x14ac:dyDescent="0.2">
      <c r="A764" t="s">
        <v>633</v>
      </c>
      <c r="B764" t="s">
        <v>3095</v>
      </c>
      <c r="C764" t="s">
        <v>3096</v>
      </c>
      <c r="D764" t="s">
        <v>3868</v>
      </c>
    </row>
    <row r="765" spans="1:4" x14ac:dyDescent="0.2">
      <c r="A765" t="s">
        <v>634</v>
      </c>
      <c r="B765" t="s">
        <v>3097</v>
      </c>
      <c r="C765" t="s">
        <v>3098</v>
      </c>
      <c r="D765" t="s">
        <v>3869</v>
      </c>
    </row>
    <row r="766" spans="1:4" x14ac:dyDescent="0.2">
      <c r="A766" t="s">
        <v>635</v>
      </c>
      <c r="B766" t="s">
        <v>1928</v>
      </c>
      <c r="C766" t="s">
        <v>1929</v>
      </c>
      <c r="D766" t="s">
        <v>3870</v>
      </c>
    </row>
    <row r="767" spans="1:4" x14ac:dyDescent="0.2">
      <c r="A767" t="s">
        <v>2585</v>
      </c>
      <c r="B767" t="s">
        <v>2298</v>
      </c>
      <c r="C767" t="s">
        <v>2299</v>
      </c>
      <c r="D767" t="s">
        <v>4282</v>
      </c>
    </row>
    <row r="768" spans="1:4" x14ac:dyDescent="0.2">
      <c r="A768" t="s">
        <v>636</v>
      </c>
      <c r="B768" t="s">
        <v>3099</v>
      </c>
      <c r="C768" t="s">
        <v>3100</v>
      </c>
      <c r="D768" t="s">
        <v>3871</v>
      </c>
    </row>
    <row r="769" spans="1:4" x14ac:dyDescent="0.2">
      <c r="A769" t="s">
        <v>637</v>
      </c>
      <c r="B769" t="s">
        <v>3101</v>
      </c>
      <c r="C769" t="s">
        <v>3102</v>
      </c>
      <c r="D769" t="s">
        <v>3872</v>
      </c>
    </row>
    <row r="770" spans="1:4" x14ac:dyDescent="0.2">
      <c r="A770" t="s">
        <v>638</v>
      </c>
      <c r="B770" t="s">
        <v>1930</v>
      </c>
      <c r="C770" t="s">
        <v>1931</v>
      </c>
      <c r="D770" t="s">
        <v>3873</v>
      </c>
    </row>
    <row r="771" spans="1:4" x14ac:dyDescent="0.2">
      <c r="A771" t="s">
        <v>2594</v>
      </c>
      <c r="B771" t="s">
        <v>1934</v>
      </c>
      <c r="C771" t="s">
        <v>1935</v>
      </c>
      <c r="D771" t="s">
        <v>4240</v>
      </c>
    </row>
    <row r="772" spans="1:4" x14ac:dyDescent="0.2">
      <c r="A772" t="s">
        <v>2621</v>
      </c>
      <c r="B772" t="s">
        <v>3104</v>
      </c>
      <c r="C772" t="s">
        <v>3105</v>
      </c>
      <c r="D772" t="s">
        <v>4376</v>
      </c>
    </row>
    <row r="773" spans="1:4" x14ac:dyDescent="0.2">
      <c r="A773" t="s">
        <v>2612</v>
      </c>
      <c r="B773" t="s">
        <v>2300</v>
      </c>
      <c r="C773" t="s">
        <v>2301</v>
      </c>
      <c r="D773" t="s">
        <v>4283</v>
      </c>
    </row>
    <row r="774" spans="1:4" x14ac:dyDescent="0.2">
      <c r="A774" t="s">
        <v>2615</v>
      </c>
      <c r="B774" t="s">
        <v>2303</v>
      </c>
      <c r="C774" t="s">
        <v>2304</v>
      </c>
      <c r="D774" t="s">
        <v>4284</v>
      </c>
    </row>
    <row r="775" spans="1:4" x14ac:dyDescent="0.2">
      <c r="A775" t="s">
        <v>2597</v>
      </c>
      <c r="B775" t="s">
        <v>1938</v>
      </c>
      <c r="C775" t="s">
        <v>1939</v>
      </c>
      <c r="D775" t="s">
        <v>4241</v>
      </c>
    </row>
    <row r="776" spans="1:4" x14ac:dyDescent="0.2">
      <c r="A776" t="s">
        <v>2600</v>
      </c>
      <c r="B776" t="s">
        <v>1950</v>
      </c>
      <c r="C776" t="s">
        <v>1951</v>
      </c>
      <c r="D776" t="s">
        <v>4245</v>
      </c>
    </row>
    <row r="777" spans="1:4" x14ac:dyDescent="0.2">
      <c r="A777" t="s">
        <v>2618</v>
      </c>
      <c r="B777" t="s">
        <v>2306</v>
      </c>
      <c r="C777" t="s">
        <v>2307</v>
      </c>
      <c r="D777" t="s">
        <v>4285</v>
      </c>
    </row>
    <row r="778" spans="1:4" x14ac:dyDescent="0.2">
      <c r="A778" t="s">
        <v>2603</v>
      </c>
      <c r="B778" t="s">
        <v>1955</v>
      </c>
      <c r="C778" t="s">
        <v>1956</v>
      </c>
      <c r="D778" t="s">
        <v>4247</v>
      </c>
    </row>
    <row r="779" spans="1:4" x14ac:dyDescent="0.2">
      <c r="A779" t="s">
        <v>2606</v>
      </c>
      <c r="B779" t="s">
        <v>1959</v>
      </c>
      <c r="C779" t="s">
        <v>1960</v>
      </c>
      <c r="D779" t="s">
        <v>4249</v>
      </c>
    </row>
    <row r="780" spans="1:4" x14ac:dyDescent="0.2">
      <c r="A780" t="s">
        <v>2609</v>
      </c>
      <c r="B780" t="s">
        <v>1964</v>
      </c>
      <c r="C780" t="s">
        <v>1965</v>
      </c>
      <c r="D780" t="s">
        <v>4251</v>
      </c>
    </row>
    <row r="781" spans="1:4" x14ac:dyDescent="0.2">
      <c r="A781" t="s">
        <v>639</v>
      </c>
      <c r="B781" t="s">
        <v>1968</v>
      </c>
      <c r="C781" t="s">
        <v>1969</v>
      </c>
      <c r="D781" t="s">
        <v>3874</v>
      </c>
    </row>
    <row r="782" spans="1:4" x14ac:dyDescent="0.2">
      <c r="A782" t="s">
        <v>640</v>
      </c>
      <c r="B782" t="s">
        <v>3106</v>
      </c>
      <c r="C782" t="s">
        <v>3107</v>
      </c>
      <c r="D782" t="s">
        <v>3875</v>
      </c>
    </row>
    <row r="783" spans="1:4" x14ac:dyDescent="0.2">
      <c r="A783" t="s">
        <v>641</v>
      </c>
      <c r="B783" t="s">
        <v>3108</v>
      </c>
      <c r="C783" t="s">
        <v>3109</v>
      </c>
      <c r="D783" t="s">
        <v>3876</v>
      </c>
    </row>
    <row r="784" spans="1:4" x14ac:dyDescent="0.2">
      <c r="A784" t="s">
        <v>642</v>
      </c>
      <c r="B784" t="s">
        <v>3110</v>
      </c>
      <c r="C784" t="s">
        <v>3111</v>
      </c>
      <c r="D784" t="s">
        <v>3877</v>
      </c>
    </row>
    <row r="785" spans="1:4" x14ac:dyDescent="0.2">
      <c r="A785" t="s">
        <v>643</v>
      </c>
      <c r="B785" t="s">
        <v>1979</v>
      </c>
      <c r="C785" t="s">
        <v>1980</v>
      </c>
      <c r="D785" t="s">
        <v>3878</v>
      </c>
    </row>
    <row r="786" spans="1:4" x14ac:dyDescent="0.2">
      <c r="A786" t="s">
        <v>2634</v>
      </c>
      <c r="B786" t="s">
        <v>2308</v>
      </c>
      <c r="C786" t="s">
        <v>2309</v>
      </c>
      <c r="D786" t="s">
        <v>4286</v>
      </c>
    </row>
    <row r="787" spans="1:4" x14ac:dyDescent="0.2">
      <c r="A787" t="s">
        <v>644</v>
      </c>
      <c r="B787" t="s">
        <v>2310</v>
      </c>
      <c r="C787" t="s">
        <v>2311</v>
      </c>
      <c r="D787" t="s">
        <v>3879</v>
      </c>
    </row>
    <row r="788" spans="1:4" x14ac:dyDescent="0.2">
      <c r="A788" t="s">
        <v>645</v>
      </c>
      <c r="B788" t="s">
        <v>3112</v>
      </c>
      <c r="C788" t="s">
        <v>3113</v>
      </c>
      <c r="D788" t="s">
        <v>3880</v>
      </c>
    </row>
    <row r="789" spans="1:4" x14ac:dyDescent="0.2">
      <c r="A789" t="s">
        <v>646</v>
      </c>
      <c r="B789" t="s">
        <v>3114</v>
      </c>
      <c r="C789" t="s">
        <v>3115</v>
      </c>
      <c r="D789" t="s">
        <v>3881</v>
      </c>
    </row>
    <row r="790" spans="1:4" x14ac:dyDescent="0.2">
      <c r="A790" t="s">
        <v>2643</v>
      </c>
      <c r="B790" t="s">
        <v>3116</v>
      </c>
      <c r="C790" t="s">
        <v>3117</v>
      </c>
      <c r="D790" t="s">
        <v>4377</v>
      </c>
    </row>
    <row r="791" spans="1:4" x14ac:dyDescent="0.2">
      <c r="A791" t="s">
        <v>2646</v>
      </c>
      <c r="B791" t="s">
        <v>2312</v>
      </c>
      <c r="C791" t="s">
        <v>2313</v>
      </c>
      <c r="D791" t="s">
        <v>4287</v>
      </c>
    </row>
    <row r="792" spans="1:4" x14ac:dyDescent="0.2">
      <c r="A792" t="s">
        <v>647</v>
      </c>
      <c r="B792" t="s">
        <v>1984</v>
      </c>
      <c r="C792" t="s">
        <v>1985</v>
      </c>
      <c r="D792" t="s">
        <v>3882</v>
      </c>
    </row>
    <row r="793" spans="1:4" x14ac:dyDescent="0.2">
      <c r="A793" t="s">
        <v>648</v>
      </c>
      <c r="B793" t="s">
        <v>1988</v>
      </c>
      <c r="C793" t="s">
        <v>1989</v>
      </c>
      <c r="D793" t="s">
        <v>3883</v>
      </c>
    </row>
    <row r="794" spans="1:4" x14ac:dyDescent="0.2">
      <c r="A794" t="s">
        <v>649</v>
      </c>
      <c r="B794" t="s">
        <v>1990</v>
      </c>
      <c r="C794" t="s">
        <v>1991</v>
      </c>
      <c r="D794" t="s">
        <v>3884</v>
      </c>
    </row>
    <row r="795" spans="1:4" x14ac:dyDescent="0.2">
      <c r="A795" t="s">
        <v>650</v>
      </c>
      <c r="B795" t="s">
        <v>2314</v>
      </c>
      <c r="C795" t="s">
        <v>2315</v>
      </c>
      <c r="D795" t="s">
        <v>3885</v>
      </c>
    </row>
    <row r="796" spans="1:4" x14ac:dyDescent="0.2">
      <c r="A796" t="s">
        <v>651</v>
      </c>
      <c r="B796" t="s">
        <v>1994</v>
      </c>
      <c r="C796" t="s">
        <v>1995</v>
      </c>
      <c r="D796" t="s">
        <v>3886</v>
      </c>
    </row>
    <row r="797" spans="1:4" x14ac:dyDescent="0.2">
      <c r="A797" t="s">
        <v>2659</v>
      </c>
      <c r="B797" t="s">
        <v>3118</v>
      </c>
      <c r="C797" t="s">
        <v>3119</v>
      </c>
      <c r="D797" t="s">
        <v>4378</v>
      </c>
    </row>
    <row r="798" spans="1:4" x14ac:dyDescent="0.2">
      <c r="A798" t="s">
        <v>2662</v>
      </c>
      <c r="B798" t="s">
        <v>2316</v>
      </c>
      <c r="C798" t="s">
        <v>2317</v>
      </c>
      <c r="D798" t="s">
        <v>4288</v>
      </c>
    </row>
    <row r="799" spans="1:4" x14ac:dyDescent="0.2">
      <c r="A799" t="s">
        <v>2665</v>
      </c>
      <c r="B799" t="s">
        <v>3121</v>
      </c>
      <c r="C799" t="s">
        <v>3122</v>
      </c>
      <c r="D799" t="s">
        <v>4379</v>
      </c>
    </row>
    <row r="800" spans="1:4" x14ac:dyDescent="0.2">
      <c r="A800" t="s">
        <v>2668</v>
      </c>
      <c r="B800" t="s">
        <v>1999</v>
      </c>
      <c r="C800" t="s">
        <v>2000</v>
      </c>
      <c r="D800" t="s">
        <v>4258</v>
      </c>
    </row>
    <row r="801" spans="1:4" x14ac:dyDescent="0.2">
      <c r="A801" t="s">
        <v>2671</v>
      </c>
      <c r="B801" t="s">
        <v>3123</v>
      </c>
      <c r="C801" t="s">
        <v>3124</v>
      </c>
      <c r="D801" t="s">
        <v>4380</v>
      </c>
    </row>
    <row r="802" spans="1:4" x14ac:dyDescent="0.2">
      <c r="A802" t="s">
        <v>652</v>
      </c>
      <c r="B802" t="s">
        <v>2002</v>
      </c>
      <c r="C802" t="s">
        <v>2003</v>
      </c>
      <c r="D802" t="s">
        <v>3887</v>
      </c>
    </row>
    <row r="803" spans="1:4" x14ac:dyDescent="0.2">
      <c r="A803" t="s">
        <v>653</v>
      </c>
      <c r="B803" t="s">
        <v>2318</v>
      </c>
      <c r="C803" t="s">
        <v>2319</v>
      </c>
      <c r="D803" t="s">
        <v>3888</v>
      </c>
    </row>
    <row r="804" spans="1:4" x14ac:dyDescent="0.2">
      <c r="A804" t="s">
        <v>654</v>
      </c>
      <c r="B804" t="s">
        <v>3126</v>
      </c>
      <c r="C804" t="s">
        <v>3127</v>
      </c>
      <c r="D804" t="s">
        <v>3889</v>
      </c>
    </row>
    <row r="805" spans="1:4" x14ac:dyDescent="0.2">
      <c r="A805" t="s">
        <v>655</v>
      </c>
      <c r="B805" t="s">
        <v>2320</v>
      </c>
      <c r="C805" t="s">
        <v>2321</v>
      </c>
      <c r="D805" t="s">
        <v>3890</v>
      </c>
    </row>
    <row r="806" spans="1:4" x14ac:dyDescent="0.2">
      <c r="A806" t="s">
        <v>656</v>
      </c>
      <c r="B806" t="s">
        <v>2322</v>
      </c>
      <c r="C806" t="s">
        <v>2323</v>
      </c>
      <c r="D806" t="s">
        <v>3891</v>
      </c>
    </row>
    <row r="807" spans="1:4" x14ac:dyDescent="0.2">
      <c r="A807" t="s">
        <v>657</v>
      </c>
      <c r="B807" t="s">
        <v>2324</v>
      </c>
      <c r="C807" t="s">
        <v>2325</v>
      </c>
      <c r="D807" t="s">
        <v>4289</v>
      </c>
    </row>
    <row r="808" spans="1:4" x14ac:dyDescent="0.2">
      <c r="A808" t="s">
        <v>2686</v>
      </c>
      <c r="B808" t="s">
        <v>3128</v>
      </c>
      <c r="C808" t="s">
        <v>3129</v>
      </c>
      <c r="D808" t="s">
        <v>4381</v>
      </c>
    </row>
    <row r="809" spans="1:4" x14ac:dyDescent="0.2">
      <c r="A809" t="s">
        <v>658</v>
      </c>
      <c r="B809" t="s">
        <v>2326</v>
      </c>
      <c r="C809" t="s">
        <v>2327</v>
      </c>
      <c r="D809" t="s">
        <v>3893</v>
      </c>
    </row>
    <row r="810" spans="1:4" x14ac:dyDescent="0.2">
      <c r="A810" t="s">
        <v>659</v>
      </c>
      <c r="B810" t="s">
        <v>3130</v>
      </c>
      <c r="C810" t="s">
        <v>3131</v>
      </c>
      <c r="D810" t="s">
        <v>3894</v>
      </c>
    </row>
    <row r="811" spans="1:4" x14ac:dyDescent="0.2">
      <c r="A811" t="s">
        <v>660</v>
      </c>
      <c r="B811" t="s">
        <v>2328</v>
      </c>
      <c r="C811" t="s">
        <v>2329</v>
      </c>
      <c r="D811" t="s">
        <v>3895</v>
      </c>
    </row>
    <row r="812" spans="1:4" x14ac:dyDescent="0.2">
      <c r="A812" t="s">
        <v>661</v>
      </c>
      <c r="B812" t="s">
        <v>3132</v>
      </c>
      <c r="C812" t="s">
        <v>3133</v>
      </c>
      <c r="D812" t="s">
        <v>3896</v>
      </c>
    </row>
    <row r="813" spans="1:4" x14ac:dyDescent="0.2">
      <c r="A813" t="s">
        <v>662</v>
      </c>
      <c r="B813" t="s">
        <v>3134</v>
      </c>
      <c r="C813" t="s">
        <v>3135</v>
      </c>
      <c r="D813" t="s">
        <v>3897</v>
      </c>
    </row>
    <row r="814" spans="1:4" x14ac:dyDescent="0.2">
      <c r="A814" t="s">
        <v>663</v>
      </c>
      <c r="B814" t="s">
        <v>3137</v>
      </c>
      <c r="C814" t="s">
        <v>3138</v>
      </c>
      <c r="D814" t="s">
        <v>3898</v>
      </c>
    </row>
    <row r="815" spans="1:4" x14ac:dyDescent="0.2">
      <c r="A815" t="s">
        <v>664</v>
      </c>
      <c r="B815" t="s">
        <v>2006</v>
      </c>
      <c r="C815" t="s">
        <v>2007</v>
      </c>
      <c r="D815" t="s">
        <v>3899</v>
      </c>
    </row>
    <row r="816" spans="1:4" x14ac:dyDescent="0.2">
      <c r="A816" t="s">
        <v>665</v>
      </c>
      <c r="B816" t="s">
        <v>2010</v>
      </c>
      <c r="C816" t="s">
        <v>2011</v>
      </c>
      <c r="D816" t="s">
        <v>3900</v>
      </c>
    </row>
    <row r="817" spans="1:4" x14ac:dyDescent="0.2">
      <c r="A817" t="s">
        <v>666</v>
      </c>
      <c r="B817" t="s">
        <v>2330</v>
      </c>
      <c r="C817" t="s">
        <v>2331</v>
      </c>
      <c r="D817" t="s">
        <v>3901</v>
      </c>
    </row>
    <row r="818" spans="1:4" x14ac:dyDescent="0.2">
      <c r="A818" t="s">
        <v>667</v>
      </c>
      <c r="B818" t="s">
        <v>2332</v>
      </c>
      <c r="C818" t="s">
        <v>2333</v>
      </c>
      <c r="D818" t="s">
        <v>3902</v>
      </c>
    </row>
    <row r="819" spans="1:4" x14ac:dyDescent="0.2">
      <c r="A819" t="s">
        <v>668</v>
      </c>
      <c r="B819" t="s">
        <v>3139</v>
      </c>
      <c r="C819" t="s">
        <v>3140</v>
      </c>
      <c r="D819" t="s">
        <v>3903</v>
      </c>
    </row>
    <row r="820" spans="1:4" x14ac:dyDescent="0.2">
      <c r="A820" t="s">
        <v>669</v>
      </c>
      <c r="B820" t="s">
        <v>3141</v>
      </c>
      <c r="C820" t="s">
        <v>3142</v>
      </c>
      <c r="D820" t="s">
        <v>3904</v>
      </c>
    </row>
    <row r="821" spans="1:4" x14ac:dyDescent="0.2">
      <c r="A821" t="s">
        <v>670</v>
      </c>
      <c r="B821" t="s">
        <v>3143</v>
      </c>
      <c r="C821" t="s">
        <v>3144</v>
      </c>
      <c r="D821" t="s">
        <v>3905</v>
      </c>
    </row>
    <row r="822" spans="1:4" x14ac:dyDescent="0.2">
      <c r="A822" t="s">
        <v>671</v>
      </c>
      <c r="B822" t="s">
        <v>2334</v>
      </c>
      <c r="C822" t="s">
        <v>2335</v>
      </c>
      <c r="D822" t="s">
        <v>3906</v>
      </c>
    </row>
    <row r="823" spans="1:4" x14ac:dyDescent="0.2">
      <c r="A823" t="s">
        <v>672</v>
      </c>
      <c r="B823" t="s">
        <v>2336</v>
      </c>
      <c r="C823" t="s">
        <v>2337</v>
      </c>
      <c r="D823" t="s">
        <v>3907</v>
      </c>
    </row>
    <row r="824" spans="1:4" x14ac:dyDescent="0.2">
      <c r="A824" t="s">
        <v>673</v>
      </c>
      <c r="B824" t="s">
        <v>2339</v>
      </c>
      <c r="C824" t="s">
        <v>2340</v>
      </c>
      <c r="D824" t="s">
        <v>3908</v>
      </c>
    </row>
    <row r="825" spans="1:4" x14ac:dyDescent="0.2">
      <c r="A825" t="s">
        <v>674</v>
      </c>
      <c r="B825" t="s">
        <v>3146</v>
      </c>
      <c r="C825" t="s">
        <v>3147</v>
      </c>
      <c r="D825" t="s">
        <v>3909</v>
      </c>
    </row>
    <row r="826" spans="1:4" x14ac:dyDescent="0.2">
      <c r="A826" t="s">
        <v>675</v>
      </c>
      <c r="B826" t="s">
        <v>3149</v>
      </c>
      <c r="C826" t="s">
        <v>3150</v>
      </c>
      <c r="D826" t="s">
        <v>3910</v>
      </c>
    </row>
    <row r="827" spans="1:4" x14ac:dyDescent="0.2">
      <c r="A827" t="s">
        <v>676</v>
      </c>
      <c r="B827" t="s">
        <v>2014</v>
      </c>
      <c r="C827" t="s">
        <v>2015</v>
      </c>
      <c r="D827" t="s">
        <v>3911</v>
      </c>
    </row>
    <row r="828" spans="1:4" x14ac:dyDescent="0.2">
      <c r="A828" t="s">
        <v>677</v>
      </c>
      <c r="B828" t="s">
        <v>3151</v>
      </c>
      <c r="C828" t="s">
        <v>3152</v>
      </c>
      <c r="D828" t="s">
        <v>3912</v>
      </c>
    </row>
    <row r="829" spans="1:4" x14ac:dyDescent="0.2">
      <c r="A829" t="s">
        <v>678</v>
      </c>
      <c r="B829" t="s">
        <v>2016</v>
      </c>
      <c r="C829" t="s">
        <v>2017</v>
      </c>
      <c r="D829" t="s">
        <v>3913</v>
      </c>
    </row>
    <row r="830" spans="1:4" x14ac:dyDescent="0.2">
      <c r="A830" t="s">
        <v>679</v>
      </c>
      <c r="B830" t="s">
        <v>2020</v>
      </c>
      <c r="C830" t="s">
        <v>2021</v>
      </c>
      <c r="D830" t="s">
        <v>3914</v>
      </c>
    </row>
    <row r="831" spans="1:4" x14ac:dyDescent="0.2">
      <c r="A831" t="s">
        <v>680</v>
      </c>
      <c r="B831" t="s">
        <v>2341</v>
      </c>
      <c r="C831" t="s">
        <v>2342</v>
      </c>
      <c r="D831" t="s">
        <v>3915</v>
      </c>
    </row>
    <row r="832" spans="1:4" x14ac:dyDescent="0.2">
      <c r="A832" t="s">
        <v>681</v>
      </c>
      <c r="B832" t="s">
        <v>2024</v>
      </c>
      <c r="C832" t="s">
        <v>2025</v>
      </c>
      <c r="D832" t="s">
        <v>3916</v>
      </c>
    </row>
    <row r="833" spans="1:4" x14ac:dyDescent="0.2">
      <c r="A833" t="s">
        <v>682</v>
      </c>
      <c r="B833" t="s">
        <v>2029</v>
      </c>
      <c r="C833" t="s">
        <v>2030</v>
      </c>
      <c r="D833" t="s">
        <v>3917</v>
      </c>
    </row>
    <row r="834" spans="1:4" x14ac:dyDescent="0.2">
      <c r="A834" t="s">
        <v>683</v>
      </c>
      <c r="B834" t="s">
        <v>3154</v>
      </c>
      <c r="C834" t="s">
        <v>3155</v>
      </c>
      <c r="D834" t="s">
        <v>3918</v>
      </c>
    </row>
    <row r="835" spans="1:4" x14ac:dyDescent="0.2">
      <c r="A835" t="s">
        <v>684</v>
      </c>
      <c r="B835" t="s">
        <v>2343</v>
      </c>
      <c r="C835" t="s">
        <v>2344</v>
      </c>
      <c r="D835" t="s">
        <v>3919</v>
      </c>
    </row>
    <row r="836" spans="1:4" x14ac:dyDescent="0.2">
      <c r="A836" t="s">
        <v>685</v>
      </c>
      <c r="B836" t="s">
        <v>3156</v>
      </c>
      <c r="C836" t="s">
        <v>3157</v>
      </c>
      <c r="D836" t="s">
        <v>3920</v>
      </c>
    </row>
    <row r="837" spans="1:4" x14ac:dyDescent="0.2">
      <c r="A837" t="s">
        <v>686</v>
      </c>
      <c r="B837" t="s">
        <v>3158</v>
      </c>
      <c r="C837" t="s">
        <v>3159</v>
      </c>
      <c r="D837" t="s">
        <v>3921</v>
      </c>
    </row>
    <row r="838" spans="1:4" x14ac:dyDescent="0.2">
      <c r="A838" t="s">
        <v>687</v>
      </c>
      <c r="B838" t="s">
        <v>2034</v>
      </c>
      <c r="C838" t="s">
        <v>2035</v>
      </c>
      <c r="D838" t="s">
        <v>3922</v>
      </c>
    </row>
    <row r="839" spans="1:4" x14ac:dyDescent="0.2">
      <c r="A839" t="s">
        <v>688</v>
      </c>
      <c r="B839" t="s">
        <v>2345</v>
      </c>
      <c r="C839" t="s">
        <v>2346</v>
      </c>
      <c r="D839" t="s">
        <v>3923</v>
      </c>
    </row>
    <row r="840" spans="1:4" x14ac:dyDescent="0.2">
      <c r="A840" t="s">
        <v>689</v>
      </c>
      <c r="B840" t="s">
        <v>2042</v>
      </c>
      <c r="C840" t="s">
        <v>2043</v>
      </c>
      <c r="D840" t="s">
        <v>3924</v>
      </c>
    </row>
    <row r="841" spans="1:4" x14ac:dyDescent="0.2">
      <c r="A841" t="s">
        <v>690</v>
      </c>
      <c r="B841" t="s">
        <v>2047</v>
      </c>
      <c r="C841" t="s">
        <v>2048</v>
      </c>
      <c r="D841" t="s">
        <v>3925</v>
      </c>
    </row>
    <row r="842" spans="1:4" x14ac:dyDescent="0.2">
      <c r="A842" t="s">
        <v>691</v>
      </c>
      <c r="B842" t="s">
        <v>3161</v>
      </c>
      <c r="C842" t="s">
        <v>3162</v>
      </c>
      <c r="D842" t="s">
        <v>3926</v>
      </c>
    </row>
    <row r="843" spans="1:4" x14ac:dyDescent="0.2">
      <c r="A843" t="s">
        <v>692</v>
      </c>
      <c r="B843" t="s">
        <v>3163</v>
      </c>
      <c r="C843" t="s">
        <v>3164</v>
      </c>
      <c r="D843" t="s">
        <v>3927</v>
      </c>
    </row>
    <row r="844" spans="1:4" x14ac:dyDescent="0.2">
      <c r="A844" t="s">
        <v>693</v>
      </c>
      <c r="B844" t="s">
        <v>2055</v>
      </c>
      <c r="C844" t="s">
        <v>2056</v>
      </c>
      <c r="D844" t="s">
        <v>3928</v>
      </c>
    </row>
    <row r="845" spans="1:4" x14ac:dyDescent="0.2">
      <c r="A845" t="s">
        <v>2761</v>
      </c>
      <c r="B845" t="s">
        <v>2058</v>
      </c>
      <c r="C845" t="s">
        <v>2059</v>
      </c>
      <c r="D845" t="s">
        <v>4264</v>
      </c>
    </row>
    <row r="846" spans="1:4" x14ac:dyDescent="0.2">
      <c r="A846" t="s">
        <v>694</v>
      </c>
      <c r="B846" t="s">
        <v>3165</v>
      </c>
      <c r="C846" t="s">
        <v>3166</v>
      </c>
      <c r="D846" t="s">
        <v>3929</v>
      </c>
    </row>
    <row r="847" spans="1:4" x14ac:dyDescent="0.2">
      <c r="A847" t="s">
        <v>695</v>
      </c>
      <c r="B847" t="s">
        <v>3168</v>
      </c>
      <c r="C847" t="s">
        <v>3169</v>
      </c>
      <c r="D847" t="s">
        <v>3930</v>
      </c>
    </row>
    <row r="848" spans="1:4" x14ac:dyDescent="0.2">
      <c r="A848" t="s">
        <v>696</v>
      </c>
      <c r="B848" t="s">
        <v>3170</v>
      </c>
      <c r="C848" t="s">
        <v>3171</v>
      </c>
      <c r="D848" t="s">
        <v>3931</v>
      </c>
    </row>
    <row r="849" spans="1:4" x14ac:dyDescent="0.2">
      <c r="A849" t="s">
        <v>697</v>
      </c>
      <c r="B849" t="s">
        <v>2347</v>
      </c>
      <c r="C849" t="s">
        <v>2348</v>
      </c>
      <c r="D849" t="s">
        <v>4290</v>
      </c>
    </row>
    <row r="850" spans="1:4" x14ac:dyDescent="0.2">
      <c r="A850" t="s">
        <v>2772</v>
      </c>
      <c r="B850" t="s">
        <v>3172</v>
      </c>
      <c r="C850" t="s">
        <v>3173</v>
      </c>
      <c r="D850" t="s">
        <v>4382</v>
      </c>
    </row>
    <row r="851" spans="1:4" x14ac:dyDescent="0.2">
      <c r="A851" t="s">
        <v>2775</v>
      </c>
      <c r="B851" t="s">
        <v>2350</v>
      </c>
      <c r="C851" t="s">
        <v>2351</v>
      </c>
      <c r="D851" t="s">
        <v>4291</v>
      </c>
    </row>
    <row r="852" spans="1:4" x14ac:dyDescent="0.2">
      <c r="A852" t="s">
        <v>2778</v>
      </c>
      <c r="B852" t="s">
        <v>2353</v>
      </c>
      <c r="C852" t="s">
        <v>2354</v>
      </c>
      <c r="D852" t="s">
        <v>4292</v>
      </c>
    </row>
    <row r="853" spans="1:4" x14ac:dyDescent="0.2">
      <c r="A853" t="s">
        <v>698</v>
      </c>
      <c r="B853" t="s">
        <v>2062</v>
      </c>
      <c r="C853" t="s">
        <v>2063</v>
      </c>
      <c r="D853" t="s">
        <v>3933</v>
      </c>
    </row>
    <row r="854" spans="1:4" x14ac:dyDescent="0.2">
      <c r="A854" t="s">
        <v>699</v>
      </c>
      <c r="B854" t="s">
        <v>2355</v>
      </c>
      <c r="C854" t="s">
        <v>2356</v>
      </c>
      <c r="D854" t="s">
        <v>3934</v>
      </c>
    </row>
    <row r="855" spans="1:4" x14ac:dyDescent="0.2">
      <c r="A855" t="s">
        <v>2787</v>
      </c>
      <c r="B855" t="s">
        <v>2357</v>
      </c>
      <c r="C855" t="s">
        <v>2358</v>
      </c>
      <c r="D855" t="s">
        <v>3935</v>
      </c>
    </row>
    <row r="856" spans="1:4" x14ac:dyDescent="0.2">
      <c r="A856" t="s">
        <v>700</v>
      </c>
      <c r="B856" t="s">
        <v>2066</v>
      </c>
      <c r="C856" t="s">
        <v>2067</v>
      </c>
      <c r="D856" t="s">
        <v>3936</v>
      </c>
    </row>
    <row r="857" spans="1:4" x14ac:dyDescent="0.2">
      <c r="A857" t="s">
        <v>2790</v>
      </c>
      <c r="B857" t="s">
        <v>2359</v>
      </c>
      <c r="C857" t="s">
        <v>2360</v>
      </c>
      <c r="D857" t="s">
        <v>4293</v>
      </c>
    </row>
    <row r="858" spans="1:4" x14ac:dyDescent="0.2">
      <c r="A858" t="s">
        <v>2793</v>
      </c>
      <c r="B858" t="s">
        <v>2362</v>
      </c>
      <c r="C858" t="s">
        <v>2363</v>
      </c>
      <c r="D858" t="s">
        <v>4294</v>
      </c>
    </row>
    <row r="859" spans="1:4" x14ac:dyDescent="0.2">
      <c r="A859" t="s">
        <v>2796</v>
      </c>
      <c r="B859" t="s">
        <v>2070</v>
      </c>
      <c r="C859" t="s">
        <v>2071</v>
      </c>
      <c r="D859" t="s">
        <v>4266</v>
      </c>
    </row>
    <row r="860" spans="1:4" x14ac:dyDescent="0.2">
      <c r="A860" t="s">
        <v>701</v>
      </c>
      <c r="B860" t="s">
        <v>3175</v>
      </c>
      <c r="C860" t="s">
        <v>3176</v>
      </c>
      <c r="D860" t="s">
        <v>3937</v>
      </c>
    </row>
    <row r="861" spans="1:4" x14ac:dyDescent="0.2">
      <c r="A861" t="s">
        <v>702</v>
      </c>
      <c r="B861" t="s">
        <v>3178</v>
      </c>
      <c r="C861" t="s">
        <v>3179</v>
      </c>
      <c r="D861" t="s">
        <v>3938</v>
      </c>
    </row>
    <row r="862" spans="1:4" x14ac:dyDescent="0.2">
      <c r="A862" t="s">
        <v>703</v>
      </c>
      <c r="B862" t="s">
        <v>2074</v>
      </c>
      <c r="C862" t="s">
        <v>2075</v>
      </c>
      <c r="D862" t="s">
        <v>3939</v>
      </c>
    </row>
    <row r="863" spans="1:4" x14ac:dyDescent="0.2">
      <c r="A863" t="s">
        <v>704</v>
      </c>
      <c r="B863" t="s">
        <v>3180</v>
      </c>
      <c r="C863" t="s">
        <v>3181</v>
      </c>
      <c r="D863" t="s">
        <v>3940</v>
      </c>
    </row>
    <row r="864" spans="1:4" x14ac:dyDescent="0.2">
      <c r="A864" t="s">
        <v>2807</v>
      </c>
      <c r="B864" t="s">
        <v>3182</v>
      </c>
      <c r="C864" t="s">
        <v>3183</v>
      </c>
      <c r="D864" t="s">
        <v>4383</v>
      </c>
    </row>
    <row r="865" spans="1:4" x14ac:dyDescent="0.2">
      <c r="A865" t="s">
        <v>705</v>
      </c>
      <c r="B865" t="s">
        <v>2080</v>
      </c>
      <c r="C865" t="s">
        <v>2081</v>
      </c>
      <c r="D865" t="s">
        <v>3941</v>
      </c>
    </row>
    <row r="866" spans="1:4" x14ac:dyDescent="0.2">
      <c r="A866" t="s">
        <v>2812</v>
      </c>
      <c r="B866" t="s">
        <v>2364</v>
      </c>
      <c r="C866" t="s">
        <v>2365</v>
      </c>
      <c r="D866" t="s">
        <v>4295</v>
      </c>
    </row>
    <row r="867" spans="1:4" x14ac:dyDescent="0.2">
      <c r="A867" t="s">
        <v>706</v>
      </c>
      <c r="B867" t="s">
        <v>3184</v>
      </c>
      <c r="C867" t="s">
        <v>3185</v>
      </c>
      <c r="D867" t="s">
        <v>3942</v>
      </c>
    </row>
    <row r="868" spans="1:4" x14ac:dyDescent="0.2">
      <c r="A868" t="s">
        <v>707</v>
      </c>
      <c r="B868" t="s">
        <v>2366</v>
      </c>
      <c r="C868" t="s">
        <v>2367</v>
      </c>
      <c r="D868" t="s">
        <v>3943</v>
      </c>
    </row>
    <row r="869" spans="1:4" x14ac:dyDescent="0.2">
      <c r="A869" t="s">
        <v>708</v>
      </c>
      <c r="B869" t="s">
        <v>2368</v>
      </c>
      <c r="C869" t="s">
        <v>2369</v>
      </c>
      <c r="D869" t="s">
        <v>3944</v>
      </c>
    </row>
    <row r="870" spans="1:4" x14ac:dyDescent="0.2">
      <c r="A870" t="s">
        <v>709</v>
      </c>
      <c r="B870" t="s">
        <v>3187</v>
      </c>
      <c r="C870" t="s">
        <v>3188</v>
      </c>
      <c r="D870" t="s">
        <v>3945</v>
      </c>
    </row>
    <row r="871" spans="1:4" x14ac:dyDescent="0.2">
      <c r="A871" t="s">
        <v>710</v>
      </c>
      <c r="B871" t="s">
        <v>3190</v>
      </c>
      <c r="C871" t="s">
        <v>3191</v>
      </c>
      <c r="D871" t="s">
        <v>3946</v>
      </c>
    </row>
    <row r="872" spans="1:4" x14ac:dyDescent="0.2">
      <c r="A872" t="s">
        <v>711</v>
      </c>
      <c r="B872" t="s">
        <v>2370</v>
      </c>
      <c r="C872" t="s">
        <v>2371</v>
      </c>
      <c r="D872" t="s">
        <v>3947</v>
      </c>
    </row>
    <row r="873" spans="1:4" x14ac:dyDescent="0.2">
      <c r="A873" t="s">
        <v>712</v>
      </c>
      <c r="B873" t="s">
        <v>3193</v>
      </c>
      <c r="C873" t="s">
        <v>3194</v>
      </c>
      <c r="D873" t="s">
        <v>3948</v>
      </c>
    </row>
    <row r="874" spans="1:4" x14ac:dyDescent="0.2">
      <c r="A874" t="s">
        <v>713</v>
      </c>
      <c r="B874" t="s">
        <v>3195</v>
      </c>
      <c r="C874" t="s">
        <v>3196</v>
      </c>
      <c r="D874" t="s">
        <v>3949</v>
      </c>
    </row>
    <row r="875" spans="1:4" x14ac:dyDescent="0.2">
      <c r="A875" t="s">
        <v>714</v>
      </c>
      <c r="B875" t="s">
        <v>2372</v>
      </c>
      <c r="C875" t="s">
        <v>2373</v>
      </c>
      <c r="D875" t="s">
        <v>3950</v>
      </c>
    </row>
    <row r="876" spans="1:4" x14ac:dyDescent="0.2">
      <c r="A876" t="s">
        <v>715</v>
      </c>
      <c r="B876" t="s">
        <v>2374</v>
      </c>
      <c r="C876" t="s">
        <v>2375</v>
      </c>
      <c r="D876" t="s">
        <v>3951</v>
      </c>
    </row>
    <row r="877" spans="1:4" x14ac:dyDescent="0.2">
      <c r="A877" t="s">
        <v>716</v>
      </c>
      <c r="B877" t="s">
        <v>2377</v>
      </c>
      <c r="C877" t="s">
        <v>2378</v>
      </c>
      <c r="D877" t="s">
        <v>3952</v>
      </c>
    </row>
    <row r="878" spans="1:4" x14ac:dyDescent="0.2">
      <c r="A878" t="s">
        <v>717</v>
      </c>
      <c r="B878" t="s">
        <v>2380</v>
      </c>
      <c r="C878" t="s">
        <v>2381</v>
      </c>
      <c r="D878" t="s">
        <v>3953</v>
      </c>
    </row>
    <row r="879" spans="1:4" x14ac:dyDescent="0.2">
      <c r="A879" t="s">
        <v>718</v>
      </c>
      <c r="B879" t="s">
        <v>2086</v>
      </c>
      <c r="C879" t="s">
        <v>2087</v>
      </c>
      <c r="D879" t="s">
        <v>4267</v>
      </c>
    </row>
    <row r="880" spans="1:4" x14ac:dyDescent="0.2">
      <c r="A880" t="s">
        <v>2841</v>
      </c>
      <c r="B880" t="s">
        <v>3197</v>
      </c>
      <c r="C880" t="s">
        <v>3198</v>
      </c>
      <c r="D880" t="s">
        <v>4384</v>
      </c>
    </row>
    <row r="881" spans="1:4" x14ac:dyDescent="0.2">
      <c r="A881" t="s">
        <v>719</v>
      </c>
      <c r="B881" t="s">
        <v>2383</v>
      </c>
      <c r="C881" t="s">
        <v>2384</v>
      </c>
      <c r="D881" t="s">
        <v>3955</v>
      </c>
    </row>
    <row r="882" spans="1:4" x14ac:dyDescent="0.2">
      <c r="A882" t="s">
        <v>720</v>
      </c>
      <c r="B882" t="s">
        <v>2092</v>
      </c>
      <c r="C882" t="s">
        <v>2093</v>
      </c>
      <c r="D882" t="s">
        <v>3956</v>
      </c>
    </row>
    <row r="883" spans="1:4" x14ac:dyDescent="0.2">
      <c r="A883" t="s">
        <v>721</v>
      </c>
      <c r="B883" t="s">
        <v>2386</v>
      </c>
      <c r="C883" t="s">
        <v>2387</v>
      </c>
      <c r="D883" t="s">
        <v>3957</v>
      </c>
    </row>
    <row r="884" spans="1:4" x14ac:dyDescent="0.2">
      <c r="A884" t="s">
        <v>722</v>
      </c>
      <c r="B884" t="s">
        <v>3199</v>
      </c>
      <c r="C884" t="s">
        <v>3200</v>
      </c>
      <c r="D884" t="s">
        <v>3958</v>
      </c>
    </row>
    <row r="885" spans="1:4" x14ac:dyDescent="0.2">
      <c r="A885" t="s">
        <v>723</v>
      </c>
      <c r="B885" t="s">
        <v>3201</v>
      </c>
      <c r="C885" t="s">
        <v>3202</v>
      </c>
      <c r="D885" t="s">
        <v>3959</v>
      </c>
    </row>
    <row r="886" spans="1:4" x14ac:dyDescent="0.2">
      <c r="A886" t="s">
        <v>724</v>
      </c>
      <c r="B886" t="s">
        <v>2098</v>
      </c>
      <c r="C886" t="s">
        <v>2099</v>
      </c>
      <c r="D886" t="s">
        <v>3960</v>
      </c>
    </row>
    <row r="887" spans="1:4" x14ac:dyDescent="0.2">
      <c r="A887" t="s">
        <v>725</v>
      </c>
      <c r="B887" t="s">
        <v>2104</v>
      </c>
      <c r="C887" t="s">
        <v>2105</v>
      </c>
      <c r="D887" t="s">
        <v>3961</v>
      </c>
    </row>
    <row r="888" spans="1:4" x14ac:dyDescent="0.2">
      <c r="A888" t="s">
        <v>726</v>
      </c>
      <c r="B888" t="s">
        <v>2111</v>
      </c>
      <c r="C888" t="s">
        <v>2112</v>
      </c>
      <c r="D888" t="s">
        <v>3962</v>
      </c>
    </row>
    <row r="889" spans="1:4" x14ac:dyDescent="0.2">
      <c r="A889" t="s">
        <v>727</v>
      </c>
      <c r="B889" t="s">
        <v>2115</v>
      </c>
      <c r="C889" t="s">
        <v>2116</v>
      </c>
      <c r="D889" t="s">
        <v>3963</v>
      </c>
    </row>
    <row r="890" spans="1:4" x14ac:dyDescent="0.2">
      <c r="A890" t="s">
        <v>728</v>
      </c>
      <c r="B890" t="s">
        <v>2389</v>
      </c>
      <c r="C890" t="s">
        <v>2390</v>
      </c>
      <c r="D890" t="s">
        <v>3964</v>
      </c>
    </row>
    <row r="891" spans="1:4" x14ac:dyDescent="0.2">
      <c r="A891" t="s">
        <v>729</v>
      </c>
      <c r="B891" t="s">
        <v>2117</v>
      </c>
      <c r="C891" t="s">
        <v>2118</v>
      </c>
      <c r="D891" t="s">
        <v>3965</v>
      </c>
    </row>
    <row r="892" spans="1:4" x14ac:dyDescent="0.2">
      <c r="A892" t="s">
        <v>730</v>
      </c>
      <c r="B892" t="s">
        <v>2392</v>
      </c>
      <c r="C892" t="s">
        <v>2393</v>
      </c>
      <c r="D892" t="s">
        <v>3966</v>
      </c>
    </row>
    <row r="893" spans="1:4" x14ac:dyDescent="0.2">
      <c r="A893" t="s">
        <v>731</v>
      </c>
      <c r="B893" t="s">
        <v>2394</v>
      </c>
      <c r="C893" t="s">
        <v>2395</v>
      </c>
      <c r="D893" t="s">
        <v>3967</v>
      </c>
    </row>
    <row r="894" spans="1:4" x14ac:dyDescent="0.2">
      <c r="A894" t="s">
        <v>732</v>
      </c>
      <c r="B894" t="s">
        <v>2123</v>
      </c>
      <c r="C894" t="s">
        <v>2124</v>
      </c>
      <c r="D894" t="s">
        <v>3968</v>
      </c>
    </row>
    <row r="895" spans="1:4" x14ac:dyDescent="0.2">
      <c r="A895" t="s">
        <v>2872</v>
      </c>
      <c r="B895" t="s">
        <v>3203</v>
      </c>
      <c r="C895" t="s">
        <v>3204</v>
      </c>
      <c r="D895" t="s">
        <v>4385</v>
      </c>
    </row>
    <row r="896" spans="1:4" x14ac:dyDescent="0.2">
      <c r="A896" t="s">
        <v>2875</v>
      </c>
      <c r="B896" t="s">
        <v>3205</v>
      </c>
      <c r="C896" t="s">
        <v>3206</v>
      </c>
      <c r="D896" t="s">
        <v>4386</v>
      </c>
    </row>
    <row r="897" spans="1:4" x14ac:dyDescent="0.2">
      <c r="A897" t="s">
        <v>733</v>
      </c>
      <c r="B897" t="s">
        <v>3207</v>
      </c>
      <c r="C897" t="s">
        <v>3208</v>
      </c>
      <c r="D897" t="s">
        <v>3969</v>
      </c>
    </row>
    <row r="898" spans="1:4" x14ac:dyDescent="0.2">
      <c r="A898" t="s">
        <v>734</v>
      </c>
      <c r="B898" t="s">
        <v>2396</v>
      </c>
      <c r="C898" t="s">
        <v>2397</v>
      </c>
      <c r="D898" t="s">
        <v>3970</v>
      </c>
    </row>
    <row r="899" spans="1:4" x14ac:dyDescent="0.2">
      <c r="A899" t="s">
        <v>735</v>
      </c>
      <c r="B899" t="s">
        <v>2126</v>
      </c>
      <c r="C899" t="s">
        <v>2127</v>
      </c>
      <c r="D899" t="s">
        <v>3971</v>
      </c>
    </row>
    <row r="900" spans="1:4" x14ac:dyDescent="0.2">
      <c r="A900" t="s">
        <v>736</v>
      </c>
      <c r="B900" t="s">
        <v>2398</v>
      </c>
      <c r="C900" t="s">
        <v>2399</v>
      </c>
      <c r="D900" t="s">
        <v>3972</v>
      </c>
    </row>
    <row r="901" spans="1:4" x14ac:dyDescent="0.2">
      <c r="A901" t="s">
        <v>737</v>
      </c>
      <c r="B901" t="s">
        <v>2129</v>
      </c>
      <c r="C901" t="s">
        <v>2130</v>
      </c>
      <c r="D901" t="s">
        <v>3973</v>
      </c>
    </row>
    <row r="902" spans="1:4" x14ac:dyDescent="0.2">
      <c r="A902" t="s">
        <v>738</v>
      </c>
      <c r="B902" t="s">
        <v>2135</v>
      </c>
      <c r="C902" t="s">
        <v>2136</v>
      </c>
      <c r="D902" t="s">
        <v>3974</v>
      </c>
    </row>
    <row r="903" spans="1:4" x14ac:dyDescent="0.2">
      <c r="A903" t="s">
        <v>739</v>
      </c>
      <c r="B903" t="s">
        <v>2400</v>
      </c>
      <c r="C903" t="s">
        <v>2401</v>
      </c>
      <c r="D903" t="s">
        <v>3975</v>
      </c>
    </row>
    <row r="904" spans="1:4" x14ac:dyDescent="0.2">
      <c r="A904" t="s">
        <v>740</v>
      </c>
      <c r="B904" t="s">
        <v>3209</v>
      </c>
      <c r="C904" t="s">
        <v>3210</v>
      </c>
      <c r="D904" t="s">
        <v>3976</v>
      </c>
    </row>
    <row r="905" spans="1:4" x14ac:dyDescent="0.2">
      <c r="A905" t="s">
        <v>741</v>
      </c>
      <c r="B905" t="s">
        <v>2402</v>
      </c>
      <c r="C905" t="s">
        <v>2403</v>
      </c>
      <c r="D905" t="s">
        <v>3977</v>
      </c>
    </row>
    <row r="906" spans="1:4" x14ac:dyDescent="0.2">
      <c r="A906" t="s">
        <v>742</v>
      </c>
      <c r="B906" t="s">
        <v>2141</v>
      </c>
      <c r="C906" t="s">
        <v>2142</v>
      </c>
      <c r="D906" t="s">
        <v>3978</v>
      </c>
    </row>
    <row r="907" spans="1:4" x14ac:dyDescent="0.2">
      <c r="A907" t="s">
        <v>743</v>
      </c>
      <c r="B907" t="s">
        <v>2147</v>
      </c>
      <c r="C907" t="s">
        <v>2148</v>
      </c>
      <c r="D907" t="s">
        <v>3979</v>
      </c>
    </row>
    <row r="908" spans="1:4" x14ac:dyDescent="0.2">
      <c r="A908" t="s">
        <v>744</v>
      </c>
      <c r="B908" t="s">
        <v>2152</v>
      </c>
      <c r="C908" t="s">
        <v>2153</v>
      </c>
      <c r="D908" t="s">
        <v>3980</v>
      </c>
    </row>
    <row r="909" spans="1:4" x14ac:dyDescent="0.2">
      <c r="A909" t="s">
        <v>745</v>
      </c>
      <c r="B909" t="s">
        <v>2156</v>
      </c>
      <c r="C909" t="s">
        <v>2157</v>
      </c>
      <c r="D909" t="s">
        <v>3981</v>
      </c>
    </row>
    <row r="910" spans="1:4" x14ac:dyDescent="0.2">
      <c r="A910" t="s">
        <v>746</v>
      </c>
      <c r="B910" t="s">
        <v>2404</v>
      </c>
      <c r="C910" t="s">
        <v>2405</v>
      </c>
      <c r="D910" t="s">
        <v>4296</v>
      </c>
    </row>
    <row r="911" spans="1:4" x14ac:dyDescent="0.2">
      <c r="A911" t="s">
        <v>747</v>
      </c>
      <c r="B911" t="s">
        <v>2406</v>
      </c>
      <c r="C911" t="s">
        <v>2407</v>
      </c>
      <c r="D911" t="s">
        <v>3983</v>
      </c>
    </row>
    <row r="912" spans="1:4" x14ac:dyDescent="0.2">
      <c r="A912" t="s">
        <v>748</v>
      </c>
      <c r="B912" t="s">
        <v>2160</v>
      </c>
      <c r="C912" t="s">
        <v>2161</v>
      </c>
      <c r="D912" t="s">
        <v>3984</v>
      </c>
    </row>
    <row r="913" spans="1:4" x14ac:dyDescent="0.2">
      <c r="A913" t="s">
        <v>749</v>
      </c>
      <c r="B913" t="s">
        <v>3211</v>
      </c>
      <c r="C913" t="s">
        <v>3212</v>
      </c>
      <c r="D913" t="s">
        <v>3985</v>
      </c>
    </row>
    <row r="914" spans="1:4" x14ac:dyDescent="0.2">
      <c r="A914" t="s">
        <v>750</v>
      </c>
      <c r="B914" t="s">
        <v>2409</v>
      </c>
      <c r="C914" t="s">
        <v>2410</v>
      </c>
      <c r="D914" t="s">
        <v>3986</v>
      </c>
    </row>
    <row r="915" spans="1:4" x14ac:dyDescent="0.2">
      <c r="A915" t="s">
        <v>751</v>
      </c>
      <c r="B915" t="s">
        <v>2411</v>
      </c>
      <c r="C915" t="s">
        <v>2412</v>
      </c>
      <c r="D915" t="s">
        <v>3987</v>
      </c>
    </row>
    <row r="916" spans="1:4" x14ac:dyDescent="0.2">
      <c r="A916" t="s">
        <v>752</v>
      </c>
      <c r="B916" t="s">
        <v>2165</v>
      </c>
      <c r="C916" t="s">
        <v>2166</v>
      </c>
      <c r="D916" t="s">
        <v>3988</v>
      </c>
    </row>
    <row r="917" spans="1:4" x14ac:dyDescent="0.2">
      <c r="A917" t="s">
        <v>753</v>
      </c>
      <c r="B917" t="s">
        <v>2169</v>
      </c>
      <c r="C917" t="s">
        <v>2170</v>
      </c>
      <c r="D917" t="s">
        <v>3989</v>
      </c>
    </row>
    <row r="918" spans="1:4" x14ac:dyDescent="0.2">
      <c r="A918" t="s">
        <v>754</v>
      </c>
      <c r="B918" t="s">
        <v>2413</v>
      </c>
      <c r="C918" t="s">
        <v>2414</v>
      </c>
      <c r="D918" t="s">
        <v>3990</v>
      </c>
    </row>
    <row r="919" spans="1:4" x14ac:dyDescent="0.2">
      <c r="A919" t="s">
        <v>755</v>
      </c>
      <c r="B919" t="s">
        <v>3213</v>
      </c>
      <c r="C919" t="s">
        <v>3214</v>
      </c>
      <c r="D919" t="s">
        <v>3991</v>
      </c>
    </row>
    <row r="920" spans="1:4" x14ac:dyDescent="0.2">
      <c r="A920" t="s">
        <v>756</v>
      </c>
      <c r="B920" t="s">
        <v>2177</v>
      </c>
      <c r="C920" t="s">
        <v>2178</v>
      </c>
      <c r="D920" t="s">
        <v>3992</v>
      </c>
    </row>
    <row r="921" spans="1:4" x14ac:dyDescent="0.2">
      <c r="A921" t="s">
        <v>757</v>
      </c>
      <c r="B921" t="s">
        <v>2183</v>
      </c>
      <c r="C921" t="s">
        <v>2184</v>
      </c>
      <c r="D921" t="s">
        <v>3993</v>
      </c>
    </row>
    <row r="922" spans="1:4" x14ac:dyDescent="0.2">
      <c r="A922" t="s">
        <v>758</v>
      </c>
      <c r="B922" t="s">
        <v>3215</v>
      </c>
      <c r="C922" t="s">
        <v>3216</v>
      </c>
      <c r="D922" t="s">
        <v>3994</v>
      </c>
    </row>
    <row r="923" spans="1:4" x14ac:dyDescent="0.2">
      <c r="A923" t="s">
        <v>2930</v>
      </c>
      <c r="B923" t="s">
        <v>2415</v>
      </c>
      <c r="C923" t="s">
        <v>2416</v>
      </c>
      <c r="D923" t="s">
        <v>4297</v>
      </c>
    </row>
    <row r="924" spans="1:4" x14ac:dyDescent="0.2">
      <c r="A924" t="s">
        <v>759</v>
      </c>
      <c r="B924" t="s">
        <v>2191</v>
      </c>
      <c r="C924" t="s">
        <v>2192</v>
      </c>
      <c r="D924" t="s">
        <v>3995</v>
      </c>
    </row>
    <row r="925" spans="1:4" x14ac:dyDescent="0.2">
      <c r="A925" t="s">
        <v>760</v>
      </c>
      <c r="B925" t="s">
        <v>2197</v>
      </c>
      <c r="C925" t="s">
        <v>2198</v>
      </c>
      <c r="D925" t="s">
        <v>3996</v>
      </c>
    </row>
    <row r="926" spans="1:4" x14ac:dyDescent="0.2">
      <c r="A926" t="s">
        <v>761</v>
      </c>
      <c r="B926" t="s">
        <v>2417</v>
      </c>
      <c r="C926" t="s">
        <v>2418</v>
      </c>
      <c r="D926" t="s">
        <v>3997</v>
      </c>
    </row>
    <row r="927" spans="1:4" x14ac:dyDescent="0.2">
      <c r="A927" t="s">
        <v>762</v>
      </c>
      <c r="B927" t="s">
        <v>3217</v>
      </c>
      <c r="C927" t="s">
        <v>3218</v>
      </c>
      <c r="D927" t="s">
        <v>3998</v>
      </c>
    </row>
    <row r="928" spans="1:4" x14ac:dyDescent="0.2">
      <c r="A928" t="s">
        <v>2941</v>
      </c>
      <c r="B928" t="s">
        <v>2419</v>
      </c>
      <c r="C928" t="s">
        <v>2420</v>
      </c>
      <c r="D928" t="s">
        <v>4298</v>
      </c>
    </row>
    <row r="929" spans="1:4" x14ac:dyDescent="0.2">
      <c r="A929" t="s">
        <v>763</v>
      </c>
      <c r="B929" t="s">
        <v>2421</v>
      </c>
      <c r="C929" t="s">
        <v>2422</v>
      </c>
      <c r="D929" t="s">
        <v>3999</v>
      </c>
    </row>
    <row r="930" spans="1:4" x14ac:dyDescent="0.2">
      <c r="A930" t="s">
        <v>764</v>
      </c>
      <c r="B930" t="s">
        <v>2424</v>
      </c>
      <c r="C930" t="s">
        <v>2425</v>
      </c>
      <c r="D930" t="s">
        <v>4000</v>
      </c>
    </row>
    <row r="931" spans="1:4" x14ac:dyDescent="0.2">
      <c r="A931" t="s">
        <v>765</v>
      </c>
      <c r="B931" t="s">
        <v>2201</v>
      </c>
      <c r="C931" t="s">
        <v>2202</v>
      </c>
      <c r="D931" t="s">
        <v>4001</v>
      </c>
    </row>
    <row r="932" spans="1:4" x14ac:dyDescent="0.2">
      <c r="A932" t="s">
        <v>766</v>
      </c>
      <c r="B932" t="s">
        <v>3219</v>
      </c>
      <c r="C932" t="s">
        <v>3220</v>
      </c>
      <c r="D932" t="s">
        <v>4002</v>
      </c>
    </row>
    <row r="933" spans="1:4" x14ac:dyDescent="0.2">
      <c r="A933" t="s">
        <v>767</v>
      </c>
      <c r="B933" t="s">
        <v>3222</v>
      </c>
      <c r="C933" t="s">
        <v>3223</v>
      </c>
      <c r="D933" t="s">
        <v>4003</v>
      </c>
    </row>
    <row r="934" spans="1:4" x14ac:dyDescent="0.2">
      <c r="A934" t="s">
        <v>768</v>
      </c>
      <c r="B934" t="s">
        <v>2207</v>
      </c>
      <c r="C934" t="s">
        <v>2208</v>
      </c>
      <c r="D934" t="s">
        <v>4004</v>
      </c>
    </row>
    <row r="935" spans="1:4" x14ac:dyDescent="0.2">
      <c r="A935" t="s">
        <v>2956</v>
      </c>
      <c r="B935" t="s">
        <v>3225</v>
      </c>
      <c r="C935" t="s">
        <v>3226</v>
      </c>
      <c r="D935" t="s">
        <v>4387</v>
      </c>
    </row>
    <row r="936" spans="1:4" x14ac:dyDescent="0.2">
      <c r="A936" t="s">
        <v>769</v>
      </c>
      <c r="B936" t="s">
        <v>3227</v>
      </c>
      <c r="C936" t="s">
        <v>3228</v>
      </c>
      <c r="D936" t="s">
        <v>4005</v>
      </c>
    </row>
    <row r="937" spans="1:4" x14ac:dyDescent="0.2">
      <c r="A937" t="s">
        <v>770</v>
      </c>
      <c r="B937" t="s">
        <v>2427</v>
      </c>
      <c r="C937" t="s">
        <v>2428</v>
      </c>
      <c r="D937" t="s">
        <v>4006</v>
      </c>
    </row>
    <row r="938" spans="1:4" x14ac:dyDescent="0.2">
      <c r="A938" t="s">
        <v>771</v>
      </c>
      <c r="B938" t="s">
        <v>2211</v>
      </c>
      <c r="C938" t="s">
        <v>2212</v>
      </c>
      <c r="D938" t="s">
        <v>4007</v>
      </c>
    </row>
    <row r="939" spans="1:4" x14ac:dyDescent="0.2">
      <c r="A939" t="s">
        <v>772</v>
      </c>
      <c r="B939" t="s">
        <v>2429</v>
      </c>
      <c r="C939" t="s">
        <v>2430</v>
      </c>
      <c r="D939" t="s">
        <v>4008</v>
      </c>
    </row>
    <row r="940" spans="1:4" x14ac:dyDescent="0.2">
      <c r="A940" t="s">
        <v>773</v>
      </c>
      <c r="B940" t="s">
        <v>3229</v>
      </c>
      <c r="C940" t="s">
        <v>3230</v>
      </c>
      <c r="D940" t="s">
        <v>4009</v>
      </c>
    </row>
    <row r="941" spans="1:4" x14ac:dyDescent="0.2">
      <c r="A941" t="s">
        <v>2969</v>
      </c>
      <c r="B941" t="s">
        <v>3231</v>
      </c>
      <c r="C941" t="s">
        <v>3232</v>
      </c>
      <c r="D941" t="s">
        <v>4388</v>
      </c>
    </row>
    <row r="942" spans="1:4" x14ac:dyDescent="0.2">
      <c r="A942" t="s">
        <v>774</v>
      </c>
      <c r="B942" t="s">
        <v>3234</v>
      </c>
      <c r="C942" t="s">
        <v>3235</v>
      </c>
      <c r="D942" t="s">
        <v>4010</v>
      </c>
    </row>
    <row r="943" spans="1:4" x14ac:dyDescent="0.2">
      <c r="A943" t="s">
        <v>2974</v>
      </c>
      <c r="B943" t="s">
        <v>3236</v>
      </c>
      <c r="C943" t="s">
        <v>3237</v>
      </c>
      <c r="D943" t="s">
        <v>4389</v>
      </c>
    </row>
    <row r="944" spans="1:4" x14ac:dyDescent="0.2">
      <c r="A944" t="s">
        <v>775</v>
      </c>
      <c r="B944" t="s">
        <v>2216</v>
      </c>
      <c r="C944" t="s">
        <v>2217</v>
      </c>
      <c r="D944" t="s">
        <v>4011</v>
      </c>
    </row>
    <row r="945" spans="1:4" x14ac:dyDescent="0.2">
      <c r="A945" t="s">
        <v>776</v>
      </c>
      <c r="B945" t="s">
        <v>2431</v>
      </c>
      <c r="C945" t="s">
        <v>2432</v>
      </c>
      <c r="D945" t="s">
        <v>4012</v>
      </c>
    </row>
    <row r="946" spans="1:4" x14ac:dyDescent="0.2">
      <c r="A946" t="s">
        <v>2981</v>
      </c>
      <c r="B946" t="s">
        <v>3238</v>
      </c>
      <c r="C946" t="s">
        <v>3239</v>
      </c>
      <c r="D946" t="s">
        <v>4390</v>
      </c>
    </row>
    <row r="947" spans="1:4" x14ac:dyDescent="0.2">
      <c r="A947" t="s">
        <v>777</v>
      </c>
      <c r="B947" t="s">
        <v>2434</v>
      </c>
      <c r="C947" t="s">
        <v>2435</v>
      </c>
      <c r="D947" t="s">
        <v>4013</v>
      </c>
    </row>
    <row r="948" spans="1:4" x14ac:dyDescent="0.2">
      <c r="A948" t="s">
        <v>778</v>
      </c>
      <c r="B948" t="s">
        <v>2220</v>
      </c>
      <c r="C948" t="s">
        <v>2221</v>
      </c>
      <c r="D948" t="s">
        <v>4014</v>
      </c>
    </row>
    <row r="949" spans="1:4" x14ac:dyDescent="0.2">
      <c r="A949" t="s">
        <v>2988</v>
      </c>
      <c r="B949" t="s">
        <v>2222</v>
      </c>
      <c r="C949" t="s">
        <v>2223</v>
      </c>
      <c r="D949" t="s">
        <v>4274</v>
      </c>
    </row>
    <row r="950" spans="1:4" x14ac:dyDescent="0.2">
      <c r="A950" t="s">
        <v>779</v>
      </c>
      <c r="B950" t="s">
        <v>3240</v>
      </c>
      <c r="C950" t="s">
        <v>3241</v>
      </c>
      <c r="D950" t="s">
        <v>4015</v>
      </c>
    </row>
    <row r="951" spans="1:4" x14ac:dyDescent="0.2">
      <c r="A951" t="s">
        <v>780</v>
      </c>
      <c r="B951" t="s">
        <v>3243</v>
      </c>
      <c r="C951" t="s">
        <v>3244</v>
      </c>
      <c r="D951" t="s">
        <v>4016</v>
      </c>
    </row>
    <row r="952" spans="1:4" x14ac:dyDescent="0.2">
      <c r="A952" t="s">
        <v>781</v>
      </c>
      <c r="B952" t="s">
        <v>3245</v>
      </c>
      <c r="C952" t="s">
        <v>3246</v>
      </c>
      <c r="D952" t="s">
        <v>4017</v>
      </c>
    </row>
    <row r="953" spans="1:4" x14ac:dyDescent="0.2">
      <c r="A953" t="s">
        <v>2997</v>
      </c>
      <c r="B953" t="s">
        <v>2227</v>
      </c>
      <c r="C953" t="s">
        <v>2228</v>
      </c>
      <c r="D953" t="s">
        <v>4276</v>
      </c>
    </row>
    <row r="954" spans="1:4" x14ac:dyDescent="0.2">
      <c r="A954" t="s">
        <v>3000</v>
      </c>
      <c r="B954" t="s">
        <v>2436</v>
      </c>
      <c r="C954" t="s">
        <v>2437</v>
      </c>
      <c r="D954" t="s">
        <v>4299</v>
      </c>
    </row>
    <row r="955" spans="1:4" x14ac:dyDescent="0.2">
      <c r="A955" t="s">
        <v>3003</v>
      </c>
      <c r="B955" t="s">
        <v>2438</v>
      </c>
      <c r="C955" t="s">
        <v>2439</v>
      </c>
      <c r="D955" t="s">
        <v>4300</v>
      </c>
    </row>
    <row r="956" spans="1:4" x14ac:dyDescent="0.2">
      <c r="A956" t="s">
        <v>3006</v>
      </c>
      <c r="B956" t="s">
        <v>3247</v>
      </c>
      <c r="C956" t="s">
        <v>3248</v>
      </c>
      <c r="D956" t="s">
        <v>4391</v>
      </c>
    </row>
    <row r="957" spans="1:4" x14ac:dyDescent="0.2">
      <c r="A957" t="s">
        <v>3009</v>
      </c>
      <c r="B957" t="s">
        <v>2440</v>
      </c>
      <c r="C957" t="s">
        <v>2441</v>
      </c>
      <c r="D957" t="s">
        <v>4301</v>
      </c>
    </row>
    <row r="958" spans="1:4" x14ac:dyDescent="0.2">
      <c r="A958" t="s">
        <v>782</v>
      </c>
      <c r="B958" t="s">
        <v>2232</v>
      </c>
      <c r="C958" t="s">
        <v>2233</v>
      </c>
      <c r="D958" t="s">
        <v>4018</v>
      </c>
    </row>
    <row r="959" spans="1:4" x14ac:dyDescent="0.2">
      <c r="A959" t="s">
        <v>783</v>
      </c>
      <c r="B959" t="s">
        <v>3250</v>
      </c>
      <c r="C959" t="s">
        <v>3251</v>
      </c>
      <c r="D959" t="s">
        <v>4019</v>
      </c>
    </row>
    <row r="960" spans="1:4" x14ac:dyDescent="0.2">
      <c r="A960" t="s">
        <v>784</v>
      </c>
      <c r="B960" t="s">
        <v>2442</v>
      </c>
      <c r="C960" t="s">
        <v>2443</v>
      </c>
      <c r="D960" t="s">
        <v>4020</v>
      </c>
    </row>
    <row r="961" spans="1:4" x14ac:dyDescent="0.2">
      <c r="A961" t="s">
        <v>785</v>
      </c>
      <c r="B961" t="s">
        <v>2444</v>
      </c>
      <c r="C961" t="s">
        <v>2445</v>
      </c>
      <c r="D961" t="s">
        <v>4021</v>
      </c>
    </row>
    <row r="962" spans="1:4" x14ac:dyDescent="0.2">
      <c r="A962" t="s">
        <v>786</v>
      </c>
      <c r="B962" t="s">
        <v>3252</v>
      </c>
      <c r="C962" t="s">
        <v>3253</v>
      </c>
      <c r="D962" t="s">
        <v>4022</v>
      </c>
    </row>
    <row r="963" spans="1:4" x14ac:dyDescent="0.2">
      <c r="A963" t="s">
        <v>787</v>
      </c>
      <c r="B963" t="s">
        <v>2234</v>
      </c>
      <c r="C963" t="s">
        <v>2235</v>
      </c>
      <c r="D963" t="s">
        <v>4023</v>
      </c>
    </row>
    <row r="964" spans="1:4" x14ac:dyDescent="0.2">
      <c r="A964" t="s">
        <v>3024</v>
      </c>
      <c r="B964" t="s">
        <v>2446</v>
      </c>
      <c r="C964" t="s">
        <v>2447</v>
      </c>
      <c r="D964" t="s">
        <v>4302</v>
      </c>
    </row>
    <row r="965" spans="1:4" x14ac:dyDescent="0.2">
      <c r="A965" t="s">
        <v>3027</v>
      </c>
      <c r="B965" t="s">
        <v>2448</v>
      </c>
      <c r="C965" t="s">
        <v>2449</v>
      </c>
      <c r="D965" t="s">
        <v>4303</v>
      </c>
    </row>
    <row r="966" spans="1:4" x14ac:dyDescent="0.2">
      <c r="A966" t="s">
        <v>788</v>
      </c>
      <c r="B966" t="s">
        <v>3254</v>
      </c>
      <c r="C966" t="s">
        <v>3255</v>
      </c>
      <c r="D966" t="s">
        <v>4024</v>
      </c>
    </row>
    <row r="967" spans="1:4" x14ac:dyDescent="0.2">
      <c r="A967" t="s">
        <v>789</v>
      </c>
      <c r="B967" t="s">
        <v>2450</v>
      </c>
      <c r="C967" t="s">
        <v>2451</v>
      </c>
      <c r="D967" t="s">
        <v>4025</v>
      </c>
    </row>
    <row r="968" spans="1:4" x14ac:dyDescent="0.2">
      <c r="A968" t="s">
        <v>790</v>
      </c>
      <c r="B968" t="s">
        <v>2452</v>
      </c>
      <c r="C968" t="s">
        <v>2453</v>
      </c>
      <c r="D968" t="s">
        <v>4026</v>
      </c>
    </row>
    <row r="969" spans="1:4" x14ac:dyDescent="0.2">
      <c r="A969" t="s">
        <v>791</v>
      </c>
      <c r="B969" t="s">
        <v>3256</v>
      </c>
      <c r="C969" t="s">
        <v>3257</v>
      </c>
      <c r="D969" t="s">
        <v>4027</v>
      </c>
    </row>
    <row r="970" spans="1:4" x14ac:dyDescent="0.2">
      <c r="A970" t="s">
        <v>792</v>
      </c>
      <c r="B970" t="s">
        <v>2454</v>
      </c>
      <c r="C970" t="s">
        <v>2455</v>
      </c>
      <c r="D970" t="s">
        <v>4028</v>
      </c>
    </row>
    <row r="971" spans="1:4" x14ac:dyDescent="0.2">
      <c r="A971" t="s">
        <v>793</v>
      </c>
      <c r="B971" t="s">
        <v>2236</v>
      </c>
      <c r="C971" t="s">
        <v>2237</v>
      </c>
      <c r="D971" t="s">
        <v>4029</v>
      </c>
    </row>
    <row r="972" spans="1:4" x14ac:dyDescent="0.2">
      <c r="A972" t="s">
        <v>794</v>
      </c>
      <c r="B972" t="s">
        <v>3258</v>
      </c>
      <c r="C972" t="s">
        <v>3259</v>
      </c>
      <c r="D972" t="s">
        <v>4030</v>
      </c>
    </row>
    <row r="973" spans="1:4" x14ac:dyDescent="0.2">
      <c r="A973" t="s">
        <v>795</v>
      </c>
      <c r="B973" t="s">
        <v>3261</v>
      </c>
      <c r="C973" t="s">
        <v>3262</v>
      </c>
      <c r="D973" t="s">
        <v>4031</v>
      </c>
    </row>
    <row r="974" spans="1:4" x14ac:dyDescent="0.2">
      <c r="A974" t="s">
        <v>796</v>
      </c>
      <c r="B974" t="s">
        <v>2240</v>
      </c>
      <c r="C974" t="s">
        <v>2241</v>
      </c>
      <c r="D974" t="s">
        <v>4032</v>
      </c>
    </row>
    <row r="975" spans="1:4" x14ac:dyDescent="0.2">
      <c r="A975" t="s">
        <v>797</v>
      </c>
      <c r="B975" t="s">
        <v>2457</v>
      </c>
      <c r="C975" t="s">
        <v>2458</v>
      </c>
      <c r="D975" t="s">
        <v>4033</v>
      </c>
    </row>
    <row r="976" spans="1:4" x14ac:dyDescent="0.2">
      <c r="A976" t="s">
        <v>798</v>
      </c>
      <c r="B976" t="s">
        <v>3264</v>
      </c>
      <c r="C976" t="s">
        <v>3265</v>
      </c>
      <c r="D976" t="s">
        <v>4034</v>
      </c>
    </row>
    <row r="977" spans="1:4" x14ac:dyDescent="0.2">
      <c r="A977" t="s">
        <v>799</v>
      </c>
      <c r="B977" t="s">
        <v>2244</v>
      </c>
      <c r="C977" t="s">
        <v>2245</v>
      </c>
      <c r="D977" t="s">
        <v>4035</v>
      </c>
    </row>
    <row r="978" spans="1:4" x14ac:dyDescent="0.2">
      <c r="A978" t="s">
        <v>800</v>
      </c>
      <c r="B978" t="s">
        <v>2249</v>
      </c>
      <c r="C978" t="s">
        <v>2250</v>
      </c>
      <c r="D978" t="s">
        <v>4036</v>
      </c>
    </row>
    <row r="979" spans="1:4" x14ac:dyDescent="0.2">
      <c r="A979" t="s">
        <v>801</v>
      </c>
      <c r="B979" t="s">
        <v>2254</v>
      </c>
      <c r="C979" t="s">
        <v>2255</v>
      </c>
      <c r="D979" t="s">
        <v>4037</v>
      </c>
    </row>
    <row r="980" spans="1:4" x14ac:dyDescent="0.2">
      <c r="A980" t="s">
        <v>3058</v>
      </c>
      <c r="B980" t="s">
        <v>2459</v>
      </c>
      <c r="C980" t="s">
        <v>2460</v>
      </c>
      <c r="D980" t="s">
        <v>4304</v>
      </c>
    </row>
    <row r="981" spans="1:4" x14ac:dyDescent="0.2">
      <c r="A981" t="s">
        <v>3061</v>
      </c>
      <c r="B981" t="s">
        <v>2260</v>
      </c>
      <c r="C981" t="s">
        <v>2261</v>
      </c>
      <c r="D981" t="s">
        <v>4278</v>
      </c>
    </row>
    <row r="982" spans="1:4" x14ac:dyDescent="0.2">
      <c r="A982" t="s">
        <v>802</v>
      </c>
      <c r="B982" t="s">
        <v>3266</v>
      </c>
      <c r="C982" t="s">
        <v>3267</v>
      </c>
      <c r="D982" t="s">
        <v>4038</v>
      </c>
    </row>
    <row r="983" spans="1:4" x14ac:dyDescent="0.2">
      <c r="A983" t="s">
        <v>803</v>
      </c>
      <c r="B983" t="s">
        <v>2461</v>
      </c>
      <c r="C983" t="s">
        <v>2462</v>
      </c>
      <c r="D983" t="s">
        <v>4039</v>
      </c>
    </row>
    <row r="984" spans="1:4" x14ac:dyDescent="0.2">
      <c r="A984" t="s">
        <v>804</v>
      </c>
      <c r="B984" t="s">
        <v>2463</v>
      </c>
      <c r="C984" t="s">
        <v>2464</v>
      </c>
      <c r="D984" t="s">
        <v>4040</v>
      </c>
    </row>
    <row r="985" spans="1:4" x14ac:dyDescent="0.2">
      <c r="A985" t="s">
        <v>805</v>
      </c>
      <c r="B985" t="s">
        <v>2465</v>
      </c>
      <c r="C985" t="s">
        <v>2466</v>
      </c>
      <c r="D985" t="s">
        <v>4041</v>
      </c>
    </row>
    <row r="986" spans="1:4" x14ac:dyDescent="0.2">
      <c r="A986" t="s">
        <v>806</v>
      </c>
      <c r="B986" t="s">
        <v>2467</v>
      </c>
      <c r="C986" t="s">
        <v>2468</v>
      </c>
      <c r="D986" t="s">
        <v>4042</v>
      </c>
    </row>
    <row r="987" spans="1:4" x14ac:dyDescent="0.2">
      <c r="A987" t="s">
        <v>807</v>
      </c>
      <c r="B987" t="s">
        <v>2469</v>
      </c>
      <c r="C987" t="s">
        <v>2470</v>
      </c>
      <c r="D987" t="s">
        <v>4043</v>
      </c>
    </row>
    <row r="988" spans="1:4" x14ac:dyDescent="0.2">
      <c r="A988" t="s">
        <v>808</v>
      </c>
      <c r="B988" t="s">
        <v>2265</v>
      </c>
      <c r="C988" t="s">
        <v>2266</v>
      </c>
      <c r="D988" t="s">
        <v>4044</v>
      </c>
    </row>
    <row r="989" spans="1:4" x14ac:dyDescent="0.2">
      <c r="A989" t="s">
        <v>809</v>
      </c>
      <c r="B989" t="s">
        <v>2269</v>
      </c>
      <c r="C989" t="s">
        <v>2270</v>
      </c>
      <c r="D989" t="s">
        <v>4045</v>
      </c>
    </row>
    <row r="990" spans="1:4" x14ac:dyDescent="0.2">
      <c r="A990" t="s">
        <v>3080</v>
      </c>
      <c r="B990" t="s">
        <v>2276</v>
      </c>
      <c r="C990" t="s">
        <v>2277</v>
      </c>
      <c r="D990" t="s">
        <v>4279</v>
      </c>
    </row>
    <row r="991" spans="1:4" x14ac:dyDescent="0.2">
      <c r="A991" t="s">
        <v>810</v>
      </c>
      <c r="B991" t="s">
        <v>3268</v>
      </c>
      <c r="C991" t="s">
        <v>3269</v>
      </c>
      <c r="D991" t="s">
        <v>4046</v>
      </c>
    </row>
    <row r="992" spans="1:4" x14ac:dyDescent="0.2">
      <c r="A992" t="s">
        <v>811</v>
      </c>
      <c r="B992" t="s">
        <v>2471</v>
      </c>
      <c r="C992" t="s">
        <v>2472</v>
      </c>
      <c r="D992" t="s">
        <v>4047</v>
      </c>
    </row>
    <row r="993" spans="1:4" x14ac:dyDescent="0.2">
      <c r="A993" t="s">
        <v>812</v>
      </c>
      <c r="B993" t="s">
        <v>2473</v>
      </c>
      <c r="C993" t="s">
        <v>2474</v>
      </c>
      <c r="D993" t="s">
        <v>4048</v>
      </c>
    </row>
    <row r="994" spans="1:4" x14ac:dyDescent="0.2">
      <c r="A994" t="s">
        <v>813</v>
      </c>
      <c r="B994" t="s">
        <v>2282</v>
      </c>
      <c r="C994" t="s">
        <v>2283</v>
      </c>
      <c r="D994" t="s">
        <v>4049</v>
      </c>
    </row>
    <row r="995" spans="1:4" x14ac:dyDescent="0.2">
      <c r="A995" t="s">
        <v>814</v>
      </c>
      <c r="B995" t="s">
        <v>3270</v>
      </c>
      <c r="C995" t="s">
        <v>3271</v>
      </c>
      <c r="D995" t="s">
        <v>4050</v>
      </c>
    </row>
    <row r="996" spans="1:4" x14ac:dyDescent="0.2">
      <c r="A996" t="s">
        <v>815</v>
      </c>
      <c r="B996" t="s">
        <v>2286</v>
      </c>
      <c r="C996" t="s">
        <v>2287</v>
      </c>
      <c r="D996" t="s">
        <v>4051</v>
      </c>
    </row>
    <row r="997" spans="1:4" x14ac:dyDescent="0.2">
      <c r="A997" t="s">
        <v>816</v>
      </c>
      <c r="B997" t="s">
        <v>2476</v>
      </c>
      <c r="C997" t="s">
        <v>2477</v>
      </c>
      <c r="D997" t="s">
        <v>4052</v>
      </c>
    </row>
    <row r="998" spans="1:4" x14ac:dyDescent="0.2">
      <c r="A998" t="s">
        <v>817</v>
      </c>
      <c r="B998" t="s">
        <v>3273</v>
      </c>
      <c r="C998" t="s">
        <v>3274</v>
      </c>
      <c r="D998" t="s">
        <v>4053</v>
      </c>
    </row>
    <row r="999" spans="1:4" x14ac:dyDescent="0.2">
      <c r="A999" t="s">
        <v>818</v>
      </c>
      <c r="B999" t="s">
        <v>2291</v>
      </c>
      <c r="C999" t="s">
        <v>2292</v>
      </c>
      <c r="D999" t="s">
        <v>4054</v>
      </c>
    </row>
    <row r="1000" spans="1:4" x14ac:dyDescent="0.2">
      <c r="A1000" t="s">
        <v>819</v>
      </c>
      <c r="B1000" t="s">
        <v>2479</v>
      </c>
      <c r="C1000" t="s">
        <v>2480</v>
      </c>
      <c r="D1000" t="s">
        <v>4055</v>
      </c>
    </row>
    <row r="1001" spans="1:4" x14ac:dyDescent="0.2">
      <c r="A1001" t="s">
        <v>3103</v>
      </c>
      <c r="B1001" t="s">
        <v>3276</v>
      </c>
      <c r="C1001" t="s">
        <v>3277</v>
      </c>
      <c r="D1001" t="s">
        <v>4392</v>
      </c>
    </row>
    <row r="1002" spans="1:4" x14ac:dyDescent="0.2">
      <c r="A1002" t="s">
        <v>820</v>
      </c>
      <c r="B1002" t="s">
        <v>3279</v>
      </c>
      <c r="C1002" t="s">
        <v>3280</v>
      </c>
      <c r="D1002" t="s">
        <v>4056</v>
      </c>
    </row>
    <row r="1003" spans="1:4" x14ac:dyDescent="0.2">
      <c r="A1003" t="s">
        <v>821</v>
      </c>
      <c r="B1003" t="s">
        <v>883</v>
      </c>
      <c r="C1003" t="s">
        <v>884</v>
      </c>
      <c r="D1003" t="s">
        <v>4057</v>
      </c>
    </row>
    <row r="1004" spans="1:4" x14ac:dyDescent="0.2">
      <c r="A1004" t="s">
        <v>822</v>
      </c>
      <c r="B1004" t="s">
        <v>885</v>
      </c>
      <c r="C1004" t="s">
        <v>886</v>
      </c>
      <c r="D1004" t="s">
        <v>4058</v>
      </c>
    </row>
    <row r="1005" spans="1:4" x14ac:dyDescent="0.2">
      <c r="A1005" t="s">
        <v>823</v>
      </c>
      <c r="B1005" t="s">
        <v>1061</v>
      </c>
      <c r="C1005" t="s">
        <v>1062</v>
      </c>
      <c r="D1005" t="s">
        <v>4059</v>
      </c>
    </row>
    <row r="1006" spans="1:4" x14ac:dyDescent="0.2">
      <c r="A1006" t="s">
        <v>824</v>
      </c>
      <c r="B1006" t="s">
        <v>2496</v>
      </c>
      <c r="C1006" t="s">
        <v>2497</v>
      </c>
      <c r="D1006" t="s">
        <v>4060</v>
      </c>
    </row>
    <row r="1007" spans="1:4" x14ac:dyDescent="0.2">
      <c r="A1007" t="s">
        <v>825</v>
      </c>
      <c r="B1007" t="s">
        <v>1065</v>
      </c>
      <c r="C1007" t="s">
        <v>1066</v>
      </c>
      <c r="D1007" t="s">
        <v>4061</v>
      </c>
    </row>
    <row r="1008" spans="1:4" x14ac:dyDescent="0.2">
      <c r="A1008" t="s">
        <v>826</v>
      </c>
      <c r="B1008" t="s">
        <v>2498</v>
      </c>
      <c r="C1008" t="s">
        <v>2499</v>
      </c>
      <c r="D1008" t="s">
        <v>4062</v>
      </c>
    </row>
    <row r="1009" spans="1:4" x14ac:dyDescent="0.2">
      <c r="A1009" t="s">
        <v>3120</v>
      </c>
      <c r="B1009" t="s">
        <v>1071</v>
      </c>
      <c r="C1009" t="s">
        <v>1072</v>
      </c>
      <c r="D1009" t="s">
        <v>4133</v>
      </c>
    </row>
    <row r="1010" spans="1:4" x14ac:dyDescent="0.2">
      <c r="A1010" t="s">
        <v>827</v>
      </c>
      <c r="B1010" t="s">
        <v>887</v>
      </c>
      <c r="C1010" t="s">
        <v>888</v>
      </c>
      <c r="D1010" t="s">
        <v>4063</v>
      </c>
    </row>
    <row r="1011" spans="1:4" x14ac:dyDescent="0.2">
      <c r="A1011" t="s">
        <v>3125</v>
      </c>
      <c r="B1011" t="s">
        <v>1075</v>
      </c>
      <c r="C1011" t="s">
        <v>1076</v>
      </c>
      <c r="D1011" t="s">
        <v>4134</v>
      </c>
    </row>
    <row r="1012" spans="1:4" x14ac:dyDescent="0.2">
      <c r="A1012" t="s">
        <v>828</v>
      </c>
      <c r="B1012" t="s">
        <v>889</v>
      </c>
      <c r="C1012" t="s">
        <v>890</v>
      </c>
      <c r="D1012" t="s">
        <v>4064</v>
      </c>
    </row>
    <row r="1013" spans="1:4" x14ac:dyDescent="0.2">
      <c r="A1013" t="s">
        <v>829</v>
      </c>
      <c r="B1013" t="s">
        <v>1077</v>
      </c>
      <c r="C1013" t="s">
        <v>1078</v>
      </c>
      <c r="D1013" t="s">
        <v>4065</v>
      </c>
    </row>
    <row r="1014" spans="1:4" x14ac:dyDescent="0.2">
      <c r="A1014" t="s">
        <v>830</v>
      </c>
      <c r="B1014" t="s">
        <v>2501</v>
      </c>
      <c r="C1014" t="s">
        <v>2502</v>
      </c>
      <c r="D1014" t="s">
        <v>4066</v>
      </c>
    </row>
    <row r="1015" spans="1:4" x14ac:dyDescent="0.2">
      <c r="A1015" t="s">
        <v>831</v>
      </c>
      <c r="B1015" t="s">
        <v>2503</v>
      </c>
      <c r="C1015" t="s">
        <v>2504</v>
      </c>
      <c r="D1015" t="s">
        <v>4067</v>
      </c>
    </row>
    <row r="1016" spans="1:4" x14ac:dyDescent="0.2">
      <c r="A1016" t="s">
        <v>3136</v>
      </c>
      <c r="B1016" t="s">
        <v>892</v>
      </c>
      <c r="C1016" t="s">
        <v>893</v>
      </c>
      <c r="D1016" t="s">
        <v>4113</v>
      </c>
    </row>
    <row r="1017" spans="1:4" x14ac:dyDescent="0.2">
      <c r="A1017" t="s">
        <v>832</v>
      </c>
      <c r="B1017" t="s">
        <v>1079</v>
      </c>
      <c r="C1017" t="s">
        <v>1080</v>
      </c>
      <c r="D1017" t="s">
        <v>4068</v>
      </c>
    </row>
    <row r="1018" spans="1:4" x14ac:dyDescent="0.2">
      <c r="A1018" t="s">
        <v>833</v>
      </c>
      <c r="B1018" t="s">
        <v>1081</v>
      </c>
      <c r="C1018" t="s">
        <v>1082</v>
      </c>
      <c r="D1018" t="s">
        <v>4069</v>
      </c>
    </row>
    <row r="1019" spans="1:4" x14ac:dyDescent="0.2">
      <c r="A1019" t="s">
        <v>834</v>
      </c>
      <c r="B1019" t="s">
        <v>1083</v>
      </c>
      <c r="C1019" t="s">
        <v>1084</v>
      </c>
      <c r="D1019" t="s">
        <v>4070</v>
      </c>
    </row>
    <row r="1020" spans="1:4" x14ac:dyDescent="0.2">
      <c r="A1020" t="s">
        <v>3145</v>
      </c>
      <c r="B1020" t="s">
        <v>894</v>
      </c>
      <c r="C1020" t="s">
        <v>895</v>
      </c>
      <c r="D1020" t="s">
        <v>4114</v>
      </c>
    </row>
    <row r="1021" spans="1:4" x14ac:dyDescent="0.2">
      <c r="A1021" t="s">
        <v>3148</v>
      </c>
      <c r="B1021" t="s">
        <v>2505</v>
      </c>
      <c r="C1021" t="s">
        <v>2506</v>
      </c>
      <c r="D1021" t="s">
        <v>4307</v>
      </c>
    </row>
    <row r="1022" spans="1:4" x14ac:dyDescent="0.2">
      <c r="A1022" t="s">
        <v>835</v>
      </c>
      <c r="B1022" t="s">
        <v>2507</v>
      </c>
      <c r="C1022" t="s">
        <v>2508</v>
      </c>
      <c r="D1022" t="s">
        <v>4071</v>
      </c>
    </row>
    <row r="1023" spans="1:4" x14ac:dyDescent="0.2">
      <c r="A1023" t="s">
        <v>3153</v>
      </c>
      <c r="B1023" t="s">
        <v>896</v>
      </c>
      <c r="C1023" t="s">
        <v>897</v>
      </c>
      <c r="D1023" t="s">
        <v>4115</v>
      </c>
    </row>
    <row r="1024" spans="1:4" x14ac:dyDescent="0.2">
      <c r="A1024" t="s">
        <v>836</v>
      </c>
      <c r="B1024" t="s">
        <v>2510</v>
      </c>
      <c r="C1024" t="s">
        <v>2511</v>
      </c>
      <c r="D1024" t="s">
        <v>4072</v>
      </c>
    </row>
    <row r="1025" spans="1:4" x14ac:dyDescent="0.2">
      <c r="A1025" t="s">
        <v>837</v>
      </c>
      <c r="B1025" t="s">
        <v>1085</v>
      </c>
      <c r="C1025" t="s">
        <v>1086</v>
      </c>
      <c r="D1025" t="s">
        <v>4135</v>
      </c>
    </row>
    <row r="1026" spans="1:4" x14ac:dyDescent="0.2">
      <c r="A1026" t="s">
        <v>3160</v>
      </c>
      <c r="B1026" t="s">
        <v>2512</v>
      </c>
      <c r="C1026" t="s">
        <v>2513</v>
      </c>
      <c r="D1026" t="s">
        <v>4308</v>
      </c>
    </row>
    <row r="1027" spans="1:4" x14ac:dyDescent="0.2">
      <c r="A1027" t="s">
        <v>838</v>
      </c>
      <c r="B1027" t="s">
        <v>898</v>
      </c>
      <c r="C1027" t="s">
        <v>899</v>
      </c>
      <c r="D1027" t="s">
        <v>4074</v>
      </c>
    </row>
    <row r="1028" spans="1:4" x14ac:dyDescent="0.2">
      <c r="A1028" t="s">
        <v>839</v>
      </c>
      <c r="B1028" t="s">
        <v>900</v>
      </c>
      <c r="C1028" t="s">
        <v>901</v>
      </c>
      <c r="D1028" t="s">
        <v>4075</v>
      </c>
    </row>
    <row r="1029" spans="1:4" x14ac:dyDescent="0.2">
      <c r="A1029" t="s">
        <v>3167</v>
      </c>
      <c r="B1029" t="s">
        <v>1087</v>
      </c>
      <c r="C1029" t="s">
        <v>1088</v>
      </c>
      <c r="D1029" t="s">
        <v>4136</v>
      </c>
    </row>
    <row r="1030" spans="1:4" x14ac:dyDescent="0.2">
      <c r="A1030" t="s">
        <v>840</v>
      </c>
      <c r="B1030" t="s">
        <v>902</v>
      </c>
      <c r="C1030" t="s">
        <v>903</v>
      </c>
      <c r="D1030" t="s">
        <v>4076</v>
      </c>
    </row>
    <row r="1031" spans="1:4" x14ac:dyDescent="0.2">
      <c r="A1031" t="s">
        <v>841</v>
      </c>
      <c r="B1031" t="s">
        <v>2514</v>
      </c>
      <c r="C1031" t="s">
        <v>2515</v>
      </c>
      <c r="D1031" t="s">
        <v>4077</v>
      </c>
    </row>
    <row r="1032" spans="1:4" x14ac:dyDescent="0.2">
      <c r="A1032" t="s">
        <v>3174</v>
      </c>
      <c r="B1032" t="s">
        <v>1089</v>
      </c>
      <c r="C1032" t="s">
        <v>1090</v>
      </c>
      <c r="D1032" t="s">
        <v>4137</v>
      </c>
    </row>
    <row r="1033" spans="1:4" x14ac:dyDescent="0.2">
      <c r="A1033" t="s">
        <v>3177</v>
      </c>
      <c r="B1033" t="s">
        <v>1094</v>
      </c>
      <c r="C1033" t="s">
        <v>1095</v>
      </c>
      <c r="D1033" t="s">
        <v>4138</v>
      </c>
    </row>
    <row r="1034" spans="1:4" x14ac:dyDescent="0.2">
      <c r="A1034" t="s">
        <v>842</v>
      </c>
      <c r="B1034" t="s">
        <v>2516</v>
      </c>
      <c r="C1034" t="s">
        <v>2517</v>
      </c>
      <c r="D1034" t="s">
        <v>4078</v>
      </c>
    </row>
    <row r="1035" spans="1:4" x14ac:dyDescent="0.2">
      <c r="A1035" t="s">
        <v>843</v>
      </c>
      <c r="B1035" t="s">
        <v>1096</v>
      </c>
      <c r="C1035" t="s">
        <v>1097</v>
      </c>
      <c r="D1035" t="s">
        <v>4079</v>
      </c>
    </row>
    <row r="1036" spans="1:4" x14ac:dyDescent="0.2">
      <c r="A1036" t="s">
        <v>3186</v>
      </c>
      <c r="B1036" t="s">
        <v>2518</v>
      </c>
      <c r="C1036" t="s">
        <v>2519</v>
      </c>
      <c r="D1036" t="s">
        <v>4309</v>
      </c>
    </row>
    <row r="1037" spans="1:4" x14ac:dyDescent="0.2">
      <c r="A1037" t="s">
        <v>844</v>
      </c>
      <c r="B1037" t="s">
        <v>1100</v>
      </c>
      <c r="C1037" t="s">
        <v>1101</v>
      </c>
      <c r="D1037" t="s">
        <v>4139</v>
      </c>
    </row>
    <row r="1038" spans="1:4" x14ac:dyDescent="0.2">
      <c r="A1038" t="s">
        <v>3189</v>
      </c>
      <c r="B1038" t="s">
        <v>2520</v>
      </c>
      <c r="C1038" t="s">
        <v>2521</v>
      </c>
      <c r="D1038" t="s">
        <v>4310</v>
      </c>
    </row>
    <row r="1039" spans="1:4" x14ac:dyDescent="0.2">
      <c r="A1039" t="s">
        <v>3192</v>
      </c>
      <c r="B1039" t="s">
        <v>2522</v>
      </c>
      <c r="C1039" t="s">
        <v>2523</v>
      </c>
      <c r="D1039" t="s">
        <v>4311</v>
      </c>
    </row>
    <row r="1040" spans="1:4" x14ac:dyDescent="0.2">
      <c r="A1040" t="s">
        <v>845</v>
      </c>
      <c r="B1040" t="s">
        <v>904</v>
      </c>
      <c r="C1040" t="s">
        <v>905</v>
      </c>
      <c r="D1040" t="s">
        <v>4081</v>
      </c>
    </row>
    <row r="1041" spans="1:4" x14ac:dyDescent="0.2">
      <c r="A1041" t="s">
        <v>846</v>
      </c>
      <c r="B1041" t="s">
        <v>1104</v>
      </c>
      <c r="C1041" t="s">
        <v>1105</v>
      </c>
      <c r="D1041" t="s">
        <v>4082</v>
      </c>
    </row>
    <row r="1042" spans="1:4" x14ac:dyDescent="0.2">
      <c r="A1042" t="s">
        <v>847</v>
      </c>
      <c r="B1042" t="s">
        <v>2524</v>
      </c>
      <c r="C1042" t="s">
        <v>2525</v>
      </c>
      <c r="D1042" t="s">
        <v>4083</v>
      </c>
    </row>
    <row r="1043" spans="1:4" x14ac:dyDescent="0.2">
      <c r="A1043" t="s">
        <v>848</v>
      </c>
      <c r="B1043" t="s">
        <v>906</v>
      </c>
      <c r="C1043" t="s">
        <v>907</v>
      </c>
      <c r="D1043" t="s">
        <v>4084</v>
      </c>
    </row>
    <row r="1044" spans="1:4" x14ac:dyDescent="0.2">
      <c r="A1044" t="s">
        <v>849</v>
      </c>
      <c r="B1044" t="s">
        <v>2526</v>
      </c>
      <c r="C1044" t="s">
        <v>2527</v>
      </c>
      <c r="D1044" t="s">
        <v>4085</v>
      </c>
    </row>
    <row r="1045" spans="1:4" x14ac:dyDescent="0.2">
      <c r="A1045" t="s">
        <v>850</v>
      </c>
      <c r="B1045" t="s">
        <v>908</v>
      </c>
      <c r="C1045" t="s">
        <v>909</v>
      </c>
      <c r="D1045" t="s">
        <v>4086</v>
      </c>
    </row>
    <row r="1046" spans="1:4" x14ac:dyDescent="0.2">
      <c r="A1046" t="s">
        <v>851</v>
      </c>
      <c r="B1046" t="s">
        <v>2528</v>
      </c>
      <c r="C1046" t="s">
        <v>2529</v>
      </c>
      <c r="D1046" t="s">
        <v>4087</v>
      </c>
    </row>
    <row r="1047" spans="1:4" x14ac:dyDescent="0.2">
      <c r="A1047" t="s">
        <v>852</v>
      </c>
      <c r="B1047" t="s">
        <v>910</v>
      </c>
      <c r="C1047" t="s">
        <v>911</v>
      </c>
      <c r="D1047" t="s">
        <v>4116</v>
      </c>
    </row>
    <row r="1048" spans="1:4" x14ac:dyDescent="0.2">
      <c r="A1048" t="s">
        <v>853</v>
      </c>
      <c r="B1048" t="s">
        <v>912</v>
      </c>
      <c r="C1048" t="s">
        <v>913</v>
      </c>
      <c r="D1048" t="s">
        <v>4117</v>
      </c>
    </row>
    <row r="1049" spans="1:4" x14ac:dyDescent="0.2">
      <c r="A1049" t="s">
        <v>854</v>
      </c>
      <c r="B1049" t="s">
        <v>2530</v>
      </c>
      <c r="C1049" t="s">
        <v>2531</v>
      </c>
      <c r="D1049" t="s">
        <v>4312</v>
      </c>
    </row>
    <row r="1050" spans="1:4" x14ac:dyDescent="0.2">
      <c r="A1050" t="s">
        <v>855</v>
      </c>
      <c r="B1050" t="s">
        <v>914</v>
      </c>
      <c r="C1050" t="s">
        <v>915</v>
      </c>
      <c r="D1050" t="s">
        <v>4091</v>
      </c>
    </row>
    <row r="1051" spans="1:4" x14ac:dyDescent="0.2">
      <c r="A1051" t="s">
        <v>856</v>
      </c>
      <c r="B1051" t="s">
        <v>2532</v>
      </c>
      <c r="C1051" t="s">
        <v>2533</v>
      </c>
      <c r="D1051" t="s">
        <v>4092</v>
      </c>
    </row>
    <row r="1052" spans="1:4" x14ac:dyDescent="0.2">
      <c r="A1052" t="s">
        <v>3221</v>
      </c>
      <c r="B1052" t="s">
        <v>1113</v>
      </c>
      <c r="C1052" t="s">
        <v>1114</v>
      </c>
      <c r="D1052" t="s">
        <v>4093</v>
      </c>
    </row>
    <row r="1053" spans="1:4" x14ac:dyDescent="0.2">
      <c r="A1053" t="s">
        <v>857</v>
      </c>
      <c r="B1053" t="s">
        <v>916</v>
      </c>
      <c r="C1053" t="s">
        <v>917</v>
      </c>
      <c r="D1053" t="s">
        <v>4094</v>
      </c>
    </row>
    <row r="1054" spans="1:4" x14ac:dyDescent="0.2">
      <c r="A1054" t="s">
        <v>3224</v>
      </c>
      <c r="B1054" t="s">
        <v>918</v>
      </c>
      <c r="C1054" t="s">
        <v>919</v>
      </c>
      <c r="D1054" t="s">
        <v>4118</v>
      </c>
    </row>
    <row r="1055" spans="1:4" x14ac:dyDescent="0.2">
      <c r="A1055" t="s">
        <v>858</v>
      </c>
      <c r="B1055" t="s">
        <v>920</v>
      </c>
      <c r="C1055" t="s">
        <v>921</v>
      </c>
      <c r="D1055" t="s">
        <v>4095</v>
      </c>
    </row>
    <row r="1056" spans="1:4" x14ac:dyDescent="0.2">
      <c r="A1056" t="s">
        <v>859</v>
      </c>
      <c r="B1056" t="s">
        <v>1118</v>
      </c>
      <c r="C1056" t="s">
        <v>1119</v>
      </c>
      <c r="D1056" t="s">
        <v>4096</v>
      </c>
    </row>
    <row r="1057" spans="1:4" x14ac:dyDescent="0.2">
      <c r="A1057" t="s">
        <v>860</v>
      </c>
      <c r="B1057" t="s">
        <v>1122</v>
      </c>
      <c r="C1057" t="s">
        <v>1123</v>
      </c>
      <c r="D1057" t="s">
        <v>4097</v>
      </c>
    </row>
    <row r="1058" spans="1:4" x14ac:dyDescent="0.2">
      <c r="A1058" t="s">
        <v>3233</v>
      </c>
      <c r="B1058" t="s">
        <v>1126</v>
      </c>
      <c r="C1058" t="s">
        <v>1127</v>
      </c>
      <c r="D1058" t="s">
        <v>4145</v>
      </c>
    </row>
    <row r="1059" spans="1:4" x14ac:dyDescent="0.2">
      <c r="A1059" t="s">
        <v>861</v>
      </c>
      <c r="B1059" t="s">
        <v>1130</v>
      </c>
      <c r="C1059" t="s">
        <v>1131</v>
      </c>
      <c r="D1059" t="s">
        <v>4098</v>
      </c>
    </row>
    <row r="1060" spans="1:4" x14ac:dyDescent="0.2">
      <c r="A1060" t="s">
        <v>862</v>
      </c>
      <c r="B1060" t="s">
        <v>922</v>
      </c>
      <c r="C1060" t="s">
        <v>923</v>
      </c>
      <c r="D1060" t="s">
        <v>4099</v>
      </c>
    </row>
    <row r="1061" spans="1:4" x14ac:dyDescent="0.2">
      <c r="A1061" t="s">
        <v>863</v>
      </c>
      <c r="B1061" t="s">
        <v>1136</v>
      </c>
      <c r="C1061" t="s">
        <v>1137</v>
      </c>
      <c r="D1061" t="s">
        <v>4100</v>
      </c>
    </row>
    <row r="1062" spans="1:4" x14ac:dyDescent="0.2">
      <c r="A1062" t="s">
        <v>3242</v>
      </c>
      <c r="B1062" t="s">
        <v>2534</v>
      </c>
      <c r="C1062" t="s">
        <v>2535</v>
      </c>
      <c r="D1062" t="s">
        <v>4313</v>
      </c>
    </row>
    <row r="1063" spans="1:4" x14ac:dyDescent="0.2">
      <c r="A1063" t="s">
        <v>864</v>
      </c>
      <c r="B1063" t="s">
        <v>2536</v>
      </c>
      <c r="C1063" t="s">
        <v>2537</v>
      </c>
      <c r="D1063" t="s">
        <v>4101</v>
      </c>
    </row>
    <row r="1064" spans="1:4" x14ac:dyDescent="0.2">
      <c r="A1064" t="s">
        <v>865</v>
      </c>
      <c r="B1064" t="s">
        <v>1148</v>
      </c>
      <c r="C1064" t="s">
        <v>1149</v>
      </c>
      <c r="D1064" t="s">
        <v>4102</v>
      </c>
    </row>
    <row r="1065" spans="1:4" x14ac:dyDescent="0.2">
      <c r="A1065" t="s">
        <v>3249</v>
      </c>
      <c r="B1065" t="s">
        <v>924</v>
      </c>
      <c r="C1065" t="s">
        <v>925</v>
      </c>
      <c r="D1065" t="s">
        <v>4119</v>
      </c>
    </row>
    <row r="1066" spans="1:4" x14ac:dyDescent="0.2">
      <c r="A1066" t="s">
        <v>866</v>
      </c>
      <c r="B1066" t="s">
        <v>2538</v>
      </c>
      <c r="C1066" t="s">
        <v>2539</v>
      </c>
      <c r="D1066" t="s">
        <v>4103</v>
      </c>
    </row>
    <row r="1067" spans="1:4" x14ac:dyDescent="0.2">
      <c r="A1067" t="s">
        <v>867</v>
      </c>
      <c r="B1067" t="s">
        <v>2540</v>
      </c>
      <c r="C1067" t="s">
        <v>2541</v>
      </c>
      <c r="D1067" t="s">
        <v>4104</v>
      </c>
    </row>
    <row r="1068" spans="1:4" x14ac:dyDescent="0.2">
      <c r="A1068" t="s">
        <v>868</v>
      </c>
      <c r="B1068" t="s">
        <v>1154</v>
      </c>
      <c r="C1068" t="s">
        <v>1155</v>
      </c>
      <c r="D1068" t="s">
        <v>4105</v>
      </c>
    </row>
    <row r="1069" spans="1:4" x14ac:dyDescent="0.2">
      <c r="A1069" t="s">
        <v>869</v>
      </c>
      <c r="B1069" t="s">
        <v>2542</v>
      </c>
      <c r="C1069" t="s">
        <v>2543</v>
      </c>
      <c r="D1069" t="s">
        <v>4106</v>
      </c>
    </row>
    <row r="1070" spans="1:4" x14ac:dyDescent="0.2">
      <c r="A1070" t="s">
        <v>3260</v>
      </c>
      <c r="B1070" t="s">
        <v>2544</v>
      </c>
      <c r="C1070" t="s">
        <v>2545</v>
      </c>
      <c r="D1070" t="s">
        <v>4314</v>
      </c>
    </row>
    <row r="1071" spans="1:4" x14ac:dyDescent="0.2">
      <c r="A1071" t="s">
        <v>3263</v>
      </c>
      <c r="B1071" t="s">
        <v>926</v>
      </c>
      <c r="C1071" t="s">
        <v>927</v>
      </c>
      <c r="D1071" t="s">
        <v>4120</v>
      </c>
    </row>
    <row r="1072" spans="1:4" x14ac:dyDescent="0.2">
      <c r="A1072" t="s">
        <v>870</v>
      </c>
      <c r="B1072" t="s">
        <v>1158</v>
      </c>
      <c r="C1072" t="s">
        <v>1159</v>
      </c>
      <c r="D1072" t="s">
        <v>4107</v>
      </c>
    </row>
    <row r="1073" spans="1:4" x14ac:dyDescent="0.2">
      <c r="A1073" t="s">
        <v>871</v>
      </c>
      <c r="B1073" t="s">
        <v>928</v>
      </c>
      <c r="C1073" t="s">
        <v>929</v>
      </c>
      <c r="D1073" t="s">
        <v>4108</v>
      </c>
    </row>
    <row r="1074" spans="1:4" x14ac:dyDescent="0.2">
      <c r="A1074" t="s">
        <v>872</v>
      </c>
      <c r="B1074" t="s">
        <v>2546</v>
      </c>
      <c r="C1074" t="s">
        <v>2547</v>
      </c>
      <c r="D1074" t="s">
        <v>4109</v>
      </c>
    </row>
    <row r="1075" spans="1:4" x14ac:dyDescent="0.2">
      <c r="A1075" t="s">
        <v>3272</v>
      </c>
      <c r="B1075" t="s">
        <v>2548</v>
      </c>
      <c r="C1075" t="s">
        <v>2549</v>
      </c>
      <c r="D1075" t="s">
        <v>4315</v>
      </c>
    </row>
    <row r="1076" spans="1:4" x14ac:dyDescent="0.2">
      <c r="A1076" t="s">
        <v>3275</v>
      </c>
      <c r="B1076" t="s">
        <v>1162</v>
      </c>
      <c r="C1076" t="s">
        <v>1163</v>
      </c>
      <c r="D1076" t="s">
        <v>4148</v>
      </c>
    </row>
    <row r="1077" spans="1:4" x14ac:dyDescent="0.2">
      <c r="A1077" t="s">
        <v>3278</v>
      </c>
      <c r="B1077" t="s">
        <v>930</v>
      </c>
      <c r="C1077" t="s">
        <v>931</v>
      </c>
      <c r="D1077" t="s">
        <v>4121</v>
      </c>
    </row>
  </sheetData>
  <sortState xmlns:xlrd2="http://schemas.microsoft.com/office/spreadsheetml/2017/richdata2" ref="A2:D1077">
    <sortCondition ref="A2:A10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F60B-52B1-42FF-9C31-5D701AF6E753}">
  <dimension ref="A1:N826"/>
  <sheetViews>
    <sheetView topLeftCell="C1" workbookViewId="0">
      <selection activeCell="A103" sqref="A103"/>
    </sheetView>
  </sheetViews>
  <sheetFormatPr baseColWidth="10" defaultColWidth="8.83203125" defaultRowHeight="15" x14ac:dyDescent="0.2"/>
  <cols>
    <col min="1" max="1" width="23.6640625" customWidth="1"/>
    <col min="2" max="2" width="8" bestFit="1" customWidth="1"/>
    <col min="4" max="4" width="16.83203125" bestFit="1" customWidth="1"/>
    <col min="5" max="5" width="6.83203125" bestFit="1" customWidth="1"/>
    <col min="6" max="6" width="17.6640625" bestFit="1" customWidth="1"/>
    <col min="7" max="7" width="44.83203125" bestFit="1" customWidth="1"/>
    <col min="8" max="8" width="12.5" customWidth="1"/>
    <col min="9" max="10" width="11.6640625" customWidth="1"/>
    <col min="12" max="12" width="12" customWidth="1"/>
    <col min="13" max="13" width="30.83203125" customWidth="1"/>
  </cols>
  <sheetData>
    <row r="1" spans="1:14" s="1" customFormat="1" x14ac:dyDescent="0.2">
      <c r="A1" s="1" t="s">
        <v>3284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t="s">
        <v>3285</v>
      </c>
      <c r="B2">
        <v>100033</v>
      </c>
      <c r="C2">
        <v>2019</v>
      </c>
      <c r="D2" t="s">
        <v>12</v>
      </c>
      <c r="E2" t="s">
        <v>13</v>
      </c>
      <c r="F2">
        <v>0</v>
      </c>
      <c r="G2">
        <v>0</v>
      </c>
      <c r="H2">
        <v>68.814764183185204</v>
      </c>
      <c r="I2" t="b">
        <v>1</v>
      </c>
      <c r="J2">
        <v>0</v>
      </c>
      <c r="K2" t="s">
        <v>14</v>
      </c>
      <c r="L2">
        <v>0</v>
      </c>
      <c r="M2">
        <v>0</v>
      </c>
      <c r="N2">
        <v>1</v>
      </c>
    </row>
    <row r="3" spans="1:14" x14ac:dyDescent="0.2">
      <c r="A3" t="s">
        <v>3286</v>
      </c>
      <c r="B3">
        <v>100080</v>
      </c>
      <c r="C3">
        <v>2019</v>
      </c>
      <c r="D3" t="s">
        <v>15</v>
      </c>
      <c r="E3" t="s">
        <v>13</v>
      </c>
      <c r="F3">
        <v>0</v>
      </c>
      <c r="G3">
        <v>2</v>
      </c>
      <c r="H3">
        <v>59.1196172248804</v>
      </c>
      <c r="I3" t="b">
        <v>0</v>
      </c>
      <c r="J3">
        <v>0</v>
      </c>
      <c r="K3" t="s">
        <v>14</v>
      </c>
      <c r="L3">
        <v>0</v>
      </c>
      <c r="M3">
        <v>0</v>
      </c>
      <c r="N3">
        <v>0</v>
      </c>
    </row>
    <row r="4" spans="1:14" x14ac:dyDescent="0.2">
      <c r="A4" t="s">
        <v>3287</v>
      </c>
      <c r="B4">
        <v>100223</v>
      </c>
      <c r="C4">
        <v>2019</v>
      </c>
      <c r="D4" t="s">
        <v>12</v>
      </c>
      <c r="E4" t="s">
        <v>16</v>
      </c>
      <c r="F4">
        <v>1</v>
      </c>
      <c r="G4">
        <v>6</v>
      </c>
      <c r="H4">
        <v>65.487354750512694</v>
      </c>
      <c r="I4" t="b">
        <v>0</v>
      </c>
      <c r="J4">
        <v>0</v>
      </c>
      <c r="K4" t="s">
        <v>14</v>
      </c>
      <c r="L4">
        <v>0</v>
      </c>
      <c r="M4">
        <v>0</v>
      </c>
      <c r="N4">
        <v>1</v>
      </c>
    </row>
    <row r="5" spans="1:14" x14ac:dyDescent="0.2">
      <c r="A5" t="s">
        <v>3288</v>
      </c>
      <c r="B5">
        <v>100676</v>
      </c>
      <c r="C5">
        <v>2019</v>
      </c>
      <c r="D5" t="s">
        <v>17</v>
      </c>
      <c r="E5" t="s">
        <v>13</v>
      </c>
      <c r="F5">
        <v>1</v>
      </c>
      <c r="G5">
        <v>2</v>
      </c>
      <c r="H5">
        <v>42.805194805194802</v>
      </c>
      <c r="I5" t="b">
        <v>0</v>
      </c>
      <c r="J5">
        <v>0</v>
      </c>
      <c r="K5" t="s">
        <v>14</v>
      </c>
      <c r="L5">
        <v>0</v>
      </c>
      <c r="M5">
        <v>0</v>
      </c>
      <c r="N5">
        <v>0</v>
      </c>
    </row>
    <row r="6" spans="1:14" x14ac:dyDescent="0.2">
      <c r="A6" t="s">
        <v>3289</v>
      </c>
      <c r="B6">
        <v>100738</v>
      </c>
      <c r="C6">
        <v>2019</v>
      </c>
      <c r="D6" t="s">
        <v>12</v>
      </c>
      <c r="E6" t="s">
        <v>13</v>
      </c>
      <c r="F6">
        <v>0</v>
      </c>
      <c r="G6">
        <v>0</v>
      </c>
      <c r="H6">
        <v>52.235133287764903</v>
      </c>
      <c r="I6" t="b">
        <v>1</v>
      </c>
      <c r="J6">
        <v>0</v>
      </c>
      <c r="K6" t="s">
        <v>14</v>
      </c>
      <c r="L6">
        <v>0</v>
      </c>
      <c r="M6">
        <v>0</v>
      </c>
      <c r="N6">
        <v>1</v>
      </c>
    </row>
    <row r="7" spans="1:14" x14ac:dyDescent="0.2">
      <c r="A7" t="s">
        <v>3290</v>
      </c>
      <c r="B7">
        <v>100888</v>
      </c>
      <c r="C7">
        <v>2020</v>
      </c>
      <c r="D7" t="s">
        <v>12</v>
      </c>
      <c r="E7" t="s">
        <v>13</v>
      </c>
      <c r="F7">
        <v>0</v>
      </c>
      <c r="G7">
        <v>1</v>
      </c>
      <c r="H7">
        <v>77.913875598086094</v>
      </c>
      <c r="I7" t="b">
        <v>1</v>
      </c>
      <c r="J7">
        <v>0</v>
      </c>
      <c r="K7" t="s">
        <v>14</v>
      </c>
      <c r="L7">
        <v>1</v>
      </c>
      <c r="M7">
        <v>0</v>
      </c>
      <c r="N7">
        <v>0</v>
      </c>
    </row>
    <row r="8" spans="1:14" x14ac:dyDescent="0.2">
      <c r="A8" t="s">
        <v>3291</v>
      </c>
      <c r="B8">
        <v>100914</v>
      </c>
      <c r="C8">
        <v>2020</v>
      </c>
      <c r="D8" t="s">
        <v>12</v>
      </c>
      <c r="E8" t="s">
        <v>16</v>
      </c>
      <c r="F8">
        <v>0</v>
      </c>
      <c r="G8">
        <v>9</v>
      </c>
      <c r="H8">
        <v>85.069036226931004</v>
      </c>
      <c r="I8" t="b">
        <v>0</v>
      </c>
      <c r="J8" t="s">
        <v>18</v>
      </c>
      <c r="K8" t="s">
        <v>14</v>
      </c>
      <c r="L8">
        <v>0</v>
      </c>
      <c r="M8">
        <v>0</v>
      </c>
      <c r="N8">
        <v>1</v>
      </c>
    </row>
    <row r="9" spans="1:14" x14ac:dyDescent="0.2">
      <c r="A9" t="s">
        <v>3292</v>
      </c>
      <c r="B9">
        <v>100977</v>
      </c>
      <c r="C9">
        <v>2019</v>
      </c>
      <c r="D9" t="s">
        <v>12</v>
      </c>
      <c r="E9" t="s">
        <v>13</v>
      </c>
      <c r="F9">
        <v>0</v>
      </c>
      <c r="G9">
        <v>1</v>
      </c>
      <c r="H9">
        <v>83.8004101161996</v>
      </c>
      <c r="I9" t="b">
        <v>1</v>
      </c>
      <c r="J9" t="s">
        <v>18</v>
      </c>
      <c r="K9" t="s">
        <v>14</v>
      </c>
      <c r="L9">
        <v>0</v>
      </c>
      <c r="M9">
        <v>0</v>
      </c>
      <c r="N9" t="s">
        <v>18</v>
      </c>
    </row>
    <row r="10" spans="1:14" x14ac:dyDescent="0.2">
      <c r="A10" t="s">
        <v>3293</v>
      </c>
      <c r="B10">
        <v>101099</v>
      </c>
      <c r="C10">
        <v>2019</v>
      </c>
      <c r="D10" t="s">
        <v>12</v>
      </c>
      <c r="E10" t="s">
        <v>13</v>
      </c>
      <c r="F10">
        <v>0</v>
      </c>
      <c r="G10">
        <v>1</v>
      </c>
      <c r="H10">
        <v>69.736158578263797</v>
      </c>
      <c r="I10" t="b">
        <v>1</v>
      </c>
      <c r="J10">
        <v>0</v>
      </c>
      <c r="K10" t="s">
        <v>14</v>
      </c>
      <c r="L10">
        <v>0</v>
      </c>
      <c r="M10">
        <v>0</v>
      </c>
      <c r="N10">
        <v>1</v>
      </c>
    </row>
    <row r="11" spans="1:14" x14ac:dyDescent="0.2">
      <c r="A11" t="s">
        <v>3294</v>
      </c>
      <c r="B11">
        <v>102689</v>
      </c>
      <c r="C11">
        <v>2019</v>
      </c>
      <c r="D11" t="s">
        <v>12</v>
      </c>
      <c r="E11" t="s">
        <v>13</v>
      </c>
      <c r="F11">
        <v>0</v>
      </c>
      <c r="G11">
        <v>5</v>
      </c>
      <c r="H11">
        <v>48.639781271360199</v>
      </c>
      <c r="I11" t="b">
        <v>0</v>
      </c>
      <c r="J11">
        <v>0</v>
      </c>
      <c r="K11" t="s">
        <v>14</v>
      </c>
      <c r="L11">
        <v>0</v>
      </c>
      <c r="M11">
        <v>0</v>
      </c>
      <c r="N11">
        <v>0</v>
      </c>
    </row>
    <row r="12" spans="1:14" x14ac:dyDescent="0.2">
      <c r="A12" t="s">
        <v>3295</v>
      </c>
      <c r="B12">
        <v>102832</v>
      </c>
      <c r="C12">
        <v>2019</v>
      </c>
      <c r="D12" t="s">
        <v>12</v>
      </c>
      <c r="E12" t="s">
        <v>16</v>
      </c>
      <c r="F12">
        <v>1</v>
      </c>
      <c r="G12">
        <v>3</v>
      </c>
      <c r="H12">
        <v>56.434723171565302</v>
      </c>
      <c r="I12" t="b">
        <v>1</v>
      </c>
      <c r="J12">
        <v>0</v>
      </c>
      <c r="K12" t="s">
        <v>14</v>
      </c>
      <c r="L12">
        <v>0</v>
      </c>
      <c r="M12">
        <v>0</v>
      </c>
      <c r="N12">
        <v>0</v>
      </c>
    </row>
    <row r="13" spans="1:14" x14ac:dyDescent="0.2">
      <c r="A13" t="s">
        <v>3296</v>
      </c>
      <c r="B13">
        <v>102916</v>
      </c>
      <c r="C13">
        <v>2019</v>
      </c>
      <c r="D13" t="s">
        <v>19</v>
      </c>
      <c r="E13" t="s">
        <v>13</v>
      </c>
      <c r="F13" t="s">
        <v>18</v>
      </c>
      <c r="G13">
        <v>2</v>
      </c>
      <c r="H13">
        <v>76.705399863294602</v>
      </c>
      <c r="I13" t="b">
        <v>0</v>
      </c>
      <c r="J13">
        <v>0</v>
      </c>
      <c r="K13" t="s">
        <v>14</v>
      </c>
      <c r="L13">
        <v>0</v>
      </c>
      <c r="M13">
        <v>0</v>
      </c>
      <c r="N13" t="s">
        <v>18</v>
      </c>
    </row>
    <row r="14" spans="1:14" x14ac:dyDescent="0.2">
      <c r="A14" t="s">
        <v>3297</v>
      </c>
      <c r="B14">
        <v>103140</v>
      </c>
      <c r="C14">
        <v>2020</v>
      </c>
      <c r="D14" t="s">
        <v>12</v>
      </c>
      <c r="E14" t="s">
        <v>13</v>
      </c>
      <c r="F14">
        <v>0</v>
      </c>
      <c r="G14">
        <v>0</v>
      </c>
      <c r="H14">
        <v>91.311004784689004</v>
      </c>
      <c r="I14" t="b">
        <v>1</v>
      </c>
      <c r="J14">
        <v>0</v>
      </c>
      <c r="K14" t="s">
        <v>14</v>
      </c>
      <c r="L14">
        <v>0</v>
      </c>
      <c r="M14">
        <v>0</v>
      </c>
      <c r="N14">
        <v>0</v>
      </c>
    </row>
    <row r="15" spans="1:14" x14ac:dyDescent="0.2">
      <c r="A15" t="s">
        <v>3298</v>
      </c>
      <c r="B15">
        <v>103514</v>
      </c>
      <c r="C15">
        <v>2020</v>
      </c>
      <c r="D15" t="s">
        <v>20</v>
      </c>
      <c r="E15" t="s">
        <v>16</v>
      </c>
      <c r="F15">
        <v>0</v>
      </c>
      <c r="G15">
        <v>0</v>
      </c>
      <c r="H15">
        <v>83.450444292549605</v>
      </c>
      <c r="I15" t="b">
        <v>1</v>
      </c>
      <c r="J15">
        <v>1</v>
      </c>
      <c r="K15" t="s">
        <v>14</v>
      </c>
      <c r="L15">
        <v>0</v>
      </c>
      <c r="M15">
        <v>1</v>
      </c>
      <c r="N15">
        <v>0</v>
      </c>
    </row>
    <row r="16" spans="1:14" x14ac:dyDescent="0.2">
      <c r="A16" t="s">
        <v>3299</v>
      </c>
      <c r="B16">
        <v>103713</v>
      </c>
      <c r="C16">
        <v>2019</v>
      </c>
      <c r="D16" t="s">
        <v>17</v>
      </c>
      <c r="E16" t="s">
        <v>16</v>
      </c>
      <c r="F16">
        <v>1</v>
      </c>
      <c r="G16">
        <v>2</v>
      </c>
      <c r="H16">
        <v>68.686261107313697</v>
      </c>
      <c r="I16" t="b">
        <v>0</v>
      </c>
      <c r="J16" t="s">
        <v>18</v>
      </c>
      <c r="K16" t="s">
        <v>14</v>
      </c>
      <c r="L16">
        <v>0</v>
      </c>
      <c r="M16">
        <v>0</v>
      </c>
      <c r="N16">
        <v>0</v>
      </c>
    </row>
    <row r="17" spans="1:14" x14ac:dyDescent="0.2">
      <c r="A17" t="s">
        <v>3300</v>
      </c>
      <c r="B17">
        <v>103840</v>
      </c>
      <c r="C17">
        <v>2019</v>
      </c>
      <c r="D17" t="s">
        <v>20</v>
      </c>
      <c r="E17" t="s">
        <v>16</v>
      </c>
      <c r="F17">
        <v>0</v>
      </c>
      <c r="G17">
        <v>4</v>
      </c>
      <c r="H17">
        <v>84.713602187286398</v>
      </c>
      <c r="I17" t="b">
        <v>0</v>
      </c>
      <c r="J17">
        <v>0</v>
      </c>
      <c r="K17" t="s">
        <v>14</v>
      </c>
      <c r="L17">
        <v>1</v>
      </c>
      <c r="M17">
        <v>0</v>
      </c>
      <c r="N17">
        <v>1</v>
      </c>
    </row>
    <row r="18" spans="1:14" x14ac:dyDescent="0.2">
      <c r="A18" t="s">
        <v>3301</v>
      </c>
      <c r="B18">
        <v>103864</v>
      </c>
      <c r="C18">
        <v>2019</v>
      </c>
      <c r="D18" t="s">
        <v>21</v>
      </c>
      <c r="E18" t="s">
        <v>16</v>
      </c>
      <c r="F18">
        <v>1</v>
      </c>
      <c r="G18">
        <v>3</v>
      </c>
      <c r="H18">
        <v>31.606288448393698</v>
      </c>
      <c r="I18" t="b">
        <v>0</v>
      </c>
      <c r="J18">
        <v>1</v>
      </c>
      <c r="K18" t="s">
        <v>14</v>
      </c>
      <c r="L18">
        <v>1</v>
      </c>
      <c r="M18">
        <v>0</v>
      </c>
      <c r="N18">
        <v>0</v>
      </c>
    </row>
    <row r="19" spans="1:14" x14ac:dyDescent="0.2">
      <c r="A19" t="s">
        <v>3302</v>
      </c>
      <c r="B19">
        <v>104005</v>
      </c>
      <c r="C19">
        <v>2019</v>
      </c>
      <c r="D19" t="s">
        <v>17</v>
      </c>
      <c r="E19" t="s">
        <v>13</v>
      </c>
      <c r="F19">
        <v>0</v>
      </c>
      <c r="G19">
        <v>1</v>
      </c>
      <c r="H19">
        <v>75.576213260423799</v>
      </c>
      <c r="I19" t="b">
        <v>0</v>
      </c>
      <c r="J19">
        <v>0</v>
      </c>
      <c r="K19" t="s">
        <v>14</v>
      </c>
      <c r="L19">
        <v>0</v>
      </c>
      <c r="M19">
        <v>0</v>
      </c>
      <c r="N19">
        <v>1</v>
      </c>
    </row>
    <row r="20" spans="1:14" x14ac:dyDescent="0.2">
      <c r="A20" t="s">
        <v>3303</v>
      </c>
      <c r="B20">
        <v>104349</v>
      </c>
      <c r="C20">
        <v>2020</v>
      </c>
      <c r="D20" t="s">
        <v>12</v>
      </c>
      <c r="E20" t="s">
        <v>13</v>
      </c>
      <c r="F20">
        <v>1</v>
      </c>
      <c r="G20">
        <v>2</v>
      </c>
      <c r="H20">
        <v>72.3964456596036</v>
      </c>
      <c r="I20" t="b">
        <v>1</v>
      </c>
      <c r="J20" t="s">
        <v>18</v>
      </c>
      <c r="K20" t="s">
        <v>14</v>
      </c>
      <c r="L20">
        <v>0</v>
      </c>
      <c r="M20">
        <v>0</v>
      </c>
      <c r="N20">
        <v>0</v>
      </c>
    </row>
    <row r="21" spans="1:14" x14ac:dyDescent="0.2">
      <c r="A21" t="s">
        <v>3304</v>
      </c>
      <c r="B21">
        <v>104606</v>
      </c>
      <c r="C21">
        <v>2020</v>
      </c>
      <c r="D21" t="s">
        <v>12</v>
      </c>
      <c r="E21" t="s">
        <v>16</v>
      </c>
      <c r="F21">
        <v>0</v>
      </c>
      <c r="G21">
        <v>0</v>
      </c>
      <c r="H21">
        <v>87.816814764183206</v>
      </c>
      <c r="I21" t="b">
        <v>0</v>
      </c>
      <c r="J21">
        <v>0</v>
      </c>
      <c r="K21" t="s">
        <v>14</v>
      </c>
      <c r="L21">
        <v>0</v>
      </c>
      <c r="M21">
        <v>0</v>
      </c>
      <c r="N21">
        <v>0</v>
      </c>
    </row>
    <row r="22" spans="1:14" x14ac:dyDescent="0.2">
      <c r="A22" t="s">
        <v>3305</v>
      </c>
      <c r="B22">
        <v>104977</v>
      </c>
      <c r="C22">
        <v>2019</v>
      </c>
      <c r="D22" t="s">
        <v>12</v>
      </c>
      <c r="E22" t="s">
        <v>16</v>
      </c>
      <c r="F22">
        <v>0</v>
      </c>
      <c r="G22">
        <v>3</v>
      </c>
      <c r="H22">
        <v>80.172248803827799</v>
      </c>
      <c r="I22" t="b">
        <v>1</v>
      </c>
      <c r="J22">
        <v>1</v>
      </c>
      <c r="K22" t="s">
        <v>14</v>
      </c>
      <c r="L22">
        <v>1</v>
      </c>
      <c r="M22">
        <v>0</v>
      </c>
      <c r="N22">
        <v>0</v>
      </c>
    </row>
    <row r="23" spans="1:14" x14ac:dyDescent="0.2">
      <c r="A23" t="s">
        <v>3306</v>
      </c>
      <c r="B23">
        <v>105056</v>
      </c>
      <c r="C23">
        <v>2019</v>
      </c>
      <c r="D23" t="s">
        <v>20</v>
      </c>
      <c r="E23" t="s">
        <v>13</v>
      </c>
      <c r="F23">
        <v>0</v>
      </c>
      <c r="G23">
        <v>2</v>
      </c>
      <c r="H23">
        <v>73.405331510594706</v>
      </c>
      <c r="I23" t="b">
        <v>0</v>
      </c>
      <c r="J23">
        <v>0</v>
      </c>
      <c r="K23" t="s">
        <v>14</v>
      </c>
      <c r="L23">
        <v>0</v>
      </c>
      <c r="M23">
        <v>0</v>
      </c>
      <c r="N23">
        <v>0</v>
      </c>
    </row>
    <row r="24" spans="1:14" x14ac:dyDescent="0.2">
      <c r="A24" t="s">
        <v>3307</v>
      </c>
      <c r="B24">
        <v>105099</v>
      </c>
      <c r="C24">
        <v>2020</v>
      </c>
      <c r="D24" t="s">
        <v>12</v>
      </c>
      <c r="E24" t="s">
        <v>13</v>
      </c>
      <c r="F24">
        <v>0</v>
      </c>
      <c r="G24">
        <v>1</v>
      </c>
      <c r="H24">
        <v>74.318523581681504</v>
      </c>
      <c r="I24" t="b">
        <v>1</v>
      </c>
      <c r="J24">
        <v>0</v>
      </c>
      <c r="K24" t="s">
        <v>14</v>
      </c>
      <c r="L24">
        <v>1</v>
      </c>
      <c r="M24">
        <v>0</v>
      </c>
      <c r="N24">
        <v>0</v>
      </c>
    </row>
    <row r="25" spans="1:14" x14ac:dyDescent="0.2">
      <c r="A25" t="s">
        <v>3308</v>
      </c>
      <c r="B25">
        <v>105252</v>
      </c>
      <c r="C25">
        <v>2019</v>
      </c>
      <c r="D25" t="s">
        <v>20</v>
      </c>
      <c r="E25" t="s">
        <v>13</v>
      </c>
      <c r="F25">
        <v>0</v>
      </c>
      <c r="G25">
        <v>0</v>
      </c>
      <c r="H25">
        <v>44.0136705399863</v>
      </c>
      <c r="I25" t="b">
        <v>0</v>
      </c>
      <c r="J25">
        <v>0</v>
      </c>
      <c r="K25" t="s">
        <v>14</v>
      </c>
      <c r="L25">
        <v>0</v>
      </c>
      <c r="M25">
        <v>0</v>
      </c>
      <c r="N25">
        <v>0</v>
      </c>
    </row>
    <row r="26" spans="1:14" x14ac:dyDescent="0.2">
      <c r="A26" t="s">
        <v>3309</v>
      </c>
      <c r="B26">
        <v>105320</v>
      </c>
      <c r="C26">
        <v>2019</v>
      </c>
      <c r="D26" t="s">
        <v>17</v>
      </c>
      <c r="E26" t="s">
        <v>16</v>
      </c>
      <c r="F26">
        <v>0</v>
      </c>
      <c r="G26">
        <v>8</v>
      </c>
      <c r="H26">
        <v>84.0847573479152</v>
      </c>
      <c r="I26" t="b">
        <v>0</v>
      </c>
      <c r="J26">
        <v>0</v>
      </c>
      <c r="K26" t="s">
        <v>14</v>
      </c>
      <c r="L26">
        <v>0</v>
      </c>
      <c r="M26">
        <v>0</v>
      </c>
      <c r="N26">
        <v>0</v>
      </c>
    </row>
    <row r="27" spans="1:14" x14ac:dyDescent="0.2">
      <c r="A27" t="s">
        <v>3310</v>
      </c>
      <c r="B27">
        <v>105436</v>
      </c>
      <c r="C27">
        <v>2019</v>
      </c>
      <c r="D27" t="s">
        <v>12</v>
      </c>
      <c r="E27" t="s">
        <v>13</v>
      </c>
      <c r="F27" t="s">
        <v>18</v>
      </c>
      <c r="G27" t="s">
        <v>18</v>
      </c>
      <c r="H27">
        <v>65.837320574162703</v>
      </c>
      <c r="I27" t="b">
        <v>1</v>
      </c>
      <c r="J27">
        <v>0</v>
      </c>
      <c r="K27" t="s">
        <v>14</v>
      </c>
      <c r="L27" t="s">
        <v>18</v>
      </c>
      <c r="M27" t="s">
        <v>18</v>
      </c>
      <c r="N27" t="s">
        <v>18</v>
      </c>
    </row>
    <row r="28" spans="1:14" x14ac:dyDescent="0.2">
      <c r="A28" t="s">
        <v>3311</v>
      </c>
      <c r="B28">
        <v>106778</v>
      </c>
      <c r="C28">
        <v>2020</v>
      </c>
      <c r="D28" t="s">
        <v>21</v>
      </c>
      <c r="E28" t="s">
        <v>13</v>
      </c>
      <c r="F28">
        <v>0</v>
      </c>
      <c r="G28">
        <v>0</v>
      </c>
      <c r="H28">
        <v>68.535885167464102</v>
      </c>
      <c r="I28" t="b">
        <v>0</v>
      </c>
      <c r="J28" t="s">
        <v>18</v>
      </c>
      <c r="K28" t="s">
        <v>14</v>
      </c>
      <c r="L28">
        <v>0</v>
      </c>
      <c r="M28">
        <v>0</v>
      </c>
      <c r="N28">
        <v>0</v>
      </c>
    </row>
    <row r="29" spans="1:14" x14ac:dyDescent="0.2">
      <c r="A29" t="s">
        <v>3312</v>
      </c>
      <c r="B29">
        <v>106799</v>
      </c>
      <c r="C29">
        <v>2019</v>
      </c>
      <c r="D29" t="s">
        <v>21</v>
      </c>
      <c r="E29" t="s">
        <v>16</v>
      </c>
      <c r="F29">
        <v>0</v>
      </c>
      <c r="G29">
        <v>2</v>
      </c>
      <c r="H29">
        <v>78.255639097744407</v>
      </c>
      <c r="I29" t="b">
        <v>0</v>
      </c>
      <c r="J29">
        <v>0</v>
      </c>
      <c r="K29" t="s">
        <v>14</v>
      </c>
      <c r="L29">
        <v>1</v>
      </c>
      <c r="M29">
        <v>0</v>
      </c>
      <c r="N29">
        <v>0</v>
      </c>
    </row>
    <row r="30" spans="1:14" x14ac:dyDescent="0.2">
      <c r="A30" t="s">
        <v>3313</v>
      </c>
      <c r="B30">
        <v>106880</v>
      </c>
      <c r="C30">
        <v>2019</v>
      </c>
      <c r="D30" t="s">
        <v>21</v>
      </c>
      <c r="E30" t="s">
        <v>16</v>
      </c>
      <c r="F30">
        <v>0</v>
      </c>
      <c r="G30">
        <v>4</v>
      </c>
      <c r="H30">
        <v>66.143540669856506</v>
      </c>
      <c r="I30" t="b">
        <v>1</v>
      </c>
      <c r="J30">
        <v>1</v>
      </c>
      <c r="K30" t="s">
        <v>14</v>
      </c>
      <c r="L30">
        <v>1</v>
      </c>
      <c r="M30">
        <v>0</v>
      </c>
      <c r="N30">
        <v>1</v>
      </c>
    </row>
    <row r="31" spans="1:14" x14ac:dyDescent="0.2">
      <c r="A31" t="s">
        <v>3314</v>
      </c>
      <c r="B31">
        <v>107006</v>
      </c>
      <c r="C31">
        <v>2020</v>
      </c>
      <c r="D31" t="s">
        <v>21</v>
      </c>
      <c r="E31" t="s">
        <v>13</v>
      </c>
      <c r="F31">
        <v>0</v>
      </c>
      <c r="G31">
        <v>2</v>
      </c>
      <c r="H31">
        <v>71.198906356801103</v>
      </c>
      <c r="I31" t="b">
        <v>1</v>
      </c>
      <c r="J31" t="s">
        <v>18</v>
      </c>
      <c r="K31" t="s">
        <v>14</v>
      </c>
      <c r="L31">
        <v>0</v>
      </c>
      <c r="M31">
        <v>0</v>
      </c>
      <c r="N31">
        <v>1</v>
      </c>
    </row>
    <row r="32" spans="1:14" x14ac:dyDescent="0.2">
      <c r="A32" t="s">
        <v>3315</v>
      </c>
      <c r="B32">
        <v>107068</v>
      </c>
      <c r="C32">
        <v>2019</v>
      </c>
      <c r="D32" t="s">
        <v>12</v>
      </c>
      <c r="E32" t="s">
        <v>13</v>
      </c>
      <c r="F32">
        <v>0</v>
      </c>
      <c r="G32">
        <v>1</v>
      </c>
      <c r="H32">
        <v>78.1845522898155</v>
      </c>
      <c r="I32" t="b">
        <v>0</v>
      </c>
      <c r="J32">
        <v>0</v>
      </c>
      <c r="K32" t="s">
        <v>14</v>
      </c>
      <c r="L32">
        <v>0</v>
      </c>
      <c r="M32">
        <v>1</v>
      </c>
      <c r="N32">
        <v>0</v>
      </c>
    </row>
    <row r="33" spans="1:14" x14ac:dyDescent="0.2">
      <c r="A33" t="s">
        <v>3316</v>
      </c>
      <c r="B33">
        <v>107096</v>
      </c>
      <c r="C33">
        <v>2019</v>
      </c>
      <c r="D33" t="s">
        <v>20</v>
      </c>
      <c r="E33" t="s">
        <v>16</v>
      </c>
      <c r="F33">
        <v>1</v>
      </c>
      <c r="G33">
        <v>3</v>
      </c>
      <c r="H33">
        <v>70.154477101845501</v>
      </c>
      <c r="I33" t="b">
        <v>0</v>
      </c>
      <c r="J33">
        <v>0</v>
      </c>
      <c r="K33" t="s">
        <v>14</v>
      </c>
      <c r="L33">
        <v>0</v>
      </c>
      <c r="M33">
        <v>0</v>
      </c>
      <c r="N33">
        <v>1</v>
      </c>
    </row>
    <row r="34" spans="1:14" x14ac:dyDescent="0.2">
      <c r="A34" t="s">
        <v>3317</v>
      </c>
      <c r="B34">
        <v>107962</v>
      </c>
      <c r="C34">
        <v>2020</v>
      </c>
      <c r="D34" t="s">
        <v>21</v>
      </c>
      <c r="E34" t="s">
        <v>16</v>
      </c>
      <c r="F34">
        <v>0</v>
      </c>
      <c r="G34">
        <v>0</v>
      </c>
      <c r="H34">
        <v>94.006835269993203</v>
      </c>
      <c r="I34" t="b">
        <v>1</v>
      </c>
      <c r="J34">
        <v>1</v>
      </c>
      <c r="K34" t="s">
        <v>14</v>
      </c>
      <c r="L34">
        <v>1</v>
      </c>
      <c r="M34">
        <v>0</v>
      </c>
      <c r="N34">
        <v>0</v>
      </c>
    </row>
    <row r="35" spans="1:14" x14ac:dyDescent="0.2">
      <c r="A35" t="s">
        <v>3318</v>
      </c>
      <c r="B35">
        <v>108013</v>
      </c>
      <c r="C35">
        <v>2020</v>
      </c>
      <c r="D35" t="s">
        <v>12</v>
      </c>
      <c r="E35" t="s">
        <v>16</v>
      </c>
      <c r="F35">
        <v>0</v>
      </c>
      <c r="G35">
        <v>6</v>
      </c>
      <c r="H35">
        <v>82.220095693779896</v>
      </c>
      <c r="I35" t="b">
        <v>0</v>
      </c>
      <c r="J35">
        <v>0</v>
      </c>
      <c r="K35" t="s">
        <v>14</v>
      </c>
      <c r="L35">
        <v>0</v>
      </c>
      <c r="M35">
        <v>0</v>
      </c>
      <c r="N35">
        <v>1</v>
      </c>
    </row>
    <row r="36" spans="1:14" x14ac:dyDescent="0.2">
      <c r="A36" t="s">
        <v>3319</v>
      </c>
      <c r="B36">
        <v>108036</v>
      </c>
      <c r="C36">
        <v>2019</v>
      </c>
      <c r="D36" t="s">
        <v>17</v>
      </c>
      <c r="E36" t="s">
        <v>13</v>
      </c>
      <c r="F36" t="s">
        <v>18</v>
      </c>
      <c r="G36">
        <v>0</v>
      </c>
      <c r="H36">
        <v>37.695146958304903</v>
      </c>
      <c r="I36" t="b">
        <v>0</v>
      </c>
      <c r="J36">
        <v>0</v>
      </c>
      <c r="K36" t="s">
        <v>14</v>
      </c>
      <c r="L36">
        <v>0</v>
      </c>
      <c r="M36">
        <v>1</v>
      </c>
      <c r="N36" t="s">
        <v>18</v>
      </c>
    </row>
    <row r="37" spans="1:14" x14ac:dyDescent="0.2">
      <c r="A37" t="s">
        <v>3320</v>
      </c>
      <c r="B37">
        <v>108473</v>
      </c>
      <c r="C37">
        <v>2019</v>
      </c>
      <c r="D37" t="s">
        <v>22</v>
      </c>
      <c r="E37" t="s">
        <v>16</v>
      </c>
      <c r="F37">
        <v>0</v>
      </c>
      <c r="G37">
        <v>2</v>
      </c>
      <c r="H37">
        <v>78.731373889268596</v>
      </c>
      <c r="I37" t="b">
        <v>0</v>
      </c>
      <c r="J37">
        <v>0</v>
      </c>
      <c r="K37" t="s">
        <v>14</v>
      </c>
      <c r="L37">
        <v>0</v>
      </c>
      <c r="M37">
        <v>0</v>
      </c>
      <c r="N37">
        <v>0</v>
      </c>
    </row>
    <row r="38" spans="1:14" x14ac:dyDescent="0.2">
      <c r="A38" t="s">
        <v>3321</v>
      </c>
      <c r="B38">
        <v>108494</v>
      </c>
      <c r="C38">
        <v>2019</v>
      </c>
      <c r="D38" t="s">
        <v>20</v>
      </c>
      <c r="E38" t="s">
        <v>16</v>
      </c>
      <c r="F38">
        <v>1</v>
      </c>
      <c r="G38">
        <v>1</v>
      </c>
      <c r="H38">
        <v>54.818865345181102</v>
      </c>
      <c r="I38" t="b">
        <v>0</v>
      </c>
      <c r="J38">
        <v>0</v>
      </c>
      <c r="K38" t="s">
        <v>14</v>
      </c>
      <c r="L38">
        <v>0</v>
      </c>
      <c r="M38" t="s">
        <v>18</v>
      </c>
      <c r="N38">
        <v>0</v>
      </c>
    </row>
    <row r="39" spans="1:14" x14ac:dyDescent="0.2">
      <c r="A39" t="s">
        <v>3322</v>
      </c>
      <c r="B39">
        <v>108798</v>
      </c>
      <c r="C39">
        <v>2019</v>
      </c>
      <c r="D39" t="s">
        <v>17</v>
      </c>
      <c r="E39" t="s">
        <v>13</v>
      </c>
      <c r="F39">
        <v>0</v>
      </c>
      <c r="G39">
        <v>0</v>
      </c>
      <c r="H39">
        <v>90.263841421736203</v>
      </c>
      <c r="I39" t="b">
        <v>0</v>
      </c>
      <c r="J39">
        <v>0</v>
      </c>
      <c r="K39" t="s">
        <v>14</v>
      </c>
      <c r="L39">
        <v>0</v>
      </c>
      <c r="M39">
        <v>0</v>
      </c>
      <c r="N39">
        <v>0</v>
      </c>
    </row>
    <row r="40" spans="1:14" x14ac:dyDescent="0.2">
      <c r="A40" t="s">
        <v>3323</v>
      </c>
      <c r="B40">
        <v>108842</v>
      </c>
      <c r="C40">
        <v>2019</v>
      </c>
      <c r="D40" t="s">
        <v>12</v>
      </c>
      <c r="E40" t="s">
        <v>16</v>
      </c>
      <c r="F40">
        <v>0</v>
      </c>
      <c r="G40">
        <v>5</v>
      </c>
      <c r="H40">
        <v>62.879015721121</v>
      </c>
      <c r="I40" t="b">
        <v>0</v>
      </c>
      <c r="J40">
        <v>0</v>
      </c>
      <c r="K40" t="s">
        <v>14</v>
      </c>
      <c r="L40">
        <v>0</v>
      </c>
      <c r="M40">
        <v>0</v>
      </c>
      <c r="N40">
        <v>0</v>
      </c>
    </row>
    <row r="41" spans="1:14" x14ac:dyDescent="0.2">
      <c r="A41" t="s">
        <v>3324</v>
      </c>
      <c r="B41">
        <v>109114</v>
      </c>
      <c r="C41">
        <v>2019</v>
      </c>
      <c r="D41" t="s">
        <v>12</v>
      </c>
      <c r="E41" t="s">
        <v>16</v>
      </c>
      <c r="F41">
        <v>0</v>
      </c>
      <c r="G41">
        <v>0</v>
      </c>
      <c r="H41">
        <v>71.633629528366399</v>
      </c>
      <c r="I41" t="b">
        <v>0</v>
      </c>
      <c r="J41">
        <v>0</v>
      </c>
      <c r="K41" t="s">
        <v>14</v>
      </c>
      <c r="L41">
        <v>0</v>
      </c>
      <c r="M41">
        <v>0</v>
      </c>
      <c r="N41">
        <v>1</v>
      </c>
    </row>
    <row r="42" spans="1:14" x14ac:dyDescent="0.2">
      <c r="A42" t="s">
        <v>3325</v>
      </c>
      <c r="B42">
        <v>109327</v>
      </c>
      <c r="C42">
        <v>2020</v>
      </c>
      <c r="D42" t="s">
        <v>12</v>
      </c>
      <c r="E42" t="s">
        <v>13</v>
      </c>
      <c r="F42">
        <v>0</v>
      </c>
      <c r="G42">
        <v>0</v>
      </c>
      <c r="H42">
        <v>76.716336295283696</v>
      </c>
      <c r="I42" t="b">
        <v>1</v>
      </c>
      <c r="J42" t="s">
        <v>18</v>
      </c>
      <c r="K42" t="s">
        <v>14</v>
      </c>
      <c r="L42">
        <v>1</v>
      </c>
      <c r="M42">
        <v>0</v>
      </c>
      <c r="N42">
        <v>1</v>
      </c>
    </row>
    <row r="43" spans="1:14" x14ac:dyDescent="0.2">
      <c r="A43" t="s">
        <v>3326</v>
      </c>
      <c r="B43">
        <v>109627</v>
      </c>
      <c r="C43">
        <v>2020</v>
      </c>
      <c r="D43" t="s">
        <v>23</v>
      </c>
      <c r="E43" t="s">
        <v>13</v>
      </c>
      <c r="F43">
        <v>0</v>
      </c>
      <c r="G43">
        <v>2</v>
      </c>
      <c r="H43">
        <v>72.527682843472306</v>
      </c>
      <c r="I43" t="b">
        <v>0</v>
      </c>
      <c r="J43" t="s">
        <v>18</v>
      </c>
      <c r="K43" t="s">
        <v>14</v>
      </c>
      <c r="L43">
        <v>0</v>
      </c>
      <c r="M43">
        <v>0</v>
      </c>
      <c r="N43">
        <v>0</v>
      </c>
    </row>
    <row r="44" spans="1:14" x14ac:dyDescent="0.2">
      <c r="A44" t="s">
        <v>3327</v>
      </c>
      <c r="B44">
        <v>109725</v>
      </c>
      <c r="C44">
        <v>2020</v>
      </c>
      <c r="D44" t="s">
        <v>12</v>
      </c>
      <c r="E44" t="s">
        <v>16</v>
      </c>
      <c r="F44">
        <v>1</v>
      </c>
      <c r="G44">
        <v>2</v>
      </c>
      <c r="H44">
        <v>76.743677375256297</v>
      </c>
      <c r="I44" t="b">
        <v>0</v>
      </c>
      <c r="J44">
        <v>0</v>
      </c>
      <c r="K44" t="s">
        <v>14</v>
      </c>
      <c r="L44">
        <v>0</v>
      </c>
      <c r="M44">
        <v>0</v>
      </c>
      <c r="N44">
        <v>0</v>
      </c>
    </row>
    <row r="45" spans="1:14" x14ac:dyDescent="0.2">
      <c r="A45" t="s">
        <v>3328</v>
      </c>
      <c r="B45">
        <v>109749</v>
      </c>
      <c r="C45">
        <v>2019</v>
      </c>
      <c r="D45" t="s">
        <v>20</v>
      </c>
      <c r="E45" t="s">
        <v>13</v>
      </c>
      <c r="F45">
        <v>0</v>
      </c>
      <c r="G45">
        <v>0</v>
      </c>
      <c r="H45">
        <v>76.855775803144198</v>
      </c>
      <c r="I45" t="b">
        <v>0</v>
      </c>
      <c r="J45" t="s">
        <v>18</v>
      </c>
      <c r="K45" t="s">
        <v>14</v>
      </c>
      <c r="L45">
        <v>0</v>
      </c>
      <c r="M45">
        <v>0</v>
      </c>
      <c r="N45">
        <v>0</v>
      </c>
    </row>
    <row r="46" spans="1:14" x14ac:dyDescent="0.2">
      <c r="A46" t="s">
        <v>3329</v>
      </c>
      <c r="B46">
        <v>109841</v>
      </c>
      <c r="C46">
        <v>2019</v>
      </c>
      <c r="D46" t="s">
        <v>20</v>
      </c>
      <c r="E46" t="s">
        <v>13</v>
      </c>
      <c r="F46">
        <v>0</v>
      </c>
      <c r="G46">
        <v>2</v>
      </c>
      <c r="H46">
        <v>77.984962406015001</v>
      </c>
      <c r="I46" t="b">
        <v>1</v>
      </c>
      <c r="J46">
        <v>0</v>
      </c>
      <c r="K46" t="s">
        <v>14</v>
      </c>
      <c r="L46">
        <v>0</v>
      </c>
      <c r="M46">
        <v>0</v>
      </c>
      <c r="N46">
        <v>0</v>
      </c>
    </row>
    <row r="47" spans="1:14" x14ac:dyDescent="0.2">
      <c r="A47" t="s">
        <v>3330</v>
      </c>
      <c r="B47">
        <v>110188</v>
      </c>
      <c r="C47">
        <v>2020</v>
      </c>
      <c r="D47" t="s">
        <v>15</v>
      </c>
      <c r="E47" t="s">
        <v>13</v>
      </c>
      <c r="F47">
        <v>0</v>
      </c>
      <c r="G47">
        <v>2</v>
      </c>
      <c r="H47">
        <v>41.46001367054</v>
      </c>
      <c r="I47" t="b">
        <v>0</v>
      </c>
      <c r="J47">
        <v>0</v>
      </c>
      <c r="K47" t="s">
        <v>14</v>
      </c>
      <c r="L47">
        <v>1</v>
      </c>
      <c r="M47">
        <v>0</v>
      </c>
      <c r="N47">
        <v>0</v>
      </c>
    </row>
    <row r="48" spans="1:14" x14ac:dyDescent="0.2">
      <c r="A48" t="s">
        <v>3331</v>
      </c>
      <c r="B48">
        <v>110833</v>
      </c>
      <c r="C48">
        <v>2020</v>
      </c>
      <c r="D48" t="s">
        <v>21</v>
      </c>
      <c r="E48" t="s">
        <v>16</v>
      </c>
      <c r="F48">
        <v>1</v>
      </c>
      <c r="G48">
        <v>6</v>
      </c>
      <c r="H48">
        <v>72.932330827067702</v>
      </c>
      <c r="I48" t="b">
        <v>1</v>
      </c>
      <c r="J48" t="s">
        <v>18</v>
      </c>
      <c r="K48" t="s">
        <v>14</v>
      </c>
      <c r="L48">
        <v>0</v>
      </c>
      <c r="M48">
        <v>0</v>
      </c>
      <c r="N48">
        <v>0</v>
      </c>
    </row>
    <row r="49" spans="1:14" x14ac:dyDescent="0.2">
      <c r="A49" t="s">
        <v>3332</v>
      </c>
      <c r="B49">
        <v>112304</v>
      </c>
      <c r="C49">
        <v>2019</v>
      </c>
      <c r="D49" t="s">
        <v>20</v>
      </c>
      <c r="E49" t="s">
        <v>13</v>
      </c>
      <c r="F49">
        <v>0</v>
      </c>
      <c r="G49">
        <v>0</v>
      </c>
      <c r="H49">
        <v>86.304853041695196</v>
      </c>
      <c r="I49" t="b">
        <v>0</v>
      </c>
      <c r="J49">
        <v>0</v>
      </c>
      <c r="K49" t="s">
        <v>14</v>
      </c>
      <c r="L49">
        <v>0</v>
      </c>
      <c r="M49">
        <v>0</v>
      </c>
      <c r="N49">
        <v>1</v>
      </c>
    </row>
    <row r="50" spans="1:14" x14ac:dyDescent="0.2">
      <c r="A50" t="s">
        <v>3333</v>
      </c>
      <c r="B50">
        <v>113047</v>
      </c>
      <c r="C50">
        <v>2019</v>
      </c>
      <c r="D50" t="s">
        <v>12</v>
      </c>
      <c r="E50" t="s">
        <v>16</v>
      </c>
      <c r="F50">
        <v>0</v>
      </c>
      <c r="G50">
        <v>1</v>
      </c>
      <c r="H50">
        <v>69.391660970608299</v>
      </c>
      <c r="I50" t="b">
        <v>1</v>
      </c>
      <c r="J50" t="s">
        <v>18</v>
      </c>
      <c r="K50" t="s">
        <v>14</v>
      </c>
      <c r="L50">
        <v>1</v>
      </c>
      <c r="M50">
        <v>0</v>
      </c>
      <c r="N50">
        <v>0</v>
      </c>
    </row>
    <row r="51" spans="1:14" x14ac:dyDescent="0.2">
      <c r="A51" t="s">
        <v>3334</v>
      </c>
      <c r="B51">
        <v>113269</v>
      </c>
      <c r="C51">
        <v>2019</v>
      </c>
      <c r="D51" t="s">
        <v>22</v>
      </c>
      <c r="E51" t="s">
        <v>13</v>
      </c>
      <c r="F51">
        <v>0</v>
      </c>
      <c r="G51">
        <v>0</v>
      </c>
      <c r="H51">
        <v>80.492139439507895</v>
      </c>
      <c r="I51" t="b">
        <v>0</v>
      </c>
      <c r="J51">
        <v>0</v>
      </c>
      <c r="K51" t="s">
        <v>14</v>
      </c>
      <c r="L51">
        <v>0</v>
      </c>
      <c r="M51">
        <v>0</v>
      </c>
      <c r="N51">
        <v>0</v>
      </c>
    </row>
    <row r="52" spans="1:14" x14ac:dyDescent="0.2">
      <c r="A52" t="s">
        <v>3335</v>
      </c>
      <c r="B52">
        <v>113856</v>
      </c>
      <c r="C52">
        <v>2019</v>
      </c>
      <c r="D52" t="s">
        <v>17</v>
      </c>
      <c r="E52" t="s">
        <v>13</v>
      </c>
      <c r="F52">
        <v>1</v>
      </c>
      <c r="G52">
        <v>3</v>
      </c>
      <c r="H52">
        <v>81.263157894736807</v>
      </c>
      <c r="I52" t="b">
        <v>0</v>
      </c>
      <c r="J52">
        <v>0</v>
      </c>
      <c r="K52" t="s">
        <v>14</v>
      </c>
      <c r="L52">
        <v>0</v>
      </c>
      <c r="M52">
        <v>1</v>
      </c>
      <c r="N52">
        <v>0</v>
      </c>
    </row>
    <row r="53" spans="1:14" x14ac:dyDescent="0.2">
      <c r="A53" t="s">
        <v>3336</v>
      </c>
      <c r="B53">
        <v>113912</v>
      </c>
      <c r="C53">
        <v>2019</v>
      </c>
      <c r="D53" t="s">
        <v>12</v>
      </c>
      <c r="E53" t="s">
        <v>13</v>
      </c>
      <c r="F53">
        <v>0</v>
      </c>
      <c r="G53">
        <v>6</v>
      </c>
      <c r="H53">
        <v>74.315789473684205</v>
      </c>
      <c r="I53" t="b">
        <v>1</v>
      </c>
      <c r="J53">
        <v>0</v>
      </c>
      <c r="K53" t="s">
        <v>14</v>
      </c>
      <c r="L53">
        <v>0</v>
      </c>
      <c r="M53">
        <v>0</v>
      </c>
      <c r="N53">
        <v>1</v>
      </c>
    </row>
    <row r="54" spans="1:14" x14ac:dyDescent="0.2">
      <c r="A54" t="s">
        <v>3337</v>
      </c>
      <c r="B54">
        <v>113998</v>
      </c>
      <c r="C54">
        <v>2019</v>
      </c>
      <c r="D54" t="s">
        <v>21</v>
      </c>
      <c r="E54" t="s">
        <v>13</v>
      </c>
      <c r="F54">
        <v>0</v>
      </c>
      <c r="G54">
        <v>2</v>
      </c>
      <c r="H54">
        <v>60.546821599453203</v>
      </c>
      <c r="I54" t="b">
        <v>1</v>
      </c>
      <c r="J54">
        <v>1</v>
      </c>
      <c r="K54" t="s">
        <v>14</v>
      </c>
      <c r="L54">
        <v>0</v>
      </c>
      <c r="M54">
        <v>0</v>
      </c>
      <c r="N54">
        <v>1</v>
      </c>
    </row>
    <row r="55" spans="1:14" x14ac:dyDescent="0.2">
      <c r="A55" t="s">
        <v>3338</v>
      </c>
      <c r="B55">
        <v>114031</v>
      </c>
      <c r="C55">
        <v>2019</v>
      </c>
      <c r="D55" t="s">
        <v>12</v>
      </c>
      <c r="E55" t="s">
        <v>13</v>
      </c>
      <c r="F55">
        <v>0</v>
      </c>
      <c r="G55">
        <v>1</v>
      </c>
      <c r="H55">
        <v>64.355434039644607</v>
      </c>
      <c r="I55" t="b">
        <v>1</v>
      </c>
      <c r="J55">
        <v>0</v>
      </c>
      <c r="K55" t="s">
        <v>14</v>
      </c>
      <c r="L55">
        <v>0</v>
      </c>
      <c r="M55">
        <v>0</v>
      </c>
      <c r="N55">
        <v>0</v>
      </c>
    </row>
    <row r="56" spans="1:14" x14ac:dyDescent="0.2">
      <c r="A56" t="s">
        <v>3339</v>
      </c>
      <c r="B56">
        <v>114158</v>
      </c>
      <c r="C56">
        <v>2019</v>
      </c>
      <c r="D56" t="s">
        <v>12</v>
      </c>
      <c r="E56" t="s">
        <v>16</v>
      </c>
      <c r="F56">
        <v>0</v>
      </c>
      <c r="G56">
        <v>2</v>
      </c>
      <c r="H56">
        <v>75.4613807245386</v>
      </c>
      <c r="I56" t="b">
        <v>0</v>
      </c>
      <c r="J56">
        <v>0</v>
      </c>
      <c r="K56" t="s">
        <v>14</v>
      </c>
      <c r="L56">
        <v>0</v>
      </c>
      <c r="M56">
        <v>0</v>
      </c>
      <c r="N56">
        <v>1</v>
      </c>
    </row>
    <row r="57" spans="1:14" x14ac:dyDescent="0.2">
      <c r="A57" t="s">
        <v>3340</v>
      </c>
      <c r="B57">
        <v>114334</v>
      </c>
      <c r="C57">
        <v>2019</v>
      </c>
      <c r="D57" t="s">
        <v>17</v>
      </c>
      <c r="E57" t="s">
        <v>16</v>
      </c>
      <c r="F57">
        <v>0</v>
      </c>
      <c r="G57">
        <v>3</v>
      </c>
      <c r="H57">
        <v>73.394395078605598</v>
      </c>
      <c r="I57" t="b">
        <v>0</v>
      </c>
      <c r="J57">
        <v>0</v>
      </c>
      <c r="K57" t="s">
        <v>14</v>
      </c>
      <c r="L57">
        <v>0</v>
      </c>
      <c r="M57">
        <v>0</v>
      </c>
      <c r="N57">
        <v>0</v>
      </c>
    </row>
    <row r="58" spans="1:14" x14ac:dyDescent="0.2">
      <c r="A58" t="s">
        <v>3341</v>
      </c>
      <c r="B58">
        <v>114547</v>
      </c>
      <c r="C58">
        <v>2019</v>
      </c>
      <c r="D58" t="s">
        <v>22</v>
      </c>
      <c r="E58" t="s">
        <v>16</v>
      </c>
      <c r="F58">
        <v>0</v>
      </c>
      <c r="G58">
        <v>4</v>
      </c>
      <c r="H58">
        <v>71.122351332877699</v>
      </c>
      <c r="I58" t="b">
        <v>0</v>
      </c>
      <c r="J58">
        <v>0</v>
      </c>
      <c r="K58" t="s">
        <v>14</v>
      </c>
      <c r="L58">
        <v>1</v>
      </c>
      <c r="M58">
        <v>0</v>
      </c>
      <c r="N58">
        <v>0</v>
      </c>
    </row>
    <row r="59" spans="1:14" x14ac:dyDescent="0.2">
      <c r="A59" t="s">
        <v>3342</v>
      </c>
      <c r="B59">
        <v>114672</v>
      </c>
      <c r="C59">
        <v>2019</v>
      </c>
      <c r="D59" t="s">
        <v>12</v>
      </c>
      <c r="E59" t="s">
        <v>13</v>
      </c>
      <c r="F59">
        <v>0</v>
      </c>
      <c r="G59">
        <v>2</v>
      </c>
      <c r="H59">
        <v>85.935748462064197</v>
      </c>
      <c r="I59" t="b">
        <v>1</v>
      </c>
      <c r="J59">
        <v>0</v>
      </c>
      <c r="K59" t="s">
        <v>14</v>
      </c>
      <c r="L59">
        <v>0</v>
      </c>
      <c r="M59">
        <v>0</v>
      </c>
      <c r="N59">
        <v>1</v>
      </c>
    </row>
    <row r="60" spans="1:14" x14ac:dyDescent="0.2">
      <c r="A60" t="s">
        <v>3343</v>
      </c>
      <c r="B60">
        <v>114903</v>
      </c>
      <c r="C60">
        <v>2019</v>
      </c>
      <c r="D60" t="s">
        <v>22</v>
      </c>
      <c r="E60" t="s">
        <v>13</v>
      </c>
      <c r="F60">
        <v>0</v>
      </c>
      <c r="G60">
        <v>6</v>
      </c>
      <c r="H60">
        <v>82.570061517429906</v>
      </c>
      <c r="I60" t="b">
        <v>0</v>
      </c>
      <c r="J60">
        <v>0</v>
      </c>
      <c r="K60" t="s">
        <v>14</v>
      </c>
      <c r="L60">
        <v>0</v>
      </c>
      <c r="M60">
        <v>1</v>
      </c>
      <c r="N60">
        <v>0</v>
      </c>
    </row>
    <row r="61" spans="1:14" x14ac:dyDescent="0.2">
      <c r="A61" t="s">
        <v>3344</v>
      </c>
      <c r="B61">
        <v>115038</v>
      </c>
      <c r="C61">
        <v>2019</v>
      </c>
      <c r="D61" t="s">
        <v>15</v>
      </c>
      <c r="E61" t="s">
        <v>16</v>
      </c>
      <c r="F61">
        <v>0</v>
      </c>
      <c r="G61">
        <v>1</v>
      </c>
      <c r="H61">
        <v>85.4463431305537</v>
      </c>
      <c r="I61" t="b">
        <v>0</v>
      </c>
      <c r="J61" t="s">
        <v>18</v>
      </c>
      <c r="K61" t="s">
        <v>14</v>
      </c>
      <c r="L61">
        <v>1</v>
      </c>
      <c r="M61">
        <v>0</v>
      </c>
      <c r="N61">
        <v>0</v>
      </c>
    </row>
    <row r="62" spans="1:14" x14ac:dyDescent="0.2">
      <c r="A62" t="s">
        <v>3345</v>
      </c>
      <c r="B62">
        <v>115244</v>
      </c>
      <c r="C62">
        <v>2019</v>
      </c>
      <c r="D62" t="s">
        <v>12</v>
      </c>
      <c r="E62" t="s">
        <v>16</v>
      </c>
      <c r="F62">
        <v>0</v>
      </c>
      <c r="G62">
        <v>3</v>
      </c>
      <c r="H62">
        <v>81.580314422419704</v>
      </c>
      <c r="I62" t="b">
        <v>1</v>
      </c>
      <c r="J62">
        <v>0</v>
      </c>
      <c r="K62" t="s">
        <v>14</v>
      </c>
      <c r="L62">
        <v>0</v>
      </c>
      <c r="M62">
        <v>0</v>
      </c>
      <c r="N62">
        <v>0</v>
      </c>
    </row>
    <row r="63" spans="1:14" x14ac:dyDescent="0.2">
      <c r="A63" t="s">
        <v>3346</v>
      </c>
      <c r="B63">
        <v>115309</v>
      </c>
      <c r="C63">
        <v>2018</v>
      </c>
      <c r="D63" t="s">
        <v>12</v>
      </c>
      <c r="E63" t="s">
        <v>13</v>
      </c>
      <c r="F63">
        <v>0</v>
      </c>
      <c r="G63">
        <v>0</v>
      </c>
      <c r="H63">
        <v>93.377990430622006</v>
      </c>
      <c r="I63" t="b">
        <v>0</v>
      </c>
      <c r="J63">
        <v>0</v>
      </c>
      <c r="K63" t="s">
        <v>14</v>
      </c>
      <c r="L63">
        <v>0</v>
      </c>
      <c r="M63">
        <v>0</v>
      </c>
      <c r="N63">
        <v>0</v>
      </c>
    </row>
    <row r="64" spans="1:14" x14ac:dyDescent="0.2">
      <c r="A64" t="s">
        <v>3347</v>
      </c>
      <c r="B64">
        <v>115325</v>
      </c>
      <c r="C64">
        <v>2018</v>
      </c>
      <c r="D64" t="s">
        <v>12</v>
      </c>
      <c r="E64" t="s">
        <v>13</v>
      </c>
      <c r="F64">
        <v>0</v>
      </c>
      <c r="G64">
        <v>0</v>
      </c>
      <c r="H64">
        <v>65.038961038961006</v>
      </c>
      <c r="I64" t="b">
        <v>1</v>
      </c>
      <c r="J64" t="s">
        <v>18</v>
      </c>
      <c r="K64" t="s">
        <v>14</v>
      </c>
      <c r="L64">
        <v>0</v>
      </c>
      <c r="M64">
        <v>0</v>
      </c>
      <c r="N64">
        <v>0</v>
      </c>
    </row>
    <row r="65" spans="1:14" x14ac:dyDescent="0.2">
      <c r="A65" t="s">
        <v>3348</v>
      </c>
      <c r="B65">
        <v>115366</v>
      </c>
      <c r="C65">
        <v>2018</v>
      </c>
      <c r="D65" t="s">
        <v>20</v>
      </c>
      <c r="E65" t="s">
        <v>16</v>
      </c>
      <c r="F65">
        <v>0</v>
      </c>
      <c r="G65">
        <v>3</v>
      </c>
      <c r="H65">
        <v>66.373205741626805</v>
      </c>
      <c r="I65" t="b">
        <v>0</v>
      </c>
      <c r="J65">
        <v>0</v>
      </c>
      <c r="K65" t="s">
        <v>14</v>
      </c>
      <c r="L65">
        <v>0</v>
      </c>
      <c r="M65">
        <v>0</v>
      </c>
      <c r="N65">
        <v>1</v>
      </c>
    </row>
    <row r="66" spans="1:14" x14ac:dyDescent="0.2">
      <c r="A66" t="s">
        <v>3349</v>
      </c>
      <c r="B66">
        <v>115450</v>
      </c>
      <c r="C66">
        <v>2018</v>
      </c>
      <c r="D66" t="s">
        <v>20</v>
      </c>
      <c r="E66" t="s">
        <v>13</v>
      </c>
      <c r="F66">
        <v>0</v>
      </c>
      <c r="G66">
        <v>3</v>
      </c>
      <c r="H66">
        <v>76.3691045796309</v>
      </c>
      <c r="I66" t="b">
        <v>1</v>
      </c>
      <c r="J66">
        <v>0</v>
      </c>
      <c r="K66" t="s">
        <v>14</v>
      </c>
      <c r="L66">
        <v>1</v>
      </c>
      <c r="M66">
        <v>0</v>
      </c>
      <c r="N66">
        <v>0</v>
      </c>
    </row>
    <row r="67" spans="1:14" x14ac:dyDescent="0.2">
      <c r="A67" t="s">
        <v>3350</v>
      </c>
      <c r="B67">
        <v>115672</v>
      </c>
      <c r="C67">
        <v>2018</v>
      </c>
      <c r="D67" t="s">
        <v>12</v>
      </c>
      <c r="E67" t="s">
        <v>13</v>
      </c>
      <c r="F67">
        <v>0</v>
      </c>
      <c r="G67">
        <v>3</v>
      </c>
      <c r="H67">
        <v>83.991797676008204</v>
      </c>
      <c r="I67" t="b">
        <v>1</v>
      </c>
      <c r="J67" t="s">
        <v>18</v>
      </c>
      <c r="K67" t="s">
        <v>14</v>
      </c>
      <c r="L67">
        <v>0</v>
      </c>
      <c r="M67">
        <v>0</v>
      </c>
      <c r="N67">
        <v>0</v>
      </c>
    </row>
    <row r="68" spans="1:14" x14ac:dyDescent="0.2">
      <c r="A68" t="s">
        <v>3351</v>
      </c>
      <c r="B68">
        <v>116096</v>
      </c>
      <c r="C68">
        <v>2018</v>
      </c>
      <c r="D68" t="s">
        <v>24</v>
      </c>
      <c r="E68" t="s">
        <v>13</v>
      </c>
      <c r="F68">
        <v>1</v>
      </c>
      <c r="G68">
        <v>4</v>
      </c>
      <c r="H68">
        <v>28.995215311004799</v>
      </c>
      <c r="I68" t="b">
        <v>0</v>
      </c>
      <c r="J68">
        <v>0</v>
      </c>
      <c r="K68" t="s">
        <v>14</v>
      </c>
      <c r="L68">
        <v>0</v>
      </c>
      <c r="M68">
        <v>0</v>
      </c>
      <c r="N68">
        <v>0</v>
      </c>
    </row>
    <row r="69" spans="1:14" x14ac:dyDescent="0.2">
      <c r="A69" t="s">
        <v>3352</v>
      </c>
      <c r="B69">
        <v>116138</v>
      </c>
      <c r="C69">
        <v>2019</v>
      </c>
      <c r="D69" t="s">
        <v>25</v>
      </c>
      <c r="E69" t="s">
        <v>16</v>
      </c>
      <c r="F69">
        <v>0</v>
      </c>
      <c r="G69">
        <v>6</v>
      </c>
      <c r="H69">
        <v>75.753930280246095</v>
      </c>
      <c r="I69" t="b">
        <v>0</v>
      </c>
      <c r="J69">
        <v>0</v>
      </c>
      <c r="K69" t="s">
        <v>14</v>
      </c>
      <c r="L69">
        <v>0</v>
      </c>
      <c r="M69">
        <v>0</v>
      </c>
      <c r="N69">
        <v>0</v>
      </c>
    </row>
    <row r="70" spans="1:14" x14ac:dyDescent="0.2">
      <c r="A70" t="s">
        <v>3353</v>
      </c>
      <c r="B70">
        <v>116960</v>
      </c>
      <c r="C70">
        <v>2018</v>
      </c>
      <c r="D70" t="s">
        <v>17</v>
      </c>
      <c r="E70" t="s">
        <v>16</v>
      </c>
      <c r="F70">
        <v>1</v>
      </c>
      <c r="G70">
        <v>4</v>
      </c>
      <c r="H70">
        <v>65.935748462064296</v>
      </c>
      <c r="I70" t="b">
        <v>0</v>
      </c>
      <c r="J70">
        <v>0</v>
      </c>
      <c r="K70" t="s">
        <v>14</v>
      </c>
      <c r="L70">
        <v>0</v>
      </c>
      <c r="M70">
        <v>0</v>
      </c>
      <c r="N70">
        <v>0</v>
      </c>
    </row>
    <row r="71" spans="1:14" x14ac:dyDescent="0.2">
      <c r="A71" t="s">
        <v>3354</v>
      </c>
      <c r="B71">
        <v>117050</v>
      </c>
      <c r="C71">
        <v>2018</v>
      </c>
      <c r="D71" t="s">
        <v>12</v>
      </c>
      <c r="E71" t="s">
        <v>13</v>
      </c>
      <c r="F71">
        <v>0</v>
      </c>
      <c r="G71">
        <v>5</v>
      </c>
      <c r="H71">
        <v>74.868079289131899</v>
      </c>
      <c r="I71" t="b">
        <v>1</v>
      </c>
      <c r="J71">
        <v>0</v>
      </c>
      <c r="K71" t="s">
        <v>14</v>
      </c>
      <c r="L71">
        <v>0</v>
      </c>
      <c r="M71">
        <v>0</v>
      </c>
      <c r="N71">
        <v>0</v>
      </c>
    </row>
    <row r="72" spans="1:14" x14ac:dyDescent="0.2">
      <c r="A72" t="s">
        <v>3355</v>
      </c>
      <c r="B72">
        <v>117243</v>
      </c>
      <c r="C72">
        <v>2018</v>
      </c>
      <c r="D72" t="s">
        <v>12</v>
      </c>
      <c r="E72" t="s">
        <v>16</v>
      </c>
      <c r="F72">
        <v>0</v>
      </c>
      <c r="G72">
        <v>8</v>
      </c>
      <c r="H72">
        <v>76.330827067669205</v>
      </c>
      <c r="I72" t="b">
        <v>1</v>
      </c>
      <c r="J72">
        <v>0</v>
      </c>
      <c r="K72" t="s">
        <v>14</v>
      </c>
      <c r="L72">
        <v>0</v>
      </c>
      <c r="M72">
        <v>0</v>
      </c>
      <c r="N72">
        <v>0</v>
      </c>
    </row>
    <row r="73" spans="1:14" x14ac:dyDescent="0.2">
      <c r="A73" t="s">
        <v>3356</v>
      </c>
      <c r="B73">
        <v>117301</v>
      </c>
      <c r="C73">
        <v>2018</v>
      </c>
      <c r="D73" t="s">
        <v>20</v>
      </c>
      <c r="E73" t="s">
        <v>16</v>
      </c>
      <c r="F73">
        <v>0</v>
      </c>
      <c r="G73">
        <v>0</v>
      </c>
      <c r="H73">
        <v>62.045112781954899</v>
      </c>
      <c r="I73" t="b">
        <v>0</v>
      </c>
      <c r="J73">
        <v>0</v>
      </c>
      <c r="K73" t="s">
        <v>14</v>
      </c>
      <c r="L73">
        <v>0</v>
      </c>
      <c r="M73">
        <v>0</v>
      </c>
      <c r="N73">
        <v>1</v>
      </c>
    </row>
    <row r="74" spans="1:14" x14ac:dyDescent="0.2">
      <c r="A74" t="s">
        <v>3357</v>
      </c>
      <c r="B74">
        <v>117315</v>
      </c>
      <c r="C74">
        <v>2018</v>
      </c>
      <c r="D74" t="s">
        <v>12</v>
      </c>
      <c r="E74" t="s">
        <v>16</v>
      </c>
      <c r="F74">
        <v>0</v>
      </c>
      <c r="G74">
        <v>1</v>
      </c>
      <c r="H74">
        <v>94.859876965140103</v>
      </c>
      <c r="I74" t="b">
        <v>0</v>
      </c>
      <c r="J74">
        <v>0</v>
      </c>
      <c r="K74" t="s">
        <v>14</v>
      </c>
      <c r="L74">
        <v>0</v>
      </c>
      <c r="M74">
        <v>0</v>
      </c>
      <c r="N74">
        <v>1</v>
      </c>
    </row>
    <row r="75" spans="1:14" x14ac:dyDescent="0.2">
      <c r="A75" t="s">
        <v>3358</v>
      </c>
      <c r="B75">
        <v>117371</v>
      </c>
      <c r="C75">
        <v>2019</v>
      </c>
      <c r="D75" t="s">
        <v>20</v>
      </c>
      <c r="E75" t="s">
        <v>13</v>
      </c>
      <c r="F75">
        <v>1</v>
      </c>
      <c r="G75">
        <v>2</v>
      </c>
      <c r="H75">
        <v>65.222146274777899</v>
      </c>
      <c r="I75" t="b">
        <v>1</v>
      </c>
      <c r="J75">
        <v>0</v>
      </c>
      <c r="K75" t="s">
        <v>14</v>
      </c>
      <c r="L75">
        <v>1</v>
      </c>
      <c r="M75">
        <v>0</v>
      </c>
      <c r="N75">
        <v>0</v>
      </c>
    </row>
    <row r="76" spans="1:14" x14ac:dyDescent="0.2">
      <c r="A76" t="s">
        <v>3359</v>
      </c>
      <c r="B76">
        <v>117378</v>
      </c>
      <c r="C76">
        <v>2018</v>
      </c>
      <c r="D76" t="s">
        <v>20</v>
      </c>
      <c r="E76" t="s">
        <v>16</v>
      </c>
      <c r="F76">
        <v>1</v>
      </c>
      <c r="G76">
        <v>2</v>
      </c>
      <c r="H76">
        <v>60.637047163363</v>
      </c>
      <c r="I76" t="b">
        <v>0</v>
      </c>
      <c r="J76">
        <v>0</v>
      </c>
      <c r="K76" t="s">
        <v>14</v>
      </c>
      <c r="L76">
        <v>0</v>
      </c>
      <c r="M76">
        <v>0</v>
      </c>
      <c r="N76" t="s">
        <v>18</v>
      </c>
    </row>
    <row r="77" spans="1:14" x14ac:dyDescent="0.2">
      <c r="A77" t="s">
        <v>3360</v>
      </c>
      <c r="B77">
        <v>117388</v>
      </c>
      <c r="C77">
        <v>2019</v>
      </c>
      <c r="D77" t="s">
        <v>21</v>
      </c>
      <c r="E77" t="s">
        <v>16</v>
      </c>
      <c r="F77">
        <v>0</v>
      </c>
      <c r="G77">
        <v>7</v>
      </c>
      <c r="H77">
        <v>93.634996582365005</v>
      </c>
      <c r="I77" t="b">
        <v>0</v>
      </c>
      <c r="J77">
        <v>1</v>
      </c>
      <c r="K77" t="s">
        <v>14</v>
      </c>
      <c r="L77">
        <v>0</v>
      </c>
      <c r="M77">
        <v>0</v>
      </c>
      <c r="N77">
        <v>1</v>
      </c>
    </row>
    <row r="78" spans="1:14" x14ac:dyDescent="0.2">
      <c r="A78" t="s">
        <v>3361</v>
      </c>
      <c r="B78">
        <v>117412</v>
      </c>
      <c r="C78">
        <v>2018</v>
      </c>
      <c r="D78" t="s">
        <v>12</v>
      </c>
      <c r="E78" t="s">
        <v>13</v>
      </c>
      <c r="F78">
        <v>0</v>
      </c>
      <c r="G78">
        <v>1</v>
      </c>
      <c r="H78">
        <v>82.758714969241296</v>
      </c>
      <c r="I78" t="b">
        <v>1</v>
      </c>
      <c r="J78">
        <v>0</v>
      </c>
      <c r="K78" t="s">
        <v>14</v>
      </c>
      <c r="L78">
        <v>0</v>
      </c>
      <c r="M78">
        <v>0</v>
      </c>
      <c r="N78">
        <v>0</v>
      </c>
    </row>
    <row r="79" spans="1:14" x14ac:dyDescent="0.2">
      <c r="A79" t="s">
        <v>3362</v>
      </c>
      <c r="B79">
        <v>117416</v>
      </c>
      <c r="C79">
        <v>2018</v>
      </c>
      <c r="D79" t="s">
        <v>12</v>
      </c>
      <c r="E79" t="s">
        <v>16</v>
      </c>
      <c r="F79">
        <v>0</v>
      </c>
      <c r="G79">
        <v>5</v>
      </c>
      <c r="H79">
        <v>69.030758714969195</v>
      </c>
      <c r="I79" t="b">
        <v>1</v>
      </c>
      <c r="J79">
        <v>0</v>
      </c>
      <c r="K79" t="s">
        <v>14</v>
      </c>
      <c r="L79">
        <v>0</v>
      </c>
      <c r="M79">
        <v>0</v>
      </c>
      <c r="N79">
        <v>0</v>
      </c>
    </row>
    <row r="80" spans="1:14" x14ac:dyDescent="0.2">
      <c r="A80" t="s">
        <v>3363</v>
      </c>
      <c r="B80">
        <v>117680</v>
      </c>
      <c r="C80">
        <v>2019</v>
      </c>
      <c r="D80" t="s">
        <v>23</v>
      </c>
      <c r="E80" t="s">
        <v>13</v>
      </c>
      <c r="F80">
        <v>0</v>
      </c>
      <c r="G80">
        <v>1</v>
      </c>
      <c r="H80">
        <v>82.561859193438195</v>
      </c>
      <c r="I80" t="b">
        <v>0</v>
      </c>
      <c r="J80">
        <v>0</v>
      </c>
      <c r="K80" t="s">
        <v>14</v>
      </c>
      <c r="L80">
        <v>1</v>
      </c>
      <c r="M80">
        <v>0</v>
      </c>
      <c r="N80">
        <v>0</v>
      </c>
    </row>
    <row r="81" spans="1:14" x14ac:dyDescent="0.2">
      <c r="A81" t="s">
        <v>3364</v>
      </c>
      <c r="B81">
        <v>117796</v>
      </c>
      <c r="C81">
        <v>2018</v>
      </c>
      <c r="D81" t="s">
        <v>19</v>
      </c>
      <c r="E81" t="s">
        <v>13</v>
      </c>
      <c r="F81">
        <v>0</v>
      </c>
      <c r="G81">
        <v>3</v>
      </c>
      <c r="H81">
        <v>63.472317156527701</v>
      </c>
      <c r="I81" t="b">
        <v>0</v>
      </c>
      <c r="J81">
        <v>0</v>
      </c>
      <c r="K81" t="s">
        <v>14</v>
      </c>
      <c r="L81">
        <v>0</v>
      </c>
      <c r="M81">
        <v>0</v>
      </c>
      <c r="N81">
        <v>1</v>
      </c>
    </row>
    <row r="82" spans="1:14" x14ac:dyDescent="0.2">
      <c r="A82" t="s">
        <v>3365</v>
      </c>
      <c r="B82">
        <v>118504</v>
      </c>
      <c r="C82">
        <v>2018</v>
      </c>
      <c r="D82" t="s">
        <v>21</v>
      </c>
      <c r="E82" t="s">
        <v>16</v>
      </c>
      <c r="F82">
        <v>0</v>
      </c>
      <c r="G82">
        <v>7</v>
      </c>
      <c r="H82">
        <v>60.656185919343798</v>
      </c>
      <c r="I82" t="b">
        <v>0</v>
      </c>
      <c r="J82">
        <v>0</v>
      </c>
      <c r="K82" t="s">
        <v>14</v>
      </c>
      <c r="L82">
        <v>1</v>
      </c>
      <c r="M82">
        <v>0</v>
      </c>
      <c r="N82">
        <v>0</v>
      </c>
    </row>
    <row r="83" spans="1:14" x14ac:dyDescent="0.2">
      <c r="A83" t="s">
        <v>3366</v>
      </c>
      <c r="B83">
        <v>118557</v>
      </c>
      <c r="C83">
        <v>2018</v>
      </c>
      <c r="D83" t="s">
        <v>21</v>
      </c>
      <c r="E83" t="s">
        <v>16</v>
      </c>
      <c r="F83">
        <v>0</v>
      </c>
      <c r="G83">
        <v>6</v>
      </c>
      <c r="H83">
        <v>71.095010252904999</v>
      </c>
      <c r="I83" t="b">
        <v>1</v>
      </c>
      <c r="J83">
        <v>1</v>
      </c>
      <c r="K83" t="s">
        <v>14</v>
      </c>
      <c r="L83">
        <v>0</v>
      </c>
      <c r="M83">
        <v>0</v>
      </c>
      <c r="N83">
        <v>0</v>
      </c>
    </row>
    <row r="84" spans="1:14" x14ac:dyDescent="0.2">
      <c r="A84" t="s">
        <v>3367</v>
      </c>
      <c r="B84">
        <v>118609</v>
      </c>
      <c r="C84">
        <v>2019</v>
      </c>
      <c r="D84" t="s">
        <v>12</v>
      </c>
      <c r="E84" t="s">
        <v>16</v>
      </c>
      <c r="F84">
        <v>0</v>
      </c>
      <c r="G84">
        <v>0</v>
      </c>
      <c r="H84">
        <v>32.9788106630212</v>
      </c>
      <c r="I84" t="b">
        <v>1</v>
      </c>
      <c r="J84">
        <v>0</v>
      </c>
      <c r="K84" t="s">
        <v>14</v>
      </c>
      <c r="L84">
        <v>1</v>
      </c>
      <c r="M84">
        <v>0</v>
      </c>
      <c r="N84">
        <v>0</v>
      </c>
    </row>
    <row r="85" spans="1:14" x14ac:dyDescent="0.2">
      <c r="A85" t="s">
        <v>3368</v>
      </c>
      <c r="B85">
        <v>118620</v>
      </c>
      <c r="C85">
        <v>2019</v>
      </c>
      <c r="D85" t="s">
        <v>22</v>
      </c>
      <c r="E85" t="s">
        <v>16</v>
      </c>
      <c r="F85">
        <v>0</v>
      </c>
      <c r="G85">
        <v>7</v>
      </c>
      <c r="H85">
        <v>92.128503075871507</v>
      </c>
      <c r="I85" t="b">
        <v>0</v>
      </c>
      <c r="J85">
        <v>0</v>
      </c>
      <c r="K85" t="s">
        <v>14</v>
      </c>
      <c r="L85">
        <v>0</v>
      </c>
      <c r="M85">
        <v>1</v>
      </c>
      <c r="N85">
        <v>0</v>
      </c>
    </row>
    <row r="86" spans="1:14" x14ac:dyDescent="0.2">
      <c r="A86" t="s">
        <v>3369</v>
      </c>
      <c r="B86">
        <v>118630</v>
      </c>
      <c r="C86">
        <v>2018</v>
      </c>
      <c r="D86" t="s">
        <v>12</v>
      </c>
      <c r="E86" t="s">
        <v>13</v>
      </c>
      <c r="F86">
        <v>0</v>
      </c>
      <c r="G86">
        <v>2</v>
      </c>
      <c r="H86">
        <v>88.177717019822296</v>
      </c>
      <c r="I86" t="b">
        <v>1</v>
      </c>
      <c r="J86">
        <v>0</v>
      </c>
      <c r="K86" t="s">
        <v>14</v>
      </c>
      <c r="L86">
        <v>1</v>
      </c>
      <c r="M86">
        <v>0</v>
      </c>
      <c r="N86">
        <v>1</v>
      </c>
    </row>
    <row r="87" spans="1:14" x14ac:dyDescent="0.2">
      <c r="A87" t="s">
        <v>3370</v>
      </c>
      <c r="B87">
        <v>118653</v>
      </c>
      <c r="C87">
        <v>2018</v>
      </c>
      <c r="D87" t="s">
        <v>12</v>
      </c>
      <c r="E87" t="s">
        <v>16</v>
      </c>
      <c r="F87">
        <v>0</v>
      </c>
      <c r="G87">
        <v>2</v>
      </c>
      <c r="H87">
        <v>79.321941216678098</v>
      </c>
      <c r="I87" t="b">
        <v>1</v>
      </c>
      <c r="J87" t="s">
        <v>18</v>
      </c>
      <c r="K87" t="s">
        <v>14</v>
      </c>
      <c r="L87">
        <v>0</v>
      </c>
      <c r="M87">
        <v>0</v>
      </c>
      <c r="N87">
        <v>0</v>
      </c>
    </row>
    <row r="88" spans="1:14" x14ac:dyDescent="0.2">
      <c r="A88" t="s">
        <v>3371</v>
      </c>
      <c r="B88">
        <v>118708</v>
      </c>
      <c r="C88">
        <v>2018</v>
      </c>
      <c r="D88" t="s">
        <v>12</v>
      </c>
      <c r="E88" t="s">
        <v>13</v>
      </c>
      <c r="F88">
        <v>0</v>
      </c>
      <c r="G88">
        <v>0</v>
      </c>
      <c r="H88">
        <v>78.570061517429906</v>
      </c>
      <c r="I88" t="b">
        <v>1</v>
      </c>
      <c r="J88">
        <v>0</v>
      </c>
      <c r="K88" t="s">
        <v>14</v>
      </c>
      <c r="L88">
        <v>1</v>
      </c>
      <c r="M88">
        <v>0</v>
      </c>
      <c r="N88">
        <v>0</v>
      </c>
    </row>
    <row r="89" spans="1:14" x14ac:dyDescent="0.2">
      <c r="A89" t="s">
        <v>3372</v>
      </c>
      <c r="B89">
        <v>118828</v>
      </c>
      <c r="C89">
        <v>2018</v>
      </c>
      <c r="D89" t="s">
        <v>23</v>
      </c>
      <c r="E89" t="s">
        <v>16</v>
      </c>
      <c r="F89">
        <v>0</v>
      </c>
      <c r="G89">
        <v>2</v>
      </c>
      <c r="H89">
        <v>92.792891319207101</v>
      </c>
      <c r="I89" t="b">
        <v>0</v>
      </c>
      <c r="J89">
        <v>0</v>
      </c>
      <c r="K89" t="s">
        <v>14</v>
      </c>
      <c r="L89">
        <v>0</v>
      </c>
      <c r="M89">
        <v>0</v>
      </c>
      <c r="N89">
        <v>0</v>
      </c>
    </row>
    <row r="90" spans="1:14" x14ac:dyDescent="0.2">
      <c r="A90" t="s">
        <v>3373</v>
      </c>
      <c r="B90">
        <v>119159</v>
      </c>
      <c r="C90">
        <v>2019</v>
      </c>
      <c r="D90" t="s">
        <v>12</v>
      </c>
      <c r="E90" t="s">
        <v>13</v>
      </c>
      <c r="F90">
        <v>0</v>
      </c>
      <c r="G90">
        <v>2</v>
      </c>
      <c r="H90">
        <v>85.547505126452506</v>
      </c>
      <c r="I90" t="b">
        <v>0</v>
      </c>
      <c r="J90">
        <v>0</v>
      </c>
      <c r="K90" t="s">
        <v>14</v>
      </c>
      <c r="L90">
        <v>0</v>
      </c>
      <c r="M90">
        <v>0</v>
      </c>
      <c r="N90">
        <v>0</v>
      </c>
    </row>
    <row r="91" spans="1:14" x14ac:dyDescent="0.2">
      <c r="A91" t="s">
        <v>3374</v>
      </c>
      <c r="B91">
        <v>119192</v>
      </c>
      <c r="C91">
        <v>2019</v>
      </c>
      <c r="D91" t="s">
        <v>17</v>
      </c>
      <c r="E91" t="s">
        <v>16</v>
      </c>
      <c r="F91">
        <v>1</v>
      </c>
      <c r="G91">
        <v>2</v>
      </c>
      <c r="H91">
        <v>56.336295283663702</v>
      </c>
      <c r="I91" t="b">
        <v>0</v>
      </c>
      <c r="J91">
        <v>0</v>
      </c>
      <c r="K91" t="s">
        <v>14</v>
      </c>
      <c r="L91">
        <v>0</v>
      </c>
      <c r="M91">
        <v>0</v>
      </c>
      <c r="N91">
        <v>0</v>
      </c>
    </row>
    <row r="92" spans="1:14" x14ac:dyDescent="0.2">
      <c r="A92" t="s">
        <v>3375</v>
      </c>
      <c r="B92">
        <v>119210</v>
      </c>
      <c r="C92">
        <v>2019</v>
      </c>
      <c r="D92" t="s">
        <v>22</v>
      </c>
      <c r="E92" t="s">
        <v>16</v>
      </c>
      <c r="F92">
        <v>0</v>
      </c>
      <c r="G92">
        <v>3</v>
      </c>
      <c r="H92">
        <v>48.112098427887901</v>
      </c>
      <c r="I92" t="b">
        <v>0</v>
      </c>
      <c r="J92">
        <v>0</v>
      </c>
      <c r="K92" t="s">
        <v>14</v>
      </c>
      <c r="L92">
        <v>1</v>
      </c>
      <c r="M92">
        <v>0</v>
      </c>
      <c r="N92">
        <v>0</v>
      </c>
    </row>
    <row r="93" spans="1:14" x14ac:dyDescent="0.2">
      <c r="A93" t="s">
        <v>3376</v>
      </c>
      <c r="B93">
        <v>119247</v>
      </c>
      <c r="C93">
        <v>2018</v>
      </c>
      <c r="D93" t="s">
        <v>12</v>
      </c>
      <c r="E93" t="s">
        <v>13</v>
      </c>
      <c r="F93">
        <v>0</v>
      </c>
      <c r="G93">
        <v>8</v>
      </c>
      <c r="H93">
        <v>82.187286397812699</v>
      </c>
      <c r="I93" t="b">
        <v>0</v>
      </c>
      <c r="J93" t="s">
        <v>18</v>
      </c>
      <c r="K93" t="s">
        <v>14</v>
      </c>
      <c r="L93">
        <v>0</v>
      </c>
      <c r="M93">
        <v>0</v>
      </c>
      <c r="N93">
        <v>0</v>
      </c>
    </row>
    <row r="94" spans="1:14" x14ac:dyDescent="0.2">
      <c r="A94" t="s">
        <v>3377</v>
      </c>
      <c r="B94">
        <v>119247</v>
      </c>
      <c r="C94">
        <v>2019</v>
      </c>
      <c r="D94" t="s">
        <v>20</v>
      </c>
      <c r="E94" t="s">
        <v>16</v>
      </c>
      <c r="F94">
        <v>0</v>
      </c>
      <c r="G94">
        <v>0</v>
      </c>
      <c r="H94">
        <v>90.649350649350694</v>
      </c>
      <c r="I94" t="b">
        <v>0</v>
      </c>
      <c r="J94">
        <v>0</v>
      </c>
      <c r="K94" t="s">
        <v>14</v>
      </c>
      <c r="L94">
        <v>0</v>
      </c>
      <c r="M94">
        <v>0</v>
      </c>
      <c r="N94">
        <v>0</v>
      </c>
    </row>
    <row r="95" spans="1:14" x14ac:dyDescent="0.2">
      <c r="A95" t="s">
        <v>3378</v>
      </c>
      <c r="B95">
        <v>119436</v>
      </c>
      <c r="C95">
        <v>2019</v>
      </c>
      <c r="D95" t="s">
        <v>12</v>
      </c>
      <c r="E95" t="s">
        <v>16</v>
      </c>
      <c r="F95">
        <v>0</v>
      </c>
      <c r="G95">
        <v>3</v>
      </c>
      <c r="H95">
        <v>75.762132604237905</v>
      </c>
      <c r="I95" t="b">
        <v>0</v>
      </c>
      <c r="J95">
        <v>0</v>
      </c>
      <c r="K95" t="s">
        <v>14</v>
      </c>
      <c r="L95">
        <v>0</v>
      </c>
      <c r="M95">
        <v>0</v>
      </c>
      <c r="N95">
        <v>1</v>
      </c>
    </row>
    <row r="96" spans="1:14" x14ac:dyDescent="0.2">
      <c r="A96" t="s">
        <v>3379</v>
      </c>
      <c r="B96">
        <v>119761</v>
      </c>
      <c r="C96">
        <v>2019</v>
      </c>
      <c r="D96" t="s">
        <v>22</v>
      </c>
      <c r="E96" t="s">
        <v>16</v>
      </c>
      <c r="F96">
        <v>0</v>
      </c>
      <c r="G96">
        <v>1</v>
      </c>
      <c r="H96">
        <v>72.8803827751196</v>
      </c>
      <c r="I96" t="b">
        <v>0</v>
      </c>
      <c r="J96">
        <v>0</v>
      </c>
      <c r="K96" t="s">
        <v>14</v>
      </c>
      <c r="L96">
        <v>0</v>
      </c>
      <c r="M96">
        <v>0</v>
      </c>
      <c r="N96">
        <v>0</v>
      </c>
    </row>
    <row r="97" spans="1:14" x14ac:dyDescent="0.2">
      <c r="A97" t="s">
        <v>3380</v>
      </c>
      <c r="B97">
        <v>119812</v>
      </c>
      <c r="C97">
        <v>2018</v>
      </c>
      <c r="D97" t="s">
        <v>12</v>
      </c>
      <c r="E97" t="s">
        <v>16</v>
      </c>
      <c r="F97">
        <v>0</v>
      </c>
      <c r="G97">
        <v>0</v>
      </c>
      <c r="H97">
        <v>58.9364319890636</v>
      </c>
      <c r="I97" t="b">
        <v>1</v>
      </c>
      <c r="J97">
        <v>0</v>
      </c>
      <c r="K97" t="s">
        <v>14</v>
      </c>
      <c r="L97">
        <v>0</v>
      </c>
      <c r="M97">
        <v>0</v>
      </c>
      <c r="N97">
        <v>0</v>
      </c>
    </row>
    <row r="98" spans="1:14" x14ac:dyDescent="0.2">
      <c r="A98" t="s">
        <v>3381</v>
      </c>
      <c r="B98">
        <v>120125</v>
      </c>
      <c r="C98">
        <v>2018</v>
      </c>
      <c r="D98" t="s">
        <v>21</v>
      </c>
      <c r="E98" t="s">
        <v>13</v>
      </c>
      <c r="F98">
        <v>0</v>
      </c>
      <c r="G98">
        <v>0</v>
      </c>
      <c r="H98">
        <v>97.178400546821607</v>
      </c>
      <c r="I98" t="b">
        <v>0</v>
      </c>
      <c r="J98">
        <v>0</v>
      </c>
      <c r="K98" t="s">
        <v>14</v>
      </c>
      <c r="L98">
        <v>0</v>
      </c>
      <c r="M98">
        <v>1</v>
      </c>
      <c r="N98">
        <v>0</v>
      </c>
    </row>
    <row r="99" spans="1:14" x14ac:dyDescent="0.2">
      <c r="A99" t="s">
        <v>3382</v>
      </c>
      <c r="B99">
        <v>120434</v>
      </c>
      <c r="C99">
        <v>2018</v>
      </c>
      <c r="D99" t="s">
        <v>12</v>
      </c>
      <c r="E99" t="s">
        <v>13</v>
      </c>
      <c r="F99">
        <v>0</v>
      </c>
      <c r="G99">
        <v>3</v>
      </c>
      <c r="H99">
        <v>63.7293233082707</v>
      </c>
      <c r="I99" t="b">
        <v>1</v>
      </c>
      <c r="J99" t="s">
        <v>18</v>
      </c>
      <c r="K99" t="s">
        <v>14</v>
      </c>
      <c r="L99">
        <v>0</v>
      </c>
      <c r="M99">
        <v>0</v>
      </c>
      <c r="N99">
        <v>1</v>
      </c>
    </row>
    <row r="100" spans="1:14" x14ac:dyDescent="0.2">
      <c r="A100" t="s">
        <v>3383</v>
      </c>
      <c r="B100">
        <v>120507</v>
      </c>
      <c r="C100">
        <v>2018</v>
      </c>
      <c r="D100" t="s">
        <v>12</v>
      </c>
      <c r="E100" t="s">
        <v>16</v>
      </c>
      <c r="F100">
        <v>0</v>
      </c>
      <c r="G100">
        <v>0</v>
      </c>
      <c r="H100">
        <v>68.103896103896105</v>
      </c>
      <c r="I100" t="b">
        <v>0</v>
      </c>
      <c r="J100">
        <v>0</v>
      </c>
      <c r="K100" t="s">
        <v>14</v>
      </c>
      <c r="L100">
        <v>0</v>
      </c>
      <c r="M100">
        <v>0</v>
      </c>
      <c r="N100">
        <v>0</v>
      </c>
    </row>
    <row r="101" spans="1:14" x14ac:dyDescent="0.2">
      <c r="A101" t="s">
        <v>3384</v>
      </c>
      <c r="B101">
        <v>120569</v>
      </c>
      <c r="C101">
        <v>2018</v>
      </c>
      <c r="D101" t="s">
        <v>12</v>
      </c>
      <c r="E101" t="s">
        <v>16</v>
      </c>
      <c r="F101">
        <v>0</v>
      </c>
      <c r="G101">
        <v>3</v>
      </c>
      <c r="H101">
        <v>78.835269993164701</v>
      </c>
      <c r="I101" t="b">
        <v>1</v>
      </c>
      <c r="J101">
        <v>0</v>
      </c>
      <c r="K101" t="s">
        <v>14</v>
      </c>
      <c r="L101">
        <v>0</v>
      </c>
      <c r="M101">
        <v>0</v>
      </c>
      <c r="N101">
        <v>0</v>
      </c>
    </row>
    <row r="102" spans="1:14" x14ac:dyDescent="0.2">
      <c r="A102" t="s">
        <v>3385</v>
      </c>
      <c r="B102">
        <v>120626</v>
      </c>
      <c r="C102">
        <v>2019</v>
      </c>
      <c r="D102" t="s">
        <v>12</v>
      </c>
      <c r="E102" t="s">
        <v>13</v>
      </c>
      <c r="F102">
        <v>0</v>
      </c>
      <c r="G102">
        <v>0</v>
      </c>
      <c r="H102">
        <v>34.351332877648701</v>
      </c>
      <c r="I102" t="b">
        <v>1</v>
      </c>
      <c r="J102">
        <v>0</v>
      </c>
      <c r="K102" t="s">
        <v>14</v>
      </c>
      <c r="L102">
        <v>0</v>
      </c>
      <c r="M102">
        <v>0</v>
      </c>
      <c r="N102">
        <v>0</v>
      </c>
    </row>
    <row r="103" spans="1:14" x14ac:dyDescent="0.2">
      <c r="A103" t="s">
        <v>3386</v>
      </c>
      <c r="B103">
        <v>120706</v>
      </c>
      <c r="C103">
        <v>2018</v>
      </c>
      <c r="D103" t="s">
        <v>19</v>
      </c>
      <c r="E103" t="s">
        <v>13</v>
      </c>
      <c r="F103">
        <v>0</v>
      </c>
      <c r="G103">
        <v>7</v>
      </c>
      <c r="H103">
        <v>88.366370471633601</v>
      </c>
      <c r="I103" t="b">
        <v>0</v>
      </c>
      <c r="J103">
        <v>0</v>
      </c>
      <c r="K103" t="s">
        <v>14</v>
      </c>
      <c r="L103">
        <v>0</v>
      </c>
      <c r="M103">
        <v>1</v>
      </c>
      <c r="N103">
        <v>0</v>
      </c>
    </row>
    <row r="104" spans="1:14" x14ac:dyDescent="0.2">
      <c r="A104" t="s">
        <v>3387</v>
      </c>
      <c r="B104">
        <v>121362</v>
      </c>
      <c r="C104">
        <v>2018</v>
      </c>
      <c r="D104" t="s">
        <v>19</v>
      </c>
      <c r="E104" t="s">
        <v>16</v>
      </c>
      <c r="F104">
        <v>1</v>
      </c>
      <c r="G104">
        <v>2</v>
      </c>
      <c r="H104">
        <v>63.004784688995201</v>
      </c>
      <c r="I104" t="b">
        <v>0</v>
      </c>
      <c r="J104">
        <v>0</v>
      </c>
      <c r="K104" t="s">
        <v>14</v>
      </c>
      <c r="L104">
        <v>0</v>
      </c>
      <c r="M104">
        <v>0</v>
      </c>
      <c r="N104">
        <v>0</v>
      </c>
    </row>
    <row r="105" spans="1:14" x14ac:dyDescent="0.2">
      <c r="A105" t="s">
        <v>3388</v>
      </c>
      <c r="B105">
        <v>121531</v>
      </c>
      <c r="C105">
        <v>2019</v>
      </c>
      <c r="D105" t="s">
        <v>12</v>
      </c>
      <c r="E105" t="s">
        <v>16</v>
      </c>
      <c r="F105">
        <v>0</v>
      </c>
      <c r="G105">
        <v>0</v>
      </c>
      <c r="H105">
        <v>69.438140806561904</v>
      </c>
      <c r="I105" t="b">
        <v>0</v>
      </c>
      <c r="J105" t="s">
        <v>18</v>
      </c>
      <c r="K105" t="s">
        <v>14</v>
      </c>
      <c r="L105">
        <v>1</v>
      </c>
      <c r="M105">
        <v>0</v>
      </c>
      <c r="N105">
        <v>0</v>
      </c>
    </row>
    <row r="106" spans="1:14" x14ac:dyDescent="0.2">
      <c r="A106" t="s">
        <v>3389</v>
      </c>
      <c r="B106">
        <v>121582</v>
      </c>
      <c r="C106">
        <v>2018</v>
      </c>
      <c r="D106" t="s">
        <v>17</v>
      </c>
      <c r="E106" t="s">
        <v>16</v>
      </c>
      <c r="F106">
        <v>0</v>
      </c>
      <c r="G106">
        <v>1</v>
      </c>
      <c r="H106">
        <v>35.012987012986997</v>
      </c>
      <c r="I106" t="b">
        <v>0</v>
      </c>
      <c r="J106">
        <v>0</v>
      </c>
      <c r="K106" t="s">
        <v>14</v>
      </c>
      <c r="L106">
        <v>1</v>
      </c>
      <c r="M106">
        <v>0</v>
      </c>
      <c r="N106">
        <v>0</v>
      </c>
    </row>
    <row r="107" spans="1:14" x14ac:dyDescent="0.2">
      <c r="A107" t="s">
        <v>3390</v>
      </c>
      <c r="B107">
        <v>121852</v>
      </c>
      <c r="C107">
        <v>2018</v>
      </c>
      <c r="D107" t="s">
        <v>12</v>
      </c>
      <c r="E107" t="s">
        <v>13</v>
      </c>
      <c r="F107">
        <v>0</v>
      </c>
      <c r="G107">
        <v>1</v>
      </c>
      <c r="H107">
        <v>94.017771701982198</v>
      </c>
      <c r="I107" t="b">
        <v>0</v>
      </c>
      <c r="J107">
        <v>0</v>
      </c>
      <c r="K107" t="s">
        <v>14</v>
      </c>
      <c r="L107">
        <v>0</v>
      </c>
      <c r="M107">
        <v>0</v>
      </c>
      <c r="N107">
        <v>0</v>
      </c>
    </row>
    <row r="108" spans="1:14" x14ac:dyDescent="0.2">
      <c r="A108" t="s">
        <v>3391</v>
      </c>
      <c r="B108">
        <v>122060</v>
      </c>
      <c r="C108">
        <v>2018</v>
      </c>
      <c r="D108" t="s">
        <v>12</v>
      </c>
      <c r="E108" t="s">
        <v>13</v>
      </c>
      <c r="F108">
        <v>0</v>
      </c>
      <c r="G108">
        <v>2</v>
      </c>
      <c r="H108">
        <v>93.544771018455194</v>
      </c>
      <c r="I108" t="b">
        <v>1</v>
      </c>
      <c r="J108">
        <v>0</v>
      </c>
      <c r="K108" t="s">
        <v>14</v>
      </c>
      <c r="L108">
        <v>0</v>
      </c>
      <c r="M108">
        <v>0</v>
      </c>
      <c r="N108">
        <v>0</v>
      </c>
    </row>
    <row r="109" spans="1:14" x14ac:dyDescent="0.2">
      <c r="A109" t="s">
        <v>3392</v>
      </c>
      <c r="B109">
        <v>122407</v>
      </c>
      <c r="C109">
        <v>2018</v>
      </c>
      <c r="D109" t="s">
        <v>12</v>
      </c>
      <c r="E109" t="s">
        <v>16</v>
      </c>
      <c r="F109">
        <v>0</v>
      </c>
      <c r="G109">
        <v>8</v>
      </c>
      <c r="H109">
        <v>76.442925495557105</v>
      </c>
      <c r="I109" t="b">
        <v>1</v>
      </c>
      <c r="J109">
        <v>0</v>
      </c>
      <c r="K109" t="s">
        <v>14</v>
      </c>
      <c r="L109">
        <v>1</v>
      </c>
      <c r="M109">
        <v>0</v>
      </c>
      <c r="N109">
        <v>0</v>
      </c>
    </row>
    <row r="110" spans="1:14" x14ac:dyDescent="0.2">
      <c r="A110" t="s">
        <v>3393</v>
      </c>
      <c r="B110">
        <v>122551</v>
      </c>
      <c r="C110">
        <v>2018</v>
      </c>
      <c r="D110" t="s">
        <v>20</v>
      </c>
      <c r="E110" t="s">
        <v>13</v>
      </c>
      <c r="F110">
        <v>1</v>
      </c>
      <c r="G110">
        <v>2</v>
      </c>
      <c r="H110">
        <v>72.101161995898806</v>
      </c>
      <c r="I110" t="b">
        <v>0</v>
      </c>
      <c r="J110">
        <v>0</v>
      </c>
      <c r="K110" t="s">
        <v>14</v>
      </c>
      <c r="L110">
        <v>0</v>
      </c>
      <c r="M110">
        <v>0</v>
      </c>
      <c r="N110">
        <v>0</v>
      </c>
    </row>
    <row r="111" spans="1:14" x14ac:dyDescent="0.2">
      <c r="A111" t="s">
        <v>3394</v>
      </c>
      <c r="B111">
        <v>122576</v>
      </c>
      <c r="C111">
        <v>2019</v>
      </c>
      <c r="D111" t="s">
        <v>12</v>
      </c>
      <c r="E111" t="s">
        <v>13</v>
      </c>
      <c r="F111">
        <v>1</v>
      </c>
      <c r="G111">
        <v>3</v>
      </c>
      <c r="H111">
        <v>83.548872180451099</v>
      </c>
      <c r="I111" t="b">
        <v>0</v>
      </c>
      <c r="J111">
        <v>0</v>
      </c>
      <c r="K111" t="s">
        <v>14</v>
      </c>
      <c r="L111">
        <v>0</v>
      </c>
      <c r="M111">
        <v>1</v>
      </c>
      <c r="N111">
        <v>0</v>
      </c>
    </row>
    <row r="112" spans="1:14" x14ac:dyDescent="0.2">
      <c r="A112" t="s">
        <v>3395</v>
      </c>
      <c r="B112">
        <v>122582</v>
      </c>
      <c r="C112">
        <v>2019</v>
      </c>
      <c r="D112" t="s">
        <v>12</v>
      </c>
      <c r="E112" t="s">
        <v>13</v>
      </c>
      <c r="F112">
        <v>0</v>
      </c>
      <c r="G112">
        <v>1</v>
      </c>
      <c r="H112">
        <v>88.658920027341097</v>
      </c>
      <c r="I112" t="b">
        <v>1</v>
      </c>
      <c r="J112" t="s">
        <v>18</v>
      </c>
      <c r="K112" t="s">
        <v>14</v>
      </c>
      <c r="L112">
        <v>0</v>
      </c>
      <c r="M112">
        <v>0</v>
      </c>
      <c r="N112">
        <v>0</v>
      </c>
    </row>
    <row r="113" spans="1:14" x14ac:dyDescent="0.2">
      <c r="A113" t="s">
        <v>3396</v>
      </c>
      <c r="B113">
        <v>122752</v>
      </c>
      <c r="C113">
        <v>2018</v>
      </c>
      <c r="D113" t="s">
        <v>12</v>
      </c>
      <c r="E113" t="s">
        <v>13</v>
      </c>
      <c r="F113">
        <v>0</v>
      </c>
      <c r="G113">
        <v>0</v>
      </c>
      <c r="H113">
        <v>55.097744360902297</v>
      </c>
      <c r="I113" t="b">
        <v>0</v>
      </c>
      <c r="J113">
        <v>0</v>
      </c>
      <c r="K113" t="s">
        <v>14</v>
      </c>
      <c r="L113">
        <v>0</v>
      </c>
      <c r="M113">
        <v>0</v>
      </c>
      <c r="N113">
        <v>0</v>
      </c>
    </row>
    <row r="114" spans="1:14" x14ac:dyDescent="0.2">
      <c r="A114" t="s">
        <v>3397</v>
      </c>
      <c r="B114">
        <v>123429</v>
      </c>
      <c r="C114">
        <v>2018</v>
      </c>
      <c r="D114" t="s">
        <v>12</v>
      </c>
      <c r="E114" t="s">
        <v>13</v>
      </c>
      <c r="F114">
        <v>0</v>
      </c>
      <c r="G114">
        <v>0</v>
      </c>
      <c r="H114">
        <v>82.406015037594003</v>
      </c>
      <c r="I114" t="b">
        <v>1</v>
      </c>
      <c r="J114">
        <v>0</v>
      </c>
      <c r="K114" t="s">
        <v>14</v>
      </c>
      <c r="L114">
        <v>0</v>
      </c>
      <c r="M114">
        <v>0</v>
      </c>
      <c r="N114">
        <v>0</v>
      </c>
    </row>
    <row r="115" spans="1:14" x14ac:dyDescent="0.2">
      <c r="A115" t="s">
        <v>3398</v>
      </c>
      <c r="B115">
        <v>123488</v>
      </c>
      <c r="C115">
        <v>2018</v>
      </c>
      <c r="D115" t="s">
        <v>12</v>
      </c>
      <c r="E115" t="s">
        <v>13</v>
      </c>
      <c r="F115">
        <v>1</v>
      </c>
      <c r="G115">
        <v>2</v>
      </c>
      <c r="H115">
        <v>62.534518113465502</v>
      </c>
      <c r="I115" t="b">
        <v>1</v>
      </c>
      <c r="J115">
        <v>0</v>
      </c>
      <c r="K115" t="s">
        <v>14</v>
      </c>
      <c r="L115">
        <v>0</v>
      </c>
      <c r="M115">
        <v>0</v>
      </c>
      <c r="N115">
        <v>0</v>
      </c>
    </row>
    <row r="116" spans="1:14" x14ac:dyDescent="0.2">
      <c r="A116" t="s">
        <v>3399</v>
      </c>
      <c r="B116">
        <v>123536</v>
      </c>
      <c r="C116">
        <v>2018</v>
      </c>
      <c r="D116" t="s">
        <v>20</v>
      </c>
      <c r="E116" t="s">
        <v>16</v>
      </c>
      <c r="F116">
        <v>1</v>
      </c>
      <c r="G116">
        <v>2</v>
      </c>
      <c r="H116">
        <v>30.4825700615174</v>
      </c>
      <c r="I116" t="b">
        <v>0</v>
      </c>
      <c r="J116">
        <v>0</v>
      </c>
      <c r="K116" t="s">
        <v>14</v>
      </c>
      <c r="L116">
        <v>0</v>
      </c>
      <c r="M116">
        <v>0</v>
      </c>
      <c r="N116">
        <v>0</v>
      </c>
    </row>
    <row r="117" spans="1:14" x14ac:dyDescent="0.2">
      <c r="A117" t="s">
        <v>3400</v>
      </c>
      <c r="B117">
        <v>123767</v>
      </c>
      <c r="C117">
        <v>2019</v>
      </c>
      <c r="D117" t="s">
        <v>12</v>
      </c>
      <c r="E117" t="s">
        <v>16</v>
      </c>
      <c r="F117">
        <v>0</v>
      </c>
      <c r="G117">
        <v>2</v>
      </c>
      <c r="H117">
        <v>89.719753930280206</v>
      </c>
      <c r="I117" t="b">
        <v>0</v>
      </c>
      <c r="J117">
        <v>0</v>
      </c>
      <c r="K117" t="s">
        <v>14</v>
      </c>
      <c r="L117">
        <v>0</v>
      </c>
      <c r="M117">
        <v>0</v>
      </c>
      <c r="N117">
        <v>0</v>
      </c>
    </row>
    <row r="118" spans="1:14" x14ac:dyDescent="0.2">
      <c r="A118" t="s">
        <v>3401</v>
      </c>
      <c r="B118">
        <v>123940</v>
      </c>
      <c r="C118">
        <v>2018</v>
      </c>
      <c r="D118" t="s">
        <v>12</v>
      </c>
      <c r="E118" t="s">
        <v>13</v>
      </c>
      <c r="F118">
        <v>0</v>
      </c>
      <c r="G118">
        <v>0</v>
      </c>
      <c r="H118">
        <v>66.753246753246799</v>
      </c>
      <c r="I118" t="b">
        <v>1</v>
      </c>
      <c r="J118">
        <v>0</v>
      </c>
      <c r="K118" t="s">
        <v>14</v>
      </c>
      <c r="L118">
        <v>0</v>
      </c>
      <c r="M118">
        <v>0</v>
      </c>
      <c r="N118">
        <v>0</v>
      </c>
    </row>
    <row r="119" spans="1:14" x14ac:dyDescent="0.2">
      <c r="A119" t="s">
        <v>3402</v>
      </c>
      <c r="B119">
        <v>123955</v>
      </c>
      <c r="C119">
        <v>2018</v>
      </c>
      <c r="D119" t="s">
        <v>17</v>
      </c>
      <c r="E119" t="s">
        <v>16</v>
      </c>
      <c r="F119">
        <v>1</v>
      </c>
      <c r="G119">
        <v>4</v>
      </c>
      <c r="H119">
        <v>58.190020505809997</v>
      </c>
      <c r="I119" t="b">
        <v>0</v>
      </c>
      <c r="J119">
        <v>0</v>
      </c>
      <c r="K119" t="s">
        <v>14</v>
      </c>
      <c r="L119">
        <v>1</v>
      </c>
      <c r="M119">
        <v>0</v>
      </c>
      <c r="N119">
        <v>0</v>
      </c>
    </row>
    <row r="120" spans="1:14" x14ac:dyDescent="0.2">
      <c r="A120" t="s">
        <v>3403</v>
      </c>
      <c r="B120">
        <v>123972</v>
      </c>
      <c r="C120">
        <v>2018</v>
      </c>
      <c r="D120" t="s">
        <v>12</v>
      </c>
      <c r="E120" t="s">
        <v>16</v>
      </c>
      <c r="F120">
        <v>0</v>
      </c>
      <c r="G120">
        <v>2</v>
      </c>
      <c r="H120">
        <v>74.083390293916594</v>
      </c>
      <c r="I120" t="b">
        <v>0</v>
      </c>
      <c r="J120">
        <v>0</v>
      </c>
      <c r="K120" t="s">
        <v>14</v>
      </c>
      <c r="L120">
        <v>0</v>
      </c>
      <c r="M120">
        <v>0</v>
      </c>
      <c r="N120">
        <v>0</v>
      </c>
    </row>
    <row r="121" spans="1:14" x14ac:dyDescent="0.2">
      <c r="A121" t="s">
        <v>3404</v>
      </c>
      <c r="B121">
        <v>124121</v>
      </c>
      <c r="C121">
        <v>2018</v>
      </c>
      <c r="D121" t="s">
        <v>12</v>
      </c>
      <c r="E121" t="s">
        <v>16</v>
      </c>
      <c r="F121">
        <v>1</v>
      </c>
      <c r="G121">
        <v>2</v>
      </c>
      <c r="H121">
        <v>70.974709501025302</v>
      </c>
      <c r="I121" t="b">
        <v>0</v>
      </c>
      <c r="J121">
        <v>0</v>
      </c>
      <c r="K121" t="s">
        <v>14</v>
      </c>
      <c r="L121">
        <v>0</v>
      </c>
      <c r="M121">
        <v>0</v>
      </c>
      <c r="N121">
        <v>0</v>
      </c>
    </row>
    <row r="122" spans="1:14" x14ac:dyDescent="0.2">
      <c r="A122" t="s">
        <v>3405</v>
      </c>
      <c r="B122">
        <v>124391</v>
      </c>
      <c r="C122">
        <v>2019</v>
      </c>
      <c r="D122" t="s">
        <v>12</v>
      </c>
      <c r="E122" t="s">
        <v>16</v>
      </c>
      <c r="F122">
        <v>0</v>
      </c>
      <c r="G122">
        <v>2</v>
      </c>
      <c r="H122">
        <v>37.093643198906399</v>
      </c>
      <c r="I122" t="b">
        <v>0</v>
      </c>
      <c r="J122">
        <v>1</v>
      </c>
      <c r="K122" t="s">
        <v>14</v>
      </c>
      <c r="L122">
        <v>1</v>
      </c>
      <c r="M122">
        <v>0</v>
      </c>
      <c r="N122">
        <v>0</v>
      </c>
    </row>
    <row r="123" spans="1:14" x14ac:dyDescent="0.2">
      <c r="A123" t="s">
        <v>3406</v>
      </c>
      <c r="B123">
        <v>124696</v>
      </c>
      <c r="C123">
        <v>2018</v>
      </c>
      <c r="D123" t="s">
        <v>17</v>
      </c>
      <c r="E123" t="s">
        <v>13</v>
      </c>
      <c r="F123">
        <v>1</v>
      </c>
      <c r="G123">
        <v>6</v>
      </c>
      <c r="H123">
        <v>57.6596035543404</v>
      </c>
      <c r="I123" t="b">
        <v>0</v>
      </c>
      <c r="J123">
        <v>0</v>
      </c>
      <c r="K123" t="s">
        <v>14</v>
      </c>
      <c r="L123">
        <v>0</v>
      </c>
      <c r="M123">
        <v>1</v>
      </c>
      <c r="N123">
        <v>0</v>
      </c>
    </row>
    <row r="124" spans="1:14" x14ac:dyDescent="0.2">
      <c r="A124" t="s">
        <v>3407</v>
      </c>
      <c r="B124">
        <v>125052</v>
      </c>
      <c r="C124">
        <v>2018</v>
      </c>
      <c r="D124" t="s">
        <v>24</v>
      </c>
      <c r="E124" t="s">
        <v>13</v>
      </c>
      <c r="F124">
        <v>0</v>
      </c>
      <c r="G124">
        <v>1</v>
      </c>
      <c r="H124">
        <v>70.304853041695196</v>
      </c>
      <c r="I124" t="b">
        <v>0</v>
      </c>
      <c r="J124">
        <v>0</v>
      </c>
      <c r="K124" t="s">
        <v>14</v>
      </c>
      <c r="L124">
        <v>0</v>
      </c>
      <c r="M124">
        <v>0</v>
      </c>
      <c r="N124">
        <v>0</v>
      </c>
    </row>
    <row r="125" spans="1:14" x14ac:dyDescent="0.2">
      <c r="A125" t="s">
        <v>3408</v>
      </c>
      <c r="B125">
        <v>125062</v>
      </c>
      <c r="C125">
        <v>2018</v>
      </c>
      <c r="D125" t="s">
        <v>12</v>
      </c>
      <c r="E125" t="s">
        <v>16</v>
      </c>
      <c r="F125">
        <v>0</v>
      </c>
      <c r="G125">
        <v>1</v>
      </c>
      <c r="H125">
        <v>87.934381408065605</v>
      </c>
      <c r="I125" t="b">
        <v>0</v>
      </c>
      <c r="J125">
        <v>0</v>
      </c>
      <c r="K125" t="s">
        <v>14</v>
      </c>
      <c r="L125">
        <v>0</v>
      </c>
      <c r="M125">
        <v>0</v>
      </c>
      <c r="N125">
        <v>1</v>
      </c>
    </row>
    <row r="126" spans="1:14" x14ac:dyDescent="0.2">
      <c r="A126" t="s">
        <v>3409</v>
      </c>
      <c r="B126">
        <v>125172</v>
      </c>
      <c r="C126">
        <v>2018</v>
      </c>
      <c r="D126" t="s">
        <v>12</v>
      </c>
      <c r="E126" t="s">
        <v>13</v>
      </c>
      <c r="F126">
        <v>0</v>
      </c>
      <c r="G126">
        <v>1</v>
      </c>
      <c r="H126">
        <v>83.034859876965101</v>
      </c>
      <c r="I126" t="b">
        <v>0</v>
      </c>
      <c r="J126">
        <v>0</v>
      </c>
      <c r="K126" t="s">
        <v>14</v>
      </c>
      <c r="L126">
        <v>0</v>
      </c>
      <c r="M126">
        <v>0</v>
      </c>
      <c r="N126">
        <v>0</v>
      </c>
    </row>
    <row r="127" spans="1:14" x14ac:dyDescent="0.2">
      <c r="A127" t="s">
        <v>3410</v>
      </c>
      <c r="B127">
        <v>125217</v>
      </c>
      <c r="C127">
        <v>2018</v>
      </c>
      <c r="D127" t="s">
        <v>20</v>
      </c>
      <c r="E127" t="s">
        <v>13</v>
      </c>
      <c r="F127">
        <v>0</v>
      </c>
      <c r="G127">
        <v>1</v>
      </c>
      <c r="H127">
        <v>86.523581681476401</v>
      </c>
      <c r="I127" t="b">
        <v>1</v>
      </c>
      <c r="J127">
        <v>1</v>
      </c>
      <c r="K127" t="s">
        <v>14</v>
      </c>
      <c r="L127">
        <v>0</v>
      </c>
      <c r="M127">
        <v>0</v>
      </c>
      <c r="N127">
        <v>0</v>
      </c>
    </row>
    <row r="128" spans="1:14" x14ac:dyDescent="0.2">
      <c r="A128" t="s">
        <v>3411</v>
      </c>
      <c r="B128">
        <v>125338</v>
      </c>
      <c r="C128">
        <v>2018</v>
      </c>
      <c r="D128" t="s">
        <v>20</v>
      </c>
      <c r="E128" t="s">
        <v>13</v>
      </c>
      <c r="F128">
        <v>0</v>
      </c>
      <c r="G128">
        <v>1</v>
      </c>
      <c r="H128">
        <v>84.935064935064901</v>
      </c>
      <c r="I128" t="b">
        <v>1</v>
      </c>
      <c r="J128">
        <v>0</v>
      </c>
      <c r="K128" t="s">
        <v>14</v>
      </c>
      <c r="L128">
        <v>0</v>
      </c>
      <c r="M128">
        <v>0</v>
      </c>
      <c r="N128">
        <v>0</v>
      </c>
    </row>
    <row r="129" spans="1:14" x14ac:dyDescent="0.2">
      <c r="A129" t="s">
        <v>3412</v>
      </c>
      <c r="B129">
        <v>125398</v>
      </c>
      <c r="C129">
        <v>2018</v>
      </c>
      <c r="D129" t="s">
        <v>12</v>
      </c>
      <c r="E129" t="s">
        <v>13</v>
      </c>
      <c r="F129">
        <v>0</v>
      </c>
      <c r="G129">
        <v>2</v>
      </c>
      <c r="H129">
        <v>63.633629528366399</v>
      </c>
      <c r="I129" t="b">
        <v>1</v>
      </c>
      <c r="J129">
        <v>0</v>
      </c>
      <c r="K129" t="s">
        <v>14</v>
      </c>
      <c r="L129">
        <v>0</v>
      </c>
      <c r="M129">
        <v>0</v>
      </c>
      <c r="N129">
        <v>1</v>
      </c>
    </row>
    <row r="130" spans="1:14" x14ac:dyDescent="0.2">
      <c r="A130" t="s">
        <v>3413</v>
      </c>
      <c r="B130">
        <v>125418</v>
      </c>
      <c r="C130">
        <v>2018</v>
      </c>
      <c r="D130" t="s">
        <v>12</v>
      </c>
      <c r="E130" t="s">
        <v>16</v>
      </c>
      <c r="F130">
        <v>0</v>
      </c>
      <c r="G130">
        <v>3</v>
      </c>
      <c r="H130">
        <v>72.615174299384805</v>
      </c>
      <c r="I130" t="b">
        <v>0</v>
      </c>
      <c r="J130">
        <v>0</v>
      </c>
      <c r="K130" t="s">
        <v>14</v>
      </c>
      <c r="L130">
        <v>0</v>
      </c>
      <c r="M130">
        <v>0</v>
      </c>
      <c r="N130">
        <v>0</v>
      </c>
    </row>
    <row r="131" spans="1:14" x14ac:dyDescent="0.2">
      <c r="A131" t="s">
        <v>3414</v>
      </c>
      <c r="B131">
        <v>125781</v>
      </c>
      <c r="C131">
        <v>2019</v>
      </c>
      <c r="D131" t="s">
        <v>20</v>
      </c>
      <c r="E131" t="s">
        <v>13</v>
      </c>
      <c r="F131">
        <v>0</v>
      </c>
      <c r="G131">
        <v>2</v>
      </c>
      <c r="H131">
        <v>69.151059466848906</v>
      </c>
      <c r="I131" t="b">
        <v>0</v>
      </c>
      <c r="J131" t="s">
        <v>18</v>
      </c>
      <c r="K131" t="s">
        <v>14</v>
      </c>
      <c r="L131">
        <v>0</v>
      </c>
      <c r="M131">
        <v>0</v>
      </c>
      <c r="N131">
        <v>0</v>
      </c>
    </row>
    <row r="132" spans="1:14" x14ac:dyDescent="0.2">
      <c r="A132" t="s">
        <v>3415</v>
      </c>
      <c r="B132">
        <v>125859</v>
      </c>
      <c r="C132">
        <v>2018</v>
      </c>
      <c r="D132" t="s">
        <v>12</v>
      </c>
      <c r="E132" t="s">
        <v>16</v>
      </c>
      <c r="F132">
        <v>0</v>
      </c>
      <c r="G132">
        <v>0</v>
      </c>
      <c r="H132">
        <v>90.796992481203006</v>
      </c>
      <c r="I132" t="b">
        <v>0</v>
      </c>
      <c r="J132">
        <v>0</v>
      </c>
      <c r="K132" t="s">
        <v>14</v>
      </c>
      <c r="L132">
        <v>0</v>
      </c>
      <c r="M132">
        <v>0</v>
      </c>
      <c r="N132">
        <v>0</v>
      </c>
    </row>
    <row r="133" spans="1:14" x14ac:dyDescent="0.2">
      <c r="A133" t="s">
        <v>3416</v>
      </c>
      <c r="B133">
        <v>125996</v>
      </c>
      <c r="C133">
        <v>2019</v>
      </c>
      <c r="D133" t="s">
        <v>12</v>
      </c>
      <c r="E133" t="s">
        <v>13</v>
      </c>
      <c r="F133">
        <v>0</v>
      </c>
      <c r="G133">
        <v>3</v>
      </c>
      <c r="H133">
        <v>80.743677375256297</v>
      </c>
      <c r="I133" t="b">
        <v>0</v>
      </c>
      <c r="J133">
        <v>0</v>
      </c>
      <c r="K133" t="s">
        <v>14</v>
      </c>
      <c r="L133">
        <v>0</v>
      </c>
      <c r="M133" t="s">
        <v>18</v>
      </c>
      <c r="N133">
        <v>1</v>
      </c>
    </row>
    <row r="134" spans="1:14" x14ac:dyDescent="0.2">
      <c r="A134" t="s">
        <v>3417</v>
      </c>
      <c r="B134">
        <v>126622</v>
      </c>
      <c r="C134">
        <v>2018</v>
      </c>
      <c r="D134" t="s">
        <v>20</v>
      </c>
      <c r="E134" t="s">
        <v>16</v>
      </c>
      <c r="F134">
        <v>0</v>
      </c>
      <c r="G134">
        <v>0</v>
      </c>
      <c r="H134">
        <v>69.383458646616504</v>
      </c>
      <c r="I134" t="b">
        <v>1</v>
      </c>
      <c r="J134">
        <v>0</v>
      </c>
      <c r="K134" t="s">
        <v>14</v>
      </c>
      <c r="L134">
        <v>0</v>
      </c>
      <c r="M134">
        <v>0</v>
      </c>
      <c r="N134">
        <v>1</v>
      </c>
    </row>
    <row r="135" spans="1:14" x14ac:dyDescent="0.2">
      <c r="A135" t="s">
        <v>3418</v>
      </c>
      <c r="B135">
        <v>126663</v>
      </c>
      <c r="C135">
        <v>2019</v>
      </c>
      <c r="D135" t="s">
        <v>19</v>
      </c>
      <c r="E135" t="s">
        <v>16</v>
      </c>
      <c r="F135">
        <v>0</v>
      </c>
      <c r="G135">
        <v>4</v>
      </c>
      <c r="H135">
        <v>75.182501708817497</v>
      </c>
      <c r="I135" t="b">
        <v>0</v>
      </c>
      <c r="J135" t="s">
        <v>18</v>
      </c>
      <c r="K135" t="s">
        <v>14</v>
      </c>
      <c r="L135">
        <v>1</v>
      </c>
      <c r="M135">
        <v>0</v>
      </c>
      <c r="N135">
        <v>1</v>
      </c>
    </row>
    <row r="136" spans="1:14" x14ac:dyDescent="0.2">
      <c r="A136" t="s">
        <v>3419</v>
      </c>
      <c r="B136">
        <v>126737</v>
      </c>
      <c r="C136">
        <v>2018</v>
      </c>
      <c r="D136" t="s">
        <v>21</v>
      </c>
      <c r="E136" t="s">
        <v>13</v>
      </c>
      <c r="F136">
        <v>0</v>
      </c>
      <c r="G136">
        <v>1</v>
      </c>
      <c r="H136">
        <v>87.100478468899496</v>
      </c>
      <c r="I136" t="b">
        <v>0</v>
      </c>
      <c r="J136">
        <v>0</v>
      </c>
      <c r="K136" t="s">
        <v>14</v>
      </c>
      <c r="L136">
        <v>0</v>
      </c>
      <c r="M136">
        <v>0</v>
      </c>
      <c r="N136">
        <v>0</v>
      </c>
    </row>
    <row r="137" spans="1:14" x14ac:dyDescent="0.2">
      <c r="A137" t="s">
        <v>3420</v>
      </c>
      <c r="B137">
        <v>127052</v>
      </c>
      <c r="C137">
        <v>2018</v>
      </c>
      <c r="D137" t="s">
        <v>12</v>
      </c>
      <c r="E137" t="s">
        <v>13</v>
      </c>
      <c r="F137">
        <v>0</v>
      </c>
      <c r="G137">
        <v>0</v>
      </c>
      <c r="H137">
        <v>82.939166097060806</v>
      </c>
      <c r="I137" t="b">
        <v>1</v>
      </c>
      <c r="J137" t="s">
        <v>18</v>
      </c>
      <c r="K137" t="s">
        <v>14</v>
      </c>
      <c r="L137">
        <v>0</v>
      </c>
      <c r="M137">
        <v>0</v>
      </c>
      <c r="N137">
        <v>1</v>
      </c>
    </row>
    <row r="138" spans="1:14" x14ac:dyDescent="0.2">
      <c r="A138" t="s">
        <v>3421</v>
      </c>
      <c r="B138">
        <v>127083</v>
      </c>
      <c r="C138">
        <v>2018</v>
      </c>
      <c r="D138" t="s">
        <v>21</v>
      </c>
      <c r="E138" t="s">
        <v>13</v>
      </c>
      <c r="F138">
        <v>0</v>
      </c>
      <c r="G138">
        <v>0</v>
      </c>
      <c r="H138">
        <v>55.6172248803828</v>
      </c>
      <c r="I138" t="b">
        <v>0</v>
      </c>
      <c r="J138">
        <v>0</v>
      </c>
      <c r="K138" t="s">
        <v>14</v>
      </c>
      <c r="L138">
        <v>0</v>
      </c>
      <c r="M138">
        <v>0</v>
      </c>
      <c r="N138">
        <v>1</v>
      </c>
    </row>
    <row r="139" spans="1:14" x14ac:dyDescent="0.2">
      <c r="A139" t="s">
        <v>3422</v>
      </c>
      <c r="B139">
        <v>127354</v>
      </c>
      <c r="C139">
        <v>2018</v>
      </c>
      <c r="D139" t="s">
        <v>21</v>
      </c>
      <c r="E139" t="s">
        <v>16</v>
      </c>
      <c r="F139">
        <v>0</v>
      </c>
      <c r="G139">
        <v>0</v>
      </c>
      <c r="H139">
        <v>79.967190704032802</v>
      </c>
      <c r="I139" t="b">
        <v>0</v>
      </c>
      <c r="J139">
        <v>0</v>
      </c>
      <c r="K139" t="s">
        <v>14</v>
      </c>
      <c r="L139">
        <v>1</v>
      </c>
      <c r="M139">
        <v>0</v>
      </c>
      <c r="N139">
        <v>0</v>
      </c>
    </row>
    <row r="140" spans="1:14" x14ac:dyDescent="0.2">
      <c r="A140" t="s">
        <v>3423</v>
      </c>
      <c r="B140">
        <v>127390</v>
      </c>
      <c r="C140">
        <v>2018</v>
      </c>
      <c r="D140" t="s">
        <v>21</v>
      </c>
      <c r="E140" t="s">
        <v>16</v>
      </c>
      <c r="F140">
        <v>0</v>
      </c>
      <c r="G140">
        <v>0</v>
      </c>
      <c r="H140">
        <v>60.716336295283703</v>
      </c>
      <c r="I140" t="b">
        <v>0</v>
      </c>
      <c r="J140">
        <v>0</v>
      </c>
      <c r="K140" t="s">
        <v>14</v>
      </c>
      <c r="L140">
        <v>0</v>
      </c>
      <c r="M140">
        <v>0</v>
      </c>
      <c r="N140">
        <v>0</v>
      </c>
    </row>
    <row r="141" spans="1:14" x14ac:dyDescent="0.2">
      <c r="A141" t="s">
        <v>3424</v>
      </c>
      <c r="B141">
        <v>127487</v>
      </c>
      <c r="C141">
        <v>2018</v>
      </c>
      <c r="D141" t="s">
        <v>21</v>
      </c>
      <c r="E141" t="s">
        <v>13</v>
      </c>
      <c r="F141">
        <v>0</v>
      </c>
      <c r="G141">
        <v>0</v>
      </c>
      <c r="H141">
        <v>82.337662337662294</v>
      </c>
      <c r="I141" t="b">
        <v>1</v>
      </c>
      <c r="J141">
        <v>0</v>
      </c>
      <c r="K141" t="s">
        <v>14</v>
      </c>
      <c r="L141">
        <v>0</v>
      </c>
      <c r="M141">
        <v>0</v>
      </c>
      <c r="N141">
        <v>1</v>
      </c>
    </row>
    <row r="142" spans="1:14" x14ac:dyDescent="0.2">
      <c r="A142" t="s">
        <v>3425</v>
      </c>
      <c r="B142">
        <v>127688</v>
      </c>
      <c r="C142">
        <v>2019</v>
      </c>
      <c r="D142" t="s">
        <v>20</v>
      </c>
      <c r="E142" t="s">
        <v>16</v>
      </c>
      <c r="F142">
        <v>0</v>
      </c>
      <c r="G142">
        <v>2</v>
      </c>
      <c r="H142">
        <v>53.766233766233803</v>
      </c>
      <c r="I142" t="b">
        <v>1</v>
      </c>
      <c r="J142">
        <v>0</v>
      </c>
      <c r="K142" t="s">
        <v>14</v>
      </c>
      <c r="L142">
        <v>0</v>
      </c>
      <c r="M142">
        <v>0</v>
      </c>
      <c r="N142">
        <v>0</v>
      </c>
    </row>
    <row r="143" spans="1:14" x14ac:dyDescent="0.2">
      <c r="A143" t="s">
        <v>3426</v>
      </c>
      <c r="B143">
        <v>128229</v>
      </c>
      <c r="C143">
        <v>2019</v>
      </c>
      <c r="D143" t="s">
        <v>17</v>
      </c>
      <c r="E143" t="s">
        <v>13</v>
      </c>
      <c r="F143">
        <v>0</v>
      </c>
      <c r="G143">
        <v>1</v>
      </c>
      <c r="H143">
        <v>83.324675324675297</v>
      </c>
      <c r="I143" t="b">
        <v>0</v>
      </c>
      <c r="J143">
        <v>0</v>
      </c>
      <c r="K143" t="s">
        <v>14</v>
      </c>
      <c r="L143">
        <v>0</v>
      </c>
      <c r="M143">
        <v>0</v>
      </c>
      <c r="N143">
        <v>0</v>
      </c>
    </row>
    <row r="144" spans="1:14" x14ac:dyDescent="0.2">
      <c r="A144" t="s">
        <v>3427</v>
      </c>
      <c r="B144">
        <v>128541</v>
      </c>
      <c r="C144">
        <v>2018</v>
      </c>
      <c r="D144" t="s">
        <v>17</v>
      </c>
      <c r="E144" t="s">
        <v>16</v>
      </c>
      <c r="F144">
        <v>1</v>
      </c>
      <c r="G144">
        <v>3</v>
      </c>
      <c r="H144">
        <v>66.4688995215311</v>
      </c>
      <c r="I144" t="b">
        <v>0</v>
      </c>
      <c r="J144" t="s">
        <v>18</v>
      </c>
      <c r="K144" t="s">
        <v>14</v>
      </c>
      <c r="L144">
        <v>0</v>
      </c>
      <c r="M144">
        <v>0</v>
      </c>
      <c r="N144">
        <v>0</v>
      </c>
    </row>
    <row r="145" spans="1:14" x14ac:dyDescent="0.2">
      <c r="A145" t="s">
        <v>3428</v>
      </c>
      <c r="B145">
        <v>128632</v>
      </c>
      <c r="C145">
        <v>2018</v>
      </c>
      <c r="D145" t="s">
        <v>19</v>
      </c>
      <c r="E145" t="s">
        <v>16</v>
      </c>
      <c r="F145">
        <v>0</v>
      </c>
      <c r="G145">
        <v>7</v>
      </c>
      <c r="H145">
        <v>78.247436773752597</v>
      </c>
      <c r="I145" t="b">
        <v>0</v>
      </c>
      <c r="J145">
        <v>0</v>
      </c>
      <c r="K145" t="s">
        <v>14</v>
      </c>
      <c r="L145">
        <v>0</v>
      </c>
      <c r="M145">
        <v>0</v>
      </c>
      <c r="N145">
        <v>1</v>
      </c>
    </row>
    <row r="146" spans="1:14" x14ac:dyDescent="0.2">
      <c r="A146" t="s">
        <v>3429</v>
      </c>
      <c r="B146">
        <v>128873</v>
      </c>
      <c r="C146">
        <v>2019</v>
      </c>
      <c r="D146" t="s">
        <v>12</v>
      </c>
      <c r="E146" t="s">
        <v>13</v>
      </c>
      <c r="F146">
        <v>0</v>
      </c>
      <c r="G146">
        <v>1</v>
      </c>
      <c r="H146">
        <v>88.358168147641805</v>
      </c>
      <c r="I146" t="b">
        <v>1</v>
      </c>
      <c r="J146">
        <v>0</v>
      </c>
      <c r="K146" t="s">
        <v>14</v>
      </c>
      <c r="L146">
        <v>0</v>
      </c>
      <c r="M146">
        <v>0</v>
      </c>
      <c r="N146">
        <v>0</v>
      </c>
    </row>
    <row r="147" spans="1:14" x14ac:dyDescent="0.2">
      <c r="A147" t="s">
        <v>3430</v>
      </c>
      <c r="B147">
        <v>129077</v>
      </c>
      <c r="C147">
        <v>2018</v>
      </c>
      <c r="D147" t="s">
        <v>23</v>
      </c>
      <c r="E147" t="s">
        <v>13</v>
      </c>
      <c r="F147">
        <v>0</v>
      </c>
      <c r="G147">
        <v>2</v>
      </c>
      <c r="H147">
        <v>95.617224880382807</v>
      </c>
      <c r="I147" t="b">
        <v>1</v>
      </c>
      <c r="J147">
        <v>0</v>
      </c>
      <c r="K147" t="s">
        <v>14</v>
      </c>
      <c r="L147">
        <v>0</v>
      </c>
      <c r="M147">
        <v>0</v>
      </c>
      <c r="N147">
        <v>0</v>
      </c>
    </row>
    <row r="148" spans="1:14" x14ac:dyDescent="0.2">
      <c r="A148" t="s">
        <v>3431</v>
      </c>
      <c r="B148">
        <v>129347</v>
      </c>
      <c r="C148">
        <v>2018</v>
      </c>
      <c r="D148" t="s">
        <v>17</v>
      </c>
      <c r="E148" t="s">
        <v>13</v>
      </c>
      <c r="F148">
        <v>1</v>
      </c>
      <c r="G148">
        <v>2</v>
      </c>
      <c r="H148">
        <v>62.649350649350701</v>
      </c>
      <c r="I148" t="b">
        <v>0</v>
      </c>
      <c r="J148">
        <v>0</v>
      </c>
      <c r="K148" t="s">
        <v>14</v>
      </c>
      <c r="L148">
        <v>0</v>
      </c>
      <c r="M148">
        <v>0</v>
      </c>
      <c r="N148">
        <v>0</v>
      </c>
    </row>
    <row r="149" spans="1:14" x14ac:dyDescent="0.2">
      <c r="A149" t="s">
        <v>3432</v>
      </c>
      <c r="B149">
        <v>129498</v>
      </c>
      <c r="C149">
        <v>2019</v>
      </c>
      <c r="D149" t="s">
        <v>20</v>
      </c>
      <c r="E149" t="s">
        <v>13</v>
      </c>
      <c r="F149">
        <v>1</v>
      </c>
      <c r="G149">
        <v>2</v>
      </c>
      <c r="H149">
        <v>82.291182501708803</v>
      </c>
      <c r="I149" t="b">
        <v>1</v>
      </c>
      <c r="J149" t="s">
        <v>18</v>
      </c>
      <c r="K149" t="s">
        <v>14</v>
      </c>
      <c r="L149">
        <v>1</v>
      </c>
      <c r="M149">
        <v>0</v>
      </c>
      <c r="N149">
        <v>1</v>
      </c>
    </row>
    <row r="150" spans="1:14" x14ac:dyDescent="0.2">
      <c r="A150" t="s">
        <v>3433</v>
      </c>
      <c r="B150">
        <v>129950</v>
      </c>
      <c r="C150">
        <v>2018</v>
      </c>
      <c r="D150" t="s">
        <v>17</v>
      </c>
      <c r="E150" t="s">
        <v>13</v>
      </c>
      <c r="F150">
        <v>0</v>
      </c>
      <c r="G150">
        <v>1</v>
      </c>
      <c r="H150">
        <v>59.764866712235097</v>
      </c>
      <c r="I150" t="b">
        <v>0</v>
      </c>
      <c r="J150" t="s">
        <v>18</v>
      </c>
      <c r="K150" t="s">
        <v>14</v>
      </c>
      <c r="L150">
        <v>0</v>
      </c>
      <c r="M150">
        <v>0</v>
      </c>
      <c r="N150">
        <v>0</v>
      </c>
    </row>
    <row r="151" spans="1:14" x14ac:dyDescent="0.2">
      <c r="A151" t="s">
        <v>3434</v>
      </c>
      <c r="B151">
        <v>130059</v>
      </c>
      <c r="C151">
        <v>2018</v>
      </c>
      <c r="D151" t="s">
        <v>23</v>
      </c>
      <c r="E151" t="s">
        <v>13</v>
      </c>
      <c r="F151">
        <v>0</v>
      </c>
      <c r="G151">
        <v>0</v>
      </c>
      <c r="H151">
        <v>78.930963773068996</v>
      </c>
      <c r="I151" t="b">
        <v>1</v>
      </c>
      <c r="J151">
        <v>0</v>
      </c>
      <c r="K151" t="s">
        <v>14</v>
      </c>
      <c r="L151">
        <v>0</v>
      </c>
      <c r="M151">
        <v>0</v>
      </c>
      <c r="N151">
        <v>0</v>
      </c>
    </row>
    <row r="152" spans="1:14" x14ac:dyDescent="0.2">
      <c r="A152" t="s">
        <v>3435</v>
      </c>
      <c r="B152">
        <v>130112</v>
      </c>
      <c r="C152">
        <v>2019</v>
      </c>
      <c r="D152" t="s">
        <v>12</v>
      </c>
      <c r="E152" t="s">
        <v>13</v>
      </c>
      <c r="F152">
        <v>0</v>
      </c>
      <c r="G152">
        <v>0</v>
      </c>
      <c r="H152">
        <v>31.980861244019099</v>
      </c>
      <c r="I152" t="b">
        <v>0</v>
      </c>
      <c r="J152" t="s">
        <v>18</v>
      </c>
      <c r="K152" t="s">
        <v>14</v>
      </c>
      <c r="L152">
        <v>1</v>
      </c>
      <c r="M152">
        <v>1</v>
      </c>
      <c r="N152">
        <v>0</v>
      </c>
    </row>
    <row r="153" spans="1:14" x14ac:dyDescent="0.2">
      <c r="A153" t="s">
        <v>3436</v>
      </c>
      <c r="B153">
        <v>130207</v>
      </c>
      <c r="C153">
        <v>2019</v>
      </c>
      <c r="D153" t="s">
        <v>19</v>
      </c>
      <c r="E153" t="s">
        <v>16</v>
      </c>
      <c r="F153">
        <v>1</v>
      </c>
      <c r="G153">
        <v>2</v>
      </c>
      <c r="H153">
        <v>54.395078605604901</v>
      </c>
      <c r="I153" t="b">
        <v>0</v>
      </c>
      <c r="J153">
        <v>0</v>
      </c>
      <c r="K153" t="s">
        <v>14</v>
      </c>
      <c r="L153">
        <v>0</v>
      </c>
      <c r="M153">
        <v>0</v>
      </c>
      <c r="N153">
        <v>0</v>
      </c>
    </row>
    <row r="154" spans="1:14" x14ac:dyDescent="0.2">
      <c r="A154" t="s">
        <v>3437</v>
      </c>
      <c r="B154">
        <v>130260</v>
      </c>
      <c r="C154">
        <v>2018</v>
      </c>
      <c r="D154" t="s">
        <v>21</v>
      </c>
      <c r="E154" t="s">
        <v>16</v>
      </c>
      <c r="F154">
        <v>0</v>
      </c>
      <c r="G154">
        <v>3</v>
      </c>
      <c r="H154">
        <v>36.790157211209802</v>
      </c>
      <c r="I154" t="b">
        <v>0</v>
      </c>
      <c r="J154">
        <v>0</v>
      </c>
      <c r="K154" t="s">
        <v>14</v>
      </c>
      <c r="L154">
        <v>1</v>
      </c>
      <c r="M154">
        <v>0</v>
      </c>
      <c r="N154">
        <v>0</v>
      </c>
    </row>
    <row r="155" spans="1:14" x14ac:dyDescent="0.2">
      <c r="A155" t="s">
        <v>3438</v>
      </c>
      <c r="B155">
        <v>130292</v>
      </c>
      <c r="C155">
        <v>2018</v>
      </c>
      <c r="D155" t="s">
        <v>17</v>
      </c>
      <c r="E155" t="s">
        <v>16</v>
      </c>
      <c r="F155">
        <v>0</v>
      </c>
      <c r="G155">
        <v>0</v>
      </c>
      <c r="H155">
        <v>57.304169514695801</v>
      </c>
      <c r="I155" t="b">
        <v>0</v>
      </c>
      <c r="J155">
        <v>0</v>
      </c>
      <c r="K155" t="s">
        <v>14</v>
      </c>
      <c r="L155">
        <v>0</v>
      </c>
      <c r="M155">
        <v>0</v>
      </c>
      <c r="N155">
        <v>1</v>
      </c>
    </row>
    <row r="156" spans="1:14" x14ac:dyDescent="0.2">
      <c r="A156" t="s">
        <v>3439</v>
      </c>
      <c r="B156">
        <v>130368</v>
      </c>
      <c r="C156">
        <v>2018</v>
      </c>
      <c r="D156" t="s">
        <v>21</v>
      </c>
      <c r="E156" t="s">
        <v>16</v>
      </c>
      <c r="F156">
        <v>0</v>
      </c>
      <c r="G156">
        <v>0</v>
      </c>
      <c r="H156">
        <v>69.717019822283007</v>
      </c>
      <c r="I156" t="b">
        <v>0</v>
      </c>
      <c r="J156">
        <v>0</v>
      </c>
      <c r="K156" t="s">
        <v>14</v>
      </c>
      <c r="L156">
        <v>0</v>
      </c>
      <c r="M156">
        <v>0</v>
      </c>
      <c r="N156">
        <v>1</v>
      </c>
    </row>
    <row r="157" spans="1:14" x14ac:dyDescent="0.2">
      <c r="A157" t="s">
        <v>3440</v>
      </c>
      <c r="B157">
        <v>130852</v>
      </c>
      <c r="C157">
        <v>2018</v>
      </c>
      <c r="D157" t="s">
        <v>17</v>
      </c>
      <c r="E157" t="s">
        <v>13</v>
      </c>
      <c r="F157">
        <v>0</v>
      </c>
      <c r="G157">
        <v>1</v>
      </c>
      <c r="H157">
        <v>62.7231715652768</v>
      </c>
      <c r="I157" t="b">
        <v>0</v>
      </c>
      <c r="J157">
        <v>1</v>
      </c>
      <c r="K157" t="s">
        <v>14</v>
      </c>
      <c r="L157">
        <v>1</v>
      </c>
      <c r="M157">
        <v>0</v>
      </c>
      <c r="N157">
        <v>1</v>
      </c>
    </row>
    <row r="158" spans="1:14" x14ac:dyDescent="0.2">
      <c r="A158" t="s">
        <v>3441</v>
      </c>
      <c r="B158">
        <v>130874</v>
      </c>
      <c r="C158">
        <v>2019</v>
      </c>
      <c r="D158" t="s">
        <v>12</v>
      </c>
      <c r="E158" t="s">
        <v>13</v>
      </c>
      <c r="F158">
        <v>0</v>
      </c>
      <c r="G158">
        <v>2</v>
      </c>
      <c r="H158">
        <v>89.233082706766893</v>
      </c>
      <c r="I158" t="b">
        <v>1</v>
      </c>
      <c r="J158">
        <v>0</v>
      </c>
      <c r="K158" t="s">
        <v>14</v>
      </c>
      <c r="L158">
        <v>1</v>
      </c>
      <c r="M158">
        <v>0</v>
      </c>
      <c r="N158">
        <v>0</v>
      </c>
    </row>
    <row r="159" spans="1:14" x14ac:dyDescent="0.2">
      <c r="A159" t="s">
        <v>3442</v>
      </c>
      <c r="B159">
        <v>130912</v>
      </c>
      <c r="C159">
        <v>2018</v>
      </c>
      <c r="D159" t="s">
        <v>15</v>
      </c>
      <c r="E159" t="s">
        <v>13</v>
      </c>
      <c r="F159">
        <v>0</v>
      </c>
      <c r="G159">
        <v>1</v>
      </c>
      <c r="H159">
        <v>63.0922761449077</v>
      </c>
      <c r="I159" t="b">
        <v>0</v>
      </c>
      <c r="J159">
        <v>0</v>
      </c>
      <c r="K159" t="s">
        <v>14</v>
      </c>
      <c r="L159">
        <v>1</v>
      </c>
      <c r="M159">
        <v>1</v>
      </c>
      <c r="N159">
        <v>0</v>
      </c>
    </row>
    <row r="160" spans="1:14" x14ac:dyDescent="0.2">
      <c r="A160" t="s">
        <v>3443</v>
      </c>
      <c r="B160">
        <v>130949</v>
      </c>
      <c r="C160">
        <v>2018</v>
      </c>
      <c r="D160" t="s">
        <v>20</v>
      </c>
      <c r="E160" t="s">
        <v>16</v>
      </c>
      <c r="F160">
        <v>0</v>
      </c>
      <c r="G160">
        <v>0</v>
      </c>
      <c r="H160">
        <v>78.299384825700599</v>
      </c>
      <c r="I160" t="b">
        <v>1</v>
      </c>
      <c r="J160">
        <v>0</v>
      </c>
      <c r="K160" t="s">
        <v>14</v>
      </c>
      <c r="L160">
        <v>0</v>
      </c>
      <c r="M160">
        <v>0</v>
      </c>
      <c r="N160">
        <v>1</v>
      </c>
    </row>
    <row r="161" spans="1:14" x14ac:dyDescent="0.2">
      <c r="A161" t="s">
        <v>3444</v>
      </c>
      <c r="B161">
        <v>131028</v>
      </c>
      <c r="C161">
        <v>2019</v>
      </c>
      <c r="D161" t="s">
        <v>17</v>
      </c>
      <c r="E161" t="s">
        <v>16</v>
      </c>
      <c r="F161">
        <v>1</v>
      </c>
      <c r="G161">
        <v>6</v>
      </c>
      <c r="H161">
        <v>54.023239917976802</v>
      </c>
      <c r="I161" t="b">
        <v>0</v>
      </c>
      <c r="J161">
        <v>0</v>
      </c>
      <c r="K161" t="s">
        <v>14</v>
      </c>
      <c r="L161">
        <v>1</v>
      </c>
      <c r="M161">
        <v>1</v>
      </c>
      <c r="N161">
        <v>0</v>
      </c>
    </row>
    <row r="162" spans="1:14" x14ac:dyDescent="0.2">
      <c r="A162" t="s">
        <v>3445</v>
      </c>
      <c r="B162">
        <v>131185</v>
      </c>
      <c r="C162">
        <v>2018</v>
      </c>
      <c r="D162" t="s">
        <v>17</v>
      </c>
      <c r="E162" t="s">
        <v>16</v>
      </c>
      <c r="F162">
        <v>1</v>
      </c>
      <c r="G162">
        <v>3</v>
      </c>
      <c r="H162">
        <v>65.487354750512694</v>
      </c>
      <c r="I162" t="b">
        <v>0</v>
      </c>
      <c r="J162">
        <v>0</v>
      </c>
      <c r="K162" t="s">
        <v>14</v>
      </c>
      <c r="L162">
        <v>1</v>
      </c>
      <c r="M162">
        <v>0</v>
      </c>
      <c r="N162">
        <v>0</v>
      </c>
    </row>
    <row r="163" spans="1:14" x14ac:dyDescent="0.2">
      <c r="A163" t="s">
        <v>3446</v>
      </c>
      <c r="B163">
        <v>131196</v>
      </c>
      <c r="C163">
        <v>2018</v>
      </c>
      <c r="D163" t="s">
        <v>20</v>
      </c>
      <c r="E163" t="s">
        <v>16</v>
      </c>
      <c r="F163">
        <v>0</v>
      </c>
      <c r="G163">
        <v>13</v>
      </c>
      <c r="H163">
        <v>67.403964456596</v>
      </c>
      <c r="I163" t="b">
        <v>0</v>
      </c>
      <c r="J163">
        <v>0</v>
      </c>
      <c r="K163" t="s">
        <v>14</v>
      </c>
      <c r="L163">
        <v>1</v>
      </c>
      <c r="M163">
        <v>1</v>
      </c>
      <c r="N163">
        <v>0</v>
      </c>
    </row>
    <row r="164" spans="1:14" x14ac:dyDescent="0.2">
      <c r="A164" t="s">
        <v>3447</v>
      </c>
      <c r="B164">
        <v>131301</v>
      </c>
      <c r="C164">
        <v>2018</v>
      </c>
      <c r="D164" t="s">
        <v>12</v>
      </c>
      <c r="E164" t="s">
        <v>16</v>
      </c>
      <c r="F164">
        <v>0</v>
      </c>
      <c r="G164">
        <v>0</v>
      </c>
      <c r="H164">
        <v>80.248803827751203</v>
      </c>
      <c r="I164" t="b">
        <v>0</v>
      </c>
      <c r="J164">
        <v>0</v>
      </c>
      <c r="K164" t="s">
        <v>14</v>
      </c>
      <c r="L164">
        <v>0</v>
      </c>
      <c r="M164">
        <v>0</v>
      </c>
      <c r="N164">
        <v>0</v>
      </c>
    </row>
    <row r="165" spans="1:14" x14ac:dyDescent="0.2">
      <c r="A165" t="s">
        <v>3448</v>
      </c>
      <c r="B165">
        <v>131377</v>
      </c>
      <c r="C165">
        <v>2018</v>
      </c>
      <c r="D165" t="s">
        <v>23</v>
      </c>
      <c r="E165" t="s">
        <v>13</v>
      </c>
      <c r="F165">
        <v>0</v>
      </c>
      <c r="G165">
        <v>0</v>
      </c>
      <c r="H165">
        <v>83.0075187969925</v>
      </c>
      <c r="I165" t="b">
        <v>1</v>
      </c>
      <c r="J165">
        <v>0</v>
      </c>
      <c r="K165" t="s">
        <v>14</v>
      </c>
      <c r="L165">
        <v>1</v>
      </c>
      <c r="M165">
        <v>0</v>
      </c>
      <c r="N165">
        <v>1</v>
      </c>
    </row>
    <row r="166" spans="1:14" x14ac:dyDescent="0.2">
      <c r="A166" t="s">
        <v>3449</v>
      </c>
      <c r="B166">
        <v>131513</v>
      </c>
      <c r="C166">
        <v>2019</v>
      </c>
      <c r="D166" t="s">
        <v>17</v>
      </c>
      <c r="E166" t="s">
        <v>13</v>
      </c>
      <c r="F166">
        <v>0</v>
      </c>
      <c r="G166">
        <v>3</v>
      </c>
      <c r="H166">
        <v>72.401913875598098</v>
      </c>
      <c r="I166" t="b">
        <v>0</v>
      </c>
      <c r="J166" t="s">
        <v>18</v>
      </c>
      <c r="K166" t="s">
        <v>14</v>
      </c>
      <c r="L166">
        <v>1</v>
      </c>
      <c r="M166">
        <v>0</v>
      </c>
      <c r="N166">
        <v>0</v>
      </c>
    </row>
    <row r="167" spans="1:14" x14ac:dyDescent="0.2">
      <c r="A167" t="s">
        <v>3450</v>
      </c>
      <c r="B167">
        <v>131615</v>
      </c>
      <c r="C167">
        <v>2018</v>
      </c>
      <c r="D167" t="s">
        <v>12</v>
      </c>
      <c r="E167" t="s">
        <v>13</v>
      </c>
      <c r="F167">
        <v>0</v>
      </c>
      <c r="G167">
        <v>0</v>
      </c>
      <c r="H167">
        <v>76.503075871496904</v>
      </c>
      <c r="I167" t="b">
        <v>0</v>
      </c>
      <c r="J167">
        <v>0</v>
      </c>
      <c r="K167" t="s">
        <v>14</v>
      </c>
      <c r="L167">
        <v>0</v>
      </c>
      <c r="M167">
        <v>0</v>
      </c>
      <c r="N167">
        <v>0</v>
      </c>
    </row>
    <row r="168" spans="1:14" x14ac:dyDescent="0.2">
      <c r="A168" t="s">
        <v>3451</v>
      </c>
      <c r="B168">
        <v>131676</v>
      </c>
      <c r="C168">
        <v>2018</v>
      </c>
      <c r="D168" t="s">
        <v>12</v>
      </c>
      <c r="E168" t="s">
        <v>13</v>
      </c>
      <c r="F168">
        <v>0</v>
      </c>
      <c r="G168">
        <v>3</v>
      </c>
      <c r="H168">
        <v>86.616541353383496</v>
      </c>
      <c r="I168" t="b">
        <v>1</v>
      </c>
      <c r="J168">
        <v>0</v>
      </c>
      <c r="K168" t="s">
        <v>14</v>
      </c>
      <c r="L168">
        <v>0</v>
      </c>
      <c r="M168">
        <v>0</v>
      </c>
      <c r="N168">
        <v>1</v>
      </c>
    </row>
    <row r="169" spans="1:14" x14ac:dyDescent="0.2">
      <c r="A169" t="s">
        <v>3452</v>
      </c>
      <c r="B169">
        <v>131923</v>
      </c>
      <c r="C169">
        <v>2018</v>
      </c>
      <c r="D169" t="s">
        <v>22</v>
      </c>
      <c r="E169" t="s">
        <v>13</v>
      </c>
      <c r="F169">
        <v>0</v>
      </c>
      <c r="G169">
        <v>0</v>
      </c>
      <c r="H169">
        <v>82.132604237867398</v>
      </c>
      <c r="I169" t="b">
        <v>0</v>
      </c>
      <c r="J169" t="s">
        <v>18</v>
      </c>
      <c r="K169" t="s">
        <v>14</v>
      </c>
      <c r="L169">
        <v>0</v>
      </c>
      <c r="M169">
        <v>0</v>
      </c>
      <c r="N169">
        <v>0</v>
      </c>
    </row>
    <row r="170" spans="1:14" x14ac:dyDescent="0.2">
      <c r="A170" t="s">
        <v>3453</v>
      </c>
      <c r="B170">
        <v>132090</v>
      </c>
      <c r="C170">
        <v>2018</v>
      </c>
      <c r="D170" t="s">
        <v>22</v>
      </c>
      <c r="E170" t="s">
        <v>16</v>
      </c>
      <c r="F170">
        <v>0</v>
      </c>
      <c r="G170">
        <v>7</v>
      </c>
      <c r="H170">
        <v>80.962406015037601</v>
      </c>
      <c r="I170" t="b">
        <v>0</v>
      </c>
      <c r="J170">
        <v>0</v>
      </c>
      <c r="K170" t="s">
        <v>14</v>
      </c>
      <c r="L170">
        <v>0</v>
      </c>
      <c r="M170">
        <v>0</v>
      </c>
      <c r="N170">
        <v>0</v>
      </c>
    </row>
    <row r="171" spans="1:14" x14ac:dyDescent="0.2">
      <c r="A171" t="s">
        <v>3454</v>
      </c>
      <c r="B171">
        <v>132092</v>
      </c>
      <c r="C171">
        <v>2018</v>
      </c>
      <c r="D171" t="s">
        <v>20</v>
      </c>
      <c r="E171" t="s">
        <v>13</v>
      </c>
      <c r="F171">
        <v>0</v>
      </c>
      <c r="G171">
        <v>0</v>
      </c>
      <c r="H171">
        <v>78.993848257006107</v>
      </c>
      <c r="I171" t="b">
        <v>1</v>
      </c>
      <c r="J171">
        <v>0</v>
      </c>
      <c r="K171" t="s">
        <v>14</v>
      </c>
      <c r="L171">
        <v>0</v>
      </c>
      <c r="M171">
        <v>0</v>
      </c>
      <c r="N171">
        <v>1</v>
      </c>
    </row>
    <row r="172" spans="1:14" x14ac:dyDescent="0.2">
      <c r="A172" t="s">
        <v>3455</v>
      </c>
      <c r="B172">
        <v>132203</v>
      </c>
      <c r="C172">
        <v>2019</v>
      </c>
      <c r="D172" t="s">
        <v>21</v>
      </c>
      <c r="E172" t="s">
        <v>13</v>
      </c>
      <c r="F172">
        <v>0</v>
      </c>
      <c r="G172">
        <v>0</v>
      </c>
      <c r="H172">
        <v>84.265208475734795</v>
      </c>
      <c r="I172" t="b">
        <v>1</v>
      </c>
      <c r="J172" t="s">
        <v>18</v>
      </c>
      <c r="K172" t="s">
        <v>14</v>
      </c>
      <c r="L172">
        <v>0</v>
      </c>
      <c r="M172">
        <v>0</v>
      </c>
      <c r="N172">
        <v>0</v>
      </c>
    </row>
    <row r="173" spans="1:14" x14ac:dyDescent="0.2">
      <c r="A173" t="s">
        <v>3456</v>
      </c>
      <c r="B173">
        <v>132258</v>
      </c>
      <c r="C173">
        <v>2018</v>
      </c>
      <c r="D173" t="s">
        <v>20</v>
      </c>
      <c r="E173" t="s">
        <v>16</v>
      </c>
      <c r="F173">
        <v>0</v>
      </c>
      <c r="G173">
        <v>0</v>
      </c>
      <c r="H173">
        <v>78.025974025973994</v>
      </c>
      <c r="I173" t="b">
        <v>1</v>
      </c>
      <c r="J173">
        <v>0</v>
      </c>
      <c r="K173" t="s">
        <v>14</v>
      </c>
      <c r="L173">
        <v>0</v>
      </c>
      <c r="M173">
        <v>0</v>
      </c>
      <c r="N173">
        <v>1</v>
      </c>
    </row>
    <row r="174" spans="1:14" x14ac:dyDescent="0.2">
      <c r="A174" t="s">
        <v>3457</v>
      </c>
      <c r="B174">
        <v>132418</v>
      </c>
      <c r="C174">
        <v>2018</v>
      </c>
      <c r="D174" t="s">
        <v>15</v>
      </c>
      <c r="E174" t="s">
        <v>16</v>
      </c>
      <c r="F174">
        <v>0</v>
      </c>
      <c r="G174">
        <v>6</v>
      </c>
      <c r="H174">
        <v>85.558441558441601</v>
      </c>
      <c r="I174" t="b">
        <v>0</v>
      </c>
      <c r="J174">
        <v>0</v>
      </c>
      <c r="K174" t="s">
        <v>14</v>
      </c>
      <c r="L174">
        <v>1</v>
      </c>
      <c r="M174">
        <v>0</v>
      </c>
      <c r="N174">
        <v>0</v>
      </c>
    </row>
    <row r="175" spans="1:14" x14ac:dyDescent="0.2">
      <c r="A175" t="s">
        <v>3458</v>
      </c>
      <c r="B175">
        <v>132437</v>
      </c>
      <c r="C175">
        <v>2019</v>
      </c>
      <c r="D175" t="s">
        <v>17</v>
      </c>
      <c r="E175" t="s">
        <v>16</v>
      </c>
      <c r="F175">
        <v>1</v>
      </c>
      <c r="G175">
        <v>2</v>
      </c>
      <c r="H175">
        <v>64.240601503759393</v>
      </c>
      <c r="I175" t="b">
        <v>0</v>
      </c>
      <c r="J175">
        <v>0</v>
      </c>
      <c r="K175" t="s">
        <v>14</v>
      </c>
      <c r="L175">
        <v>0</v>
      </c>
      <c r="M175">
        <v>0</v>
      </c>
      <c r="N175">
        <v>0</v>
      </c>
    </row>
    <row r="176" spans="1:14" x14ac:dyDescent="0.2">
      <c r="A176" t="s">
        <v>3459</v>
      </c>
      <c r="B176">
        <v>132591</v>
      </c>
      <c r="C176">
        <v>2019</v>
      </c>
      <c r="D176" t="s">
        <v>15</v>
      </c>
      <c r="E176" t="s">
        <v>13</v>
      </c>
      <c r="F176">
        <v>1</v>
      </c>
      <c r="G176">
        <v>2</v>
      </c>
      <c r="H176">
        <v>53.5174299384826</v>
      </c>
      <c r="I176" t="b">
        <v>0</v>
      </c>
      <c r="J176" t="s">
        <v>18</v>
      </c>
      <c r="K176" t="s">
        <v>14</v>
      </c>
      <c r="L176">
        <v>0</v>
      </c>
      <c r="M176">
        <v>0</v>
      </c>
      <c r="N176">
        <v>0</v>
      </c>
    </row>
    <row r="177" spans="1:14" x14ac:dyDescent="0.2">
      <c r="A177" t="s">
        <v>3460</v>
      </c>
      <c r="B177">
        <v>132924</v>
      </c>
      <c r="C177">
        <v>2018</v>
      </c>
      <c r="D177" t="s">
        <v>22</v>
      </c>
      <c r="E177" t="s">
        <v>16</v>
      </c>
      <c r="F177">
        <v>0</v>
      </c>
      <c r="G177">
        <v>6</v>
      </c>
      <c r="H177">
        <v>79.3766233766234</v>
      </c>
      <c r="I177" t="b">
        <v>0</v>
      </c>
      <c r="J177">
        <v>0</v>
      </c>
      <c r="K177" t="s">
        <v>14</v>
      </c>
      <c r="L177">
        <v>0</v>
      </c>
      <c r="M177">
        <v>0</v>
      </c>
      <c r="N177">
        <v>1</v>
      </c>
    </row>
    <row r="178" spans="1:14" x14ac:dyDescent="0.2">
      <c r="A178" t="s">
        <v>3461</v>
      </c>
      <c r="B178">
        <v>133117</v>
      </c>
      <c r="C178">
        <v>2018</v>
      </c>
      <c r="D178" t="s">
        <v>12</v>
      </c>
      <c r="E178" t="s">
        <v>16</v>
      </c>
      <c r="F178">
        <v>0</v>
      </c>
      <c r="G178">
        <v>8</v>
      </c>
      <c r="H178">
        <v>86.389610389610397</v>
      </c>
      <c r="I178" t="b">
        <v>1</v>
      </c>
      <c r="J178">
        <v>0</v>
      </c>
      <c r="K178" t="s">
        <v>14</v>
      </c>
      <c r="L178">
        <v>0</v>
      </c>
      <c r="M178">
        <v>0</v>
      </c>
      <c r="N178">
        <v>0</v>
      </c>
    </row>
    <row r="179" spans="1:14" x14ac:dyDescent="0.2">
      <c r="A179" t="s">
        <v>3462</v>
      </c>
      <c r="B179">
        <v>133260</v>
      </c>
      <c r="C179">
        <v>2018</v>
      </c>
      <c r="D179" t="s">
        <v>12</v>
      </c>
      <c r="E179" t="s">
        <v>16</v>
      </c>
      <c r="F179">
        <v>0</v>
      </c>
      <c r="G179">
        <v>2</v>
      </c>
      <c r="H179">
        <v>72.049213943950804</v>
      </c>
      <c r="I179" t="b">
        <v>0</v>
      </c>
      <c r="J179">
        <v>0</v>
      </c>
      <c r="K179" t="s">
        <v>14</v>
      </c>
      <c r="L179">
        <v>1</v>
      </c>
      <c r="M179">
        <v>0</v>
      </c>
      <c r="N179">
        <v>0</v>
      </c>
    </row>
    <row r="180" spans="1:14" x14ac:dyDescent="0.2">
      <c r="A180" t="s">
        <v>3463</v>
      </c>
      <c r="B180">
        <v>133516</v>
      </c>
      <c r="C180">
        <v>2018</v>
      </c>
      <c r="D180" t="s">
        <v>12</v>
      </c>
      <c r="E180" t="s">
        <v>13</v>
      </c>
      <c r="F180">
        <v>1</v>
      </c>
      <c r="G180">
        <v>0</v>
      </c>
      <c r="H180">
        <v>71.669172932330795</v>
      </c>
      <c r="I180" t="b">
        <v>1</v>
      </c>
      <c r="J180">
        <v>0</v>
      </c>
      <c r="K180" t="s">
        <v>14</v>
      </c>
      <c r="L180">
        <v>0</v>
      </c>
      <c r="M180">
        <v>0</v>
      </c>
      <c r="N180">
        <v>0</v>
      </c>
    </row>
    <row r="181" spans="1:14" x14ac:dyDescent="0.2">
      <c r="A181" t="s">
        <v>3464</v>
      </c>
      <c r="B181">
        <v>133688</v>
      </c>
      <c r="C181">
        <v>2019</v>
      </c>
      <c r="D181" t="s">
        <v>19</v>
      </c>
      <c r="E181" t="s">
        <v>16</v>
      </c>
      <c r="F181">
        <v>0</v>
      </c>
      <c r="G181">
        <v>2</v>
      </c>
      <c r="H181">
        <v>78.425153793574793</v>
      </c>
      <c r="I181" t="b">
        <v>0</v>
      </c>
      <c r="J181">
        <v>0</v>
      </c>
      <c r="K181" t="s">
        <v>14</v>
      </c>
      <c r="L181">
        <v>1</v>
      </c>
      <c r="M181">
        <v>0</v>
      </c>
      <c r="N181">
        <v>0</v>
      </c>
    </row>
    <row r="182" spans="1:14" x14ac:dyDescent="0.2">
      <c r="A182" t="s">
        <v>3465</v>
      </c>
      <c r="B182">
        <v>133868</v>
      </c>
      <c r="C182">
        <v>2019</v>
      </c>
      <c r="D182" t="s">
        <v>17</v>
      </c>
      <c r="E182" t="s">
        <v>13</v>
      </c>
      <c r="F182">
        <v>1</v>
      </c>
      <c r="G182">
        <v>2</v>
      </c>
      <c r="H182">
        <v>56.407382091592602</v>
      </c>
      <c r="I182" t="b">
        <v>0</v>
      </c>
      <c r="J182">
        <v>0</v>
      </c>
      <c r="K182" t="s">
        <v>14</v>
      </c>
      <c r="L182">
        <v>0</v>
      </c>
      <c r="M182">
        <v>0</v>
      </c>
      <c r="N182">
        <v>0</v>
      </c>
    </row>
    <row r="183" spans="1:14" x14ac:dyDescent="0.2">
      <c r="A183" t="s">
        <v>3466</v>
      </c>
      <c r="B183">
        <v>134022</v>
      </c>
      <c r="C183">
        <v>2019</v>
      </c>
      <c r="D183" t="s">
        <v>21</v>
      </c>
      <c r="E183" t="s">
        <v>13</v>
      </c>
      <c r="F183">
        <v>0</v>
      </c>
      <c r="G183">
        <v>1</v>
      </c>
      <c r="H183">
        <v>79.100478468899496</v>
      </c>
      <c r="I183" t="b">
        <v>0</v>
      </c>
      <c r="J183" t="s">
        <v>18</v>
      </c>
      <c r="K183" t="s">
        <v>14</v>
      </c>
      <c r="L183">
        <v>0</v>
      </c>
      <c r="M183">
        <v>0</v>
      </c>
      <c r="N183">
        <v>1</v>
      </c>
    </row>
    <row r="184" spans="1:14" x14ac:dyDescent="0.2">
      <c r="A184" t="s">
        <v>3467</v>
      </c>
      <c r="B184">
        <v>134321</v>
      </c>
      <c r="C184">
        <v>2018</v>
      </c>
      <c r="D184" t="s">
        <v>20</v>
      </c>
      <c r="E184" t="s">
        <v>13</v>
      </c>
      <c r="F184">
        <v>0</v>
      </c>
      <c r="G184">
        <v>0</v>
      </c>
      <c r="H184">
        <v>90.941900205058104</v>
      </c>
      <c r="I184" t="b">
        <v>1</v>
      </c>
      <c r="J184">
        <v>0</v>
      </c>
      <c r="K184" t="s">
        <v>14</v>
      </c>
      <c r="L184">
        <v>0</v>
      </c>
      <c r="M184">
        <v>0</v>
      </c>
      <c r="N184">
        <v>0</v>
      </c>
    </row>
    <row r="185" spans="1:14" x14ac:dyDescent="0.2">
      <c r="A185" t="s">
        <v>3468</v>
      </c>
      <c r="B185">
        <v>134355</v>
      </c>
      <c r="C185">
        <v>2018</v>
      </c>
      <c r="D185" t="s">
        <v>20</v>
      </c>
      <c r="E185" t="s">
        <v>13</v>
      </c>
      <c r="F185">
        <v>0</v>
      </c>
      <c r="G185">
        <v>1</v>
      </c>
      <c r="H185">
        <v>87.625427204374603</v>
      </c>
      <c r="I185" t="b">
        <v>0</v>
      </c>
      <c r="J185">
        <v>0</v>
      </c>
      <c r="K185" t="s">
        <v>14</v>
      </c>
      <c r="L185">
        <v>0</v>
      </c>
      <c r="M185">
        <v>0</v>
      </c>
      <c r="N185">
        <v>0</v>
      </c>
    </row>
    <row r="186" spans="1:14" x14ac:dyDescent="0.2">
      <c r="A186" t="s">
        <v>3469</v>
      </c>
      <c r="B186">
        <v>134488</v>
      </c>
      <c r="C186">
        <v>2018</v>
      </c>
      <c r="D186" t="s">
        <v>12</v>
      </c>
      <c r="E186" t="s">
        <v>13</v>
      </c>
      <c r="F186">
        <v>0</v>
      </c>
      <c r="G186">
        <v>0</v>
      </c>
      <c r="H186">
        <v>23.600820232399201</v>
      </c>
      <c r="I186" t="b">
        <v>1</v>
      </c>
      <c r="J186">
        <v>0</v>
      </c>
      <c r="K186" t="s">
        <v>14</v>
      </c>
      <c r="L186">
        <v>0</v>
      </c>
      <c r="M186">
        <v>0</v>
      </c>
      <c r="N186">
        <v>1</v>
      </c>
    </row>
    <row r="187" spans="1:14" x14ac:dyDescent="0.2">
      <c r="A187" t="s">
        <v>3470</v>
      </c>
      <c r="B187">
        <v>134709</v>
      </c>
      <c r="C187">
        <v>2019</v>
      </c>
      <c r="D187" t="s">
        <v>21</v>
      </c>
      <c r="E187" t="s">
        <v>13</v>
      </c>
      <c r="F187">
        <v>0</v>
      </c>
      <c r="G187">
        <v>0</v>
      </c>
      <c r="H187">
        <v>84.3116883116883</v>
      </c>
      <c r="I187" t="b">
        <v>1</v>
      </c>
      <c r="J187">
        <v>1</v>
      </c>
      <c r="K187" t="s">
        <v>14</v>
      </c>
      <c r="L187">
        <v>0</v>
      </c>
      <c r="M187">
        <v>0</v>
      </c>
      <c r="N187">
        <v>0</v>
      </c>
    </row>
    <row r="188" spans="1:14" x14ac:dyDescent="0.2">
      <c r="A188" t="s">
        <v>3471</v>
      </c>
      <c r="B188">
        <v>134814</v>
      </c>
      <c r="C188">
        <v>2019</v>
      </c>
      <c r="D188" t="s">
        <v>21</v>
      </c>
      <c r="E188" t="s">
        <v>16</v>
      </c>
      <c r="F188">
        <v>0</v>
      </c>
      <c r="G188">
        <v>4</v>
      </c>
      <c r="H188">
        <v>85.008885850991106</v>
      </c>
      <c r="I188" t="b">
        <v>0</v>
      </c>
      <c r="J188">
        <v>1</v>
      </c>
      <c r="K188" t="s">
        <v>14</v>
      </c>
      <c r="L188">
        <v>0</v>
      </c>
      <c r="M188">
        <v>0</v>
      </c>
      <c r="N188">
        <v>0</v>
      </c>
    </row>
    <row r="189" spans="1:14" x14ac:dyDescent="0.2">
      <c r="A189" t="s">
        <v>3472</v>
      </c>
      <c r="B189">
        <v>134955</v>
      </c>
      <c r="C189">
        <v>2018</v>
      </c>
      <c r="D189" t="s">
        <v>12</v>
      </c>
      <c r="E189" t="s">
        <v>13</v>
      </c>
      <c r="F189">
        <v>0</v>
      </c>
      <c r="G189">
        <v>2</v>
      </c>
      <c r="H189">
        <v>65.331510594668501</v>
      </c>
      <c r="I189" t="b">
        <v>0</v>
      </c>
      <c r="J189">
        <v>0</v>
      </c>
      <c r="K189" t="s">
        <v>14</v>
      </c>
      <c r="L189">
        <v>0</v>
      </c>
      <c r="M189">
        <v>0</v>
      </c>
      <c r="N189">
        <v>1</v>
      </c>
    </row>
    <row r="190" spans="1:14" x14ac:dyDescent="0.2">
      <c r="A190" t="s">
        <v>3473</v>
      </c>
      <c r="B190">
        <v>135331</v>
      </c>
      <c r="C190">
        <v>2019</v>
      </c>
      <c r="D190" t="s">
        <v>20</v>
      </c>
      <c r="E190" t="s">
        <v>16</v>
      </c>
      <c r="F190">
        <v>1</v>
      </c>
      <c r="G190">
        <v>3</v>
      </c>
      <c r="H190">
        <v>79.543403964456601</v>
      </c>
      <c r="I190" t="b">
        <v>0</v>
      </c>
      <c r="J190" t="s">
        <v>18</v>
      </c>
      <c r="K190" t="s">
        <v>14</v>
      </c>
      <c r="L190">
        <v>0</v>
      </c>
      <c r="M190">
        <v>0</v>
      </c>
      <c r="N190">
        <v>0</v>
      </c>
    </row>
    <row r="191" spans="1:14" x14ac:dyDescent="0.2">
      <c r="A191" t="s">
        <v>3474</v>
      </c>
      <c r="B191">
        <v>135499</v>
      </c>
      <c r="C191">
        <v>2018</v>
      </c>
      <c r="D191" t="s">
        <v>23</v>
      </c>
      <c r="E191" t="s">
        <v>16</v>
      </c>
      <c r="F191">
        <v>0</v>
      </c>
      <c r="G191">
        <v>3</v>
      </c>
      <c r="H191">
        <v>80.639781271360206</v>
      </c>
      <c r="I191" t="b">
        <v>0</v>
      </c>
      <c r="J191">
        <v>0</v>
      </c>
      <c r="K191" t="s">
        <v>14</v>
      </c>
      <c r="L191">
        <v>0</v>
      </c>
      <c r="M191">
        <v>0</v>
      </c>
      <c r="N191">
        <v>0</v>
      </c>
    </row>
    <row r="192" spans="1:14" x14ac:dyDescent="0.2">
      <c r="A192" t="s">
        <v>3475</v>
      </c>
      <c r="B192">
        <v>135695</v>
      </c>
      <c r="C192">
        <v>2019</v>
      </c>
      <c r="D192" t="s">
        <v>23</v>
      </c>
      <c r="E192" t="s">
        <v>13</v>
      </c>
      <c r="F192">
        <v>1</v>
      </c>
      <c r="G192">
        <v>3</v>
      </c>
      <c r="H192">
        <v>65.019822282980201</v>
      </c>
      <c r="I192" t="b">
        <v>1</v>
      </c>
      <c r="J192">
        <v>0</v>
      </c>
      <c r="K192" t="s">
        <v>14</v>
      </c>
      <c r="L192">
        <v>0</v>
      </c>
      <c r="M192">
        <v>0</v>
      </c>
      <c r="N192">
        <v>1</v>
      </c>
    </row>
    <row r="193" spans="1:14" x14ac:dyDescent="0.2">
      <c r="A193" t="s">
        <v>3476</v>
      </c>
      <c r="B193">
        <v>135714</v>
      </c>
      <c r="C193">
        <v>2019</v>
      </c>
      <c r="D193" t="s">
        <v>17</v>
      </c>
      <c r="E193" t="s">
        <v>16</v>
      </c>
      <c r="F193">
        <v>0</v>
      </c>
      <c r="G193">
        <v>3</v>
      </c>
      <c r="H193">
        <v>75.346548188653401</v>
      </c>
      <c r="I193" t="b">
        <v>0</v>
      </c>
      <c r="J193">
        <v>0</v>
      </c>
      <c r="K193" t="s">
        <v>14</v>
      </c>
      <c r="L193">
        <v>1</v>
      </c>
      <c r="M193">
        <v>1</v>
      </c>
      <c r="N193">
        <v>0</v>
      </c>
    </row>
    <row r="194" spans="1:14" x14ac:dyDescent="0.2">
      <c r="A194" t="s">
        <v>3477</v>
      </c>
      <c r="B194">
        <v>135740</v>
      </c>
      <c r="C194">
        <v>2019</v>
      </c>
      <c r="D194" t="s">
        <v>12</v>
      </c>
      <c r="E194" t="s">
        <v>13</v>
      </c>
      <c r="F194">
        <v>0</v>
      </c>
      <c r="G194">
        <v>6</v>
      </c>
      <c r="H194">
        <v>74.725905673274099</v>
      </c>
      <c r="I194" t="b">
        <v>1</v>
      </c>
      <c r="J194">
        <v>0</v>
      </c>
      <c r="K194" t="s">
        <v>14</v>
      </c>
      <c r="L194">
        <v>0</v>
      </c>
      <c r="M194">
        <v>0</v>
      </c>
      <c r="N194">
        <v>0</v>
      </c>
    </row>
    <row r="195" spans="1:14" x14ac:dyDescent="0.2">
      <c r="A195" t="s">
        <v>3478</v>
      </c>
      <c r="B195">
        <v>135967</v>
      </c>
      <c r="C195">
        <v>2018</v>
      </c>
      <c r="D195" t="s">
        <v>17</v>
      </c>
      <c r="E195" t="s">
        <v>13</v>
      </c>
      <c r="F195">
        <v>0</v>
      </c>
      <c r="G195">
        <v>2</v>
      </c>
      <c r="H195">
        <v>74.170881749829107</v>
      </c>
      <c r="I195" t="b">
        <v>0</v>
      </c>
      <c r="J195">
        <v>0</v>
      </c>
      <c r="K195" t="s">
        <v>14</v>
      </c>
      <c r="L195">
        <v>1</v>
      </c>
      <c r="M195">
        <v>0</v>
      </c>
      <c r="N195">
        <v>0</v>
      </c>
    </row>
    <row r="196" spans="1:14" x14ac:dyDescent="0.2">
      <c r="A196" t="s">
        <v>3479</v>
      </c>
      <c r="B196">
        <v>136153</v>
      </c>
      <c r="C196">
        <v>2018</v>
      </c>
      <c r="D196" t="s">
        <v>12</v>
      </c>
      <c r="E196" t="s">
        <v>13</v>
      </c>
      <c r="F196">
        <v>0</v>
      </c>
      <c r="G196">
        <v>0</v>
      </c>
      <c r="H196">
        <v>58.755980861243998</v>
      </c>
      <c r="I196" t="b">
        <v>0</v>
      </c>
      <c r="J196">
        <v>0</v>
      </c>
      <c r="K196" t="s">
        <v>14</v>
      </c>
      <c r="L196">
        <v>0</v>
      </c>
      <c r="M196">
        <v>0</v>
      </c>
      <c r="N196">
        <v>1</v>
      </c>
    </row>
    <row r="197" spans="1:14" x14ac:dyDescent="0.2">
      <c r="A197" t="s">
        <v>3480</v>
      </c>
      <c r="B197">
        <v>136401</v>
      </c>
      <c r="C197">
        <v>2018</v>
      </c>
      <c r="D197" t="s">
        <v>20</v>
      </c>
      <c r="E197" t="s">
        <v>13</v>
      </c>
      <c r="F197">
        <v>0</v>
      </c>
      <c r="G197">
        <v>0</v>
      </c>
      <c r="H197">
        <v>67.953520164046495</v>
      </c>
      <c r="I197" t="b">
        <v>1</v>
      </c>
      <c r="J197">
        <v>0</v>
      </c>
      <c r="K197" t="s">
        <v>14</v>
      </c>
      <c r="L197">
        <v>0</v>
      </c>
      <c r="M197">
        <v>0</v>
      </c>
      <c r="N197">
        <v>1</v>
      </c>
    </row>
    <row r="198" spans="1:14" x14ac:dyDescent="0.2">
      <c r="A198" t="s">
        <v>3481</v>
      </c>
      <c r="B198">
        <v>136972</v>
      </c>
      <c r="C198">
        <v>2019</v>
      </c>
      <c r="D198" t="s">
        <v>12</v>
      </c>
      <c r="E198" t="s">
        <v>16</v>
      </c>
      <c r="F198">
        <v>0</v>
      </c>
      <c r="G198">
        <v>2</v>
      </c>
      <c r="H198">
        <v>79.294600136705398</v>
      </c>
      <c r="I198" t="b">
        <v>0</v>
      </c>
      <c r="J198" t="s">
        <v>18</v>
      </c>
      <c r="K198" t="s">
        <v>14</v>
      </c>
      <c r="L198">
        <v>1</v>
      </c>
      <c r="M198">
        <v>0</v>
      </c>
      <c r="N198">
        <v>1</v>
      </c>
    </row>
    <row r="199" spans="1:14" x14ac:dyDescent="0.2">
      <c r="A199" t="s">
        <v>3482</v>
      </c>
      <c r="B199">
        <v>137161</v>
      </c>
      <c r="C199">
        <v>2018</v>
      </c>
      <c r="D199" t="s">
        <v>12</v>
      </c>
      <c r="E199" t="s">
        <v>13</v>
      </c>
      <c r="F199">
        <v>0</v>
      </c>
      <c r="G199">
        <v>0</v>
      </c>
      <c r="H199">
        <v>78.4114832535885</v>
      </c>
      <c r="I199" t="b">
        <v>0</v>
      </c>
      <c r="J199">
        <v>0</v>
      </c>
      <c r="K199" t="s">
        <v>14</v>
      </c>
      <c r="L199">
        <v>0</v>
      </c>
      <c r="M199">
        <v>0</v>
      </c>
      <c r="N199">
        <v>1</v>
      </c>
    </row>
    <row r="200" spans="1:14" x14ac:dyDescent="0.2">
      <c r="A200" t="s">
        <v>3483</v>
      </c>
      <c r="B200">
        <v>137216</v>
      </c>
      <c r="C200">
        <v>2018</v>
      </c>
      <c r="D200" t="s">
        <v>12</v>
      </c>
      <c r="E200" t="s">
        <v>16</v>
      </c>
      <c r="F200" t="s">
        <v>18</v>
      </c>
      <c r="G200">
        <v>6</v>
      </c>
      <c r="H200">
        <v>50.017771701982198</v>
      </c>
      <c r="I200" t="b">
        <v>0</v>
      </c>
      <c r="J200">
        <v>0</v>
      </c>
      <c r="K200" t="s">
        <v>14</v>
      </c>
      <c r="L200">
        <v>0</v>
      </c>
      <c r="M200">
        <v>0</v>
      </c>
      <c r="N200">
        <v>0</v>
      </c>
    </row>
    <row r="201" spans="1:14" x14ac:dyDescent="0.2">
      <c r="A201" t="s">
        <v>3484</v>
      </c>
      <c r="B201">
        <v>137784</v>
      </c>
      <c r="C201">
        <v>2019</v>
      </c>
      <c r="D201" t="s">
        <v>12</v>
      </c>
      <c r="E201" t="s">
        <v>13</v>
      </c>
      <c r="F201">
        <v>0</v>
      </c>
      <c r="G201">
        <v>3</v>
      </c>
      <c r="H201">
        <v>86.739576213260406</v>
      </c>
      <c r="I201" t="b">
        <v>1</v>
      </c>
      <c r="J201" t="s">
        <v>18</v>
      </c>
      <c r="K201" t="s">
        <v>14</v>
      </c>
      <c r="L201">
        <v>0</v>
      </c>
      <c r="M201">
        <v>0</v>
      </c>
      <c r="N201">
        <v>1</v>
      </c>
    </row>
    <row r="202" spans="1:14" x14ac:dyDescent="0.2">
      <c r="A202" t="s">
        <v>3485</v>
      </c>
      <c r="B202">
        <v>137889</v>
      </c>
      <c r="C202">
        <v>2018</v>
      </c>
      <c r="D202" t="s">
        <v>12</v>
      </c>
      <c r="E202" t="s">
        <v>13</v>
      </c>
      <c r="F202">
        <v>0</v>
      </c>
      <c r="G202">
        <v>0</v>
      </c>
      <c r="H202">
        <v>27.185235816814799</v>
      </c>
      <c r="I202" t="b">
        <v>1</v>
      </c>
      <c r="J202">
        <v>0</v>
      </c>
      <c r="K202" t="s">
        <v>14</v>
      </c>
      <c r="L202">
        <v>0</v>
      </c>
      <c r="M202">
        <v>0</v>
      </c>
      <c r="N202">
        <v>1</v>
      </c>
    </row>
    <row r="203" spans="1:14" x14ac:dyDescent="0.2">
      <c r="A203" t="s">
        <v>3486</v>
      </c>
      <c r="B203">
        <v>138038</v>
      </c>
      <c r="C203">
        <v>2019</v>
      </c>
      <c r="D203" t="s">
        <v>20</v>
      </c>
      <c r="E203" t="s">
        <v>16</v>
      </c>
      <c r="F203">
        <v>1</v>
      </c>
      <c r="G203">
        <v>2</v>
      </c>
      <c r="H203">
        <v>68.473000683527005</v>
      </c>
      <c r="I203" t="b">
        <v>1</v>
      </c>
      <c r="J203" t="s">
        <v>18</v>
      </c>
      <c r="K203" t="s">
        <v>14</v>
      </c>
      <c r="L203">
        <v>1</v>
      </c>
      <c r="M203">
        <v>1</v>
      </c>
      <c r="N203">
        <v>0</v>
      </c>
    </row>
    <row r="204" spans="1:14" x14ac:dyDescent="0.2">
      <c r="A204" t="s">
        <v>3487</v>
      </c>
      <c r="B204">
        <v>138120</v>
      </c>
      <c r="C204">
        <v>2019</v>
      </c>
      <c r="D204" t="s">
        <v>12</v>
      </c>
      <c r="E204" t="s">
        <v>16</v>
      </c>
      <c r="F204">
        <v>0</v>
      </c>
      <c r="G204">
        <v>2</v>
      </c>
      <c r="H204">
        <v>91.196172248803805</v>
      </c>
      <c r="I204" t="b">
        <v>0</v>
      </c>
      <c r="J204" t="s">
        <v>18</v>
      </c>
      <c r="K204" t="s">
        <v>14</v>
      </c>
      <c r="L204">
        <v>0</v>
      </c>
      <c r="M204">
        <v>1</v>
      </c>
      <c r="N204">
        <v>0</v>
      </c>
    </row>
    <row r="205" spans="1:14" x14ac:dyDescent="0.2">
      <c r="A205" t="s">
        <v>3488</v>
      </c>
      <c r="B205">
        <v>138129</v>
      </c>
      <c r="C205">
        <v>2018</v>
      </c>
      <c r="D205" t="s">
        <v>21</v>
      </c>
      <c r="E205" t="s">
        <v>16</v>
      </c>
      <c r="F205">
        <v>0</v>
      </c>
      <c r="G205">
        <v>1</v>
      </c>
      <c r="H205">
        <v>39.578947368421098</v>
      </c>
      <c r="I205" t="b">
        <v>0</v>
      </c>
      <c r="J205">
        <v>0</v>
      </c>
      <c r="K205" t="s">
        <v>14</v>
      </c>
      <c r="L205">
        <v>1</v>
      </c>
      <c r="M205">
        <v>0</v>
      </c>
      <c r="N205">
        <v>0</v>
      </c>
    </row>
    <row r="206" spans="1:14" x14ac:dyDescent="0.2">
      <c r="A206" t="s">
        <v>3489</v>
      </c>
      <c r="B206">
        <v>138432</v>
      </c>
      <c r="C206">
        <v>2018</v>
      </c>
      <c r="D206" t="s">
        <v>20</v>
      </c>
      <c r="E206" t="s">
        <v>16</v>
      </c>
      <c r="F206">
        <v>1</v>
      </c>
      <c r="G206">
        <v>2</v>
      </c>
      <c r="H206">
        <v>28.101161995898799</v>
      </c>
      <c r="I206" t="b">
        <v>0</v>
      </c>
      <c r="J206">
        <v>0</v>
      </c>
      <c r="K206" t="s">
        <v>14</v>
      </c>
      <c r="L206">
        <v>0</v>
      </c>
      <c r="M206">
        <v>0</v>
      </c>
      <c r="N206">
        <v>0</v>
      </c>
    </row>
    <row r="207" spans="1:14" x14ac:dyDescent="0.2">
      <c r="A207" t="s">
        <v>3490</v>
      </c>
      <c r="B207">
        <v>138502</v>
      </c>
      <c r="C207">
        <v>2019</v>
      </c>
      <c r="D207" t="s">
        <v>12</v>
      </c>
      <c r="E207" t="s">
        <v>16</v>
      </c>
      <c r="F207">
        <v>0</v>
      </c>
      <c r="G207">
        <v>2</v>
      </c>
      <c r="H207">
        <v>69.842788790157201</v>
      </c>
      <c r="I207" t="b">
        <v>0</v>
      </c>
      <c r="J207" t="s">
        <v>18</v>
      </c>
      <c r="K207" t="s">
        <v>14</v>
      </c>
      <c r="L207">
        <v>0</v>
      </c>
      <c r="M207">
        <v>0</v>
      </c>
      <c r="N207">
        <v>1</v>
      </c>
    </row>
    <row r="208" spans="1:14" x14ac:dyDescent="0.2">
      <c r="A208" t="s">
        <v>3491</v>
      </c>
      <c r="B208">
        <v>139019</v>
      </c>
      <c r="C208">
        <v>2018</v>
      </c>
      <c r="D208" t="s">
        <v>12</v>
      </c>
      <c r="E208" t="s">
        <v>16</v>
      </c>
      <c r="F208">
        <v>0</v>
      </c>
      <c r="G208">
        <v>0</v>
      </c>
      <c r="H208">
        <v>54.017771701982198</v>
      </c>
      <c r="I208" t="b">
        <v>0</v>
      </c>
      <c r="J208" t="s">
        <v>18</v>
      </c>
      <c r="K208" t="s">
        <v>14</v>
      </c>
      <c r="L208">
        <v>0</v>
      </c>
      <c r="M208">
        <v>0</v>
      </c>
      <c r="N208">
        <v>1</v>
      </c>
    </row>
    <row r="209" spans="1:14" x14ac:dyDescent="0.2">
      <c r="A209" t="s">
        <v>3492</v>
      </c>
      <c r="B209">
        <v>139632</v>
      </c>
      <c r="C209">
        <v>2018</v>
      </c>
      <c r="D209" t="s">
        <v>21</v>
      </c>
      <c r="E209" t="s">
        <v>13</v>
      </c>
      <c r="F209">
        <v>0</v>
      </c>
      <c r="G209">
        <v>8</v>
      </c>
      <c r="H209">
        <v>74.687628161312404</v>
      </c>
      <c r="I209" t="b">
        <v>0</v>
      </c>
      <c r="J209">
        <v>1</v>
      </c>
      <c r="K209" t="s">
        <v>14</v>
      </c>
      <c r="L209">
        <v>0</v>
      </c>
      <c r="M209">
        <v>0</v>
      </c>
      <c r="N209">
        <v>1</v>
      </c>
    </row>
    <row r="210" spans="1:14" x14ac:dyDescent="0.2">
      <c r="A210" t="s">
        <v>3493</v>
      </c>
      <c r="B210">
        <v>139800</v>
      </c>
      <c r="C210">
        <v>2018</v>
      </c>
      <c r="D210" t="s">
        <v>17</v>
      </c>
      <c r="E210" t="s">
        <v>13</v>
      </c>
      <c r="F210">
        <v>1</v>
      </c>
      <c r="G210">
        <v>1</v>
      </c>
      <c r="H210">
        <v>70.624743677375307</v>
      </c>
      <c r="I210" t="b">
        <v>0</v>
      </c>
      <c r="J210">
        <v>0</v>
      </c>
      <c r="K210" t="s">
        <v>14</v>
      </c>
      <c r="L210">
        <v>1</v>
      </c>
      <c r="M210">
        <v>0</v>
      </c>
      <c r="N210">
        <v>0</v>
      </c>
    </row>
    <row r="211" spans="1:14" x14ac:dyDescent="0.2">
      <c r="A211" t="s">
        <v>3494</v>
      </c>
      <c r="B211">
        <v>139819</v>
      </c>
      <c r="C211">
        <v>2018</v>
      </c>
      <c r="D211" t="s">
        <v>12</v>
      </c>
      <c r="E211" t="s">
        <v>13</v>
      </c>
      <c r="F211">
        <v>0</v>
      </c>
      <c r="G211">
        <v>0</v>
      </c>
      <c r="H211">
        <v>73.714285714285694</v>
      </c>
      <c r="I211" t="b">
        <v>0</v>
      </c>
      <c r="J211">
        <v>0</v>
      </c>
      <c r="K211" t="s">
        <v>14</v>
      </c>
      <c r="L211">
        <v>0</v>
      </c>
      <c r="M211">
        <v>0</v>
      </c>
      <c r="N211">
        <v>0</v>
      </c>
    </row>
    <row r="212" spans="1:14" x14ac:dyDescent="0.2">
      <c r="A212" t="s">
        <v>3495</v>
      </c>
      <c r="B212">
        <v>139865</v>
      </c>
      <c r="C212">
        <v>2018</v>
      </c>
      <c r="D212" t="s">
        <v>15</v>
      </c>
      <c r="E212" t="s">
        <v>16</v>
      </c>
      <c r="F212">
        <v>0</v>
      </c>
      <c r="G212">
        <v>4</v>
      </c>
      <c r="H212">
        <v>88.399179767600799</v>
      </c>
      <c r="I212" t="b">
        <v>1</v>
      </c>
      <c r="J212">
        <v>0</v>
      </c>
      <c r="K212" t="s">
        <v>14</v>
      </c>
      <c r="L212">
        <v>0</v>
      </c>
      <c r="M212">
        <v>0</v>
      </c>
      <c r="N212">
        <v>0</v>
      </c>
    </row>
    <row r="213" spans="1:14" x14ac:dyDescent="0.2">
      <c r="A213" t="s">
        <v>3496</v>
      </c>
      <c r="B213">
        <v>139956</v>
      </c>
      <c r="C213">
        <v>2018</v>
      </c>
      <c r="D213" t="s">
        <v>21</v>
      </c>
      <c r="E213" t="s">
        <v>13</v>
      </c>
      <c r="F213">
        <v>1</v>
      </c>
      <c r="G213">
        <v>3</v>
      </c>
      <c r="H213">
        <v>64.385509227614506</v>
      </c>
      <c r="I213" t="b">
        <v>1</v>
      </c>
      <c r="J213" t="s">
        <v>18</v>
      </c>
      <c r="K213" t="s">
        <v>14</v>
      </c>
      <c r="L213">
        <v>0</v>
      </c>
      <c r="M213">
        <v>0</v>
      </c>
      <c r="N213">
        <v>1</v>
      </c>
    </row>
    <row r="214" spans="1:14" x14ac:dyDescent="0.2">
      <c r="A214" t="s">
        <v>3497</v>
      </c>
      <c r="B214">
        <v>140726</v>
      </c>
      <c r="C214">
        <v>2019</v>
      </c>
      <c r="D214" t="s">
        <v>12</v>
      </c>
      <c r="E214" t="s">
        <v>16</v>
      </c>
      <c r="F214">
        <v>0</v>
      </c>
      <c r="G214">
        <v>4</v>
      </c>
      <c r="H214">
        <v>83.053998632946005</v>
      </c>
      <c r="I214" t="b">
        <v>1</v>
      </c>
      <c r="J214">
        <v>0</v>
      </c>
      <c r="K214" t="s">
        <v>14</v>
      </c>
      <c r="L214">
        <v>1</v>
      </c>
      <c r="M214">
        <v>1</v>
      </c>
      <c r="N214">
        <v>0</v>
      </c>
    </row>
    <row r="215" spans="1:14" x14ac:dyDescent="0.2">
      <c r="A215" t="s">
        <v>3498</v>
      </c>
      <c r="B215">
        <v>140991</v>
      </c>
      <c r="C215">
        <v>2019</v>
      </c>
      <c r="D215" t="s">
        <v>12</v>
      </c>
      <c r="E215" t="s">
        <v>13</v>
      </c>
      <c r="F215">
        <v>0</v>
      </c>
      <c r="G215">
        <v>0</v>
      </c>
      <c r="H215">
        <v>55.562542720437499</v>
      </c>
      <c r="I215" t="b">
        <v>1</v>
      </c>
      <c r="J215">
        <v>0</v>
      </c>
      <c r="K215" t="s">
        <v>14</v>
      </c>
      <c r="L215">
        <v>1</v>
      </c>
      <c r="M215">
        <v>0</v>
      </c>
      <c r="N215">
        <v>0</v>
      </c>
    </row>
    <row r="216" spans="1:14" x14ac:dyDescent="0.2">
      <c r="A216" t="s">
        <v>3499</v>
      </c>
      <c r="B216">
        <v>141318</v>
      </c>
      <c r="C216">
        <v>2018</v>
      </c>
      <c r="D216" t="s">
        <v>12</v>
      </c>
      <c r="E216" t="s">
        <v>16</v>
      </c>
      <c r="F216">
        <v>0</v>
      </c>
      <c r="G216">
        <v>0</v>
      </c>
      <c r="H216">
        <v>28.9432672590567</v>
      </c>
      <c r="I216" t="b">
        <v>0</v>
      </c>
      <c r="J216" t="s">
        <v>18</v>
      </c>
      <c r="K216" t="s">
        <v>14</v>
      </c>
      <c r="L216">
        <v>0</v>
      </c>
      <c r="M216">
        <v>0</v>
      </c>
      <c r="N216">
        <v>0</v>
      </c>
    </row>
    <row r="217" spans="1:14" x14ac:dyDescent="0.2">
      <c r="A217" t="s">
        <v>3500</v>
      </c>
      <c r="B217">
        <v>141345</v>
      </c>
      <c r="C217">
        <v>2018</v>
      </c>
      <c r="D217" t="s">
        <v>22</v>
      </c>
      <c r="E217" t="s">
        <v>16</v>
      </c>
      <c r="F217">
        <v>0</v>
      </c>
      <c r="G217">
        <v>4</v>
      </c>
      <c r="H217">
        <v>70.2118933697881</v>
      </c>
      <c r="I217" t="b">
        <v>0</v>
      </c>
      <c r="J217">
        <v>0</v>
      </c>
      <c r="K217" t="s">
        <v>14</v>
      </c>
      <c r="L217">
        <v>0</v>
      </c>
      <c r="M217">
        <v>0</v>
      </c>
      <c r="N217">
        <v>1</v>
      </c>
    </row>
    <row r="218" spans="1:14" x14ac:dyDescent="0.2">
      <c r="A218" t="s">
        <v>3501</v>
      </c>
      <c r="B218">
        <v>141458</v>
      </c>
      <c r="C218">
        <v>2018</v>
      </c>
      <c r="D218" t="s">
        <v>21</v>
      </c>
      <c r="E218" t="s">
        <v>16</v>
      </c>
      <c r="F218">
        <v>0</v>
      </c>
      <c r="G218">
        <v>1</v>
      </c>
      <c r="H218">
        <v>83.557074504442895</v>
      </c>
      <c r="I218" t="b">
        <v>0</v>
      </c>
      <c r="J218">
        <v>0</v>
      </c>
      <c r="K218" t="s">
        <v>14</v>
      </c>
      <c r="L218">
        <v>0</v>
      </c>
      <c r="M218">
        <v>0</v>
      </c>
      <c r="N218">
        <v>0</v>
      </c>
    </row>
    <row r="219" spans="1:14" x14ac:dyDescent="0.2">
      <c r="A219" t="s">
        <v>3502</v>
      </c>
      <c r="B219">
        <v>141591</v>
      </c>
      <c r="C219">
        <v>2019</v>
      </c>
      <c r="D219" t="s">
        <v>12</v>
      </c>
      <c r="E219" t="s">
        <v>13</v>
      </c>
      <c r="F219">
        <v>0</v>
      </c>
      <c r="G219">
        <v>0</v>
      </c>
      <c r="H219">
        <v>86.753246753246799</v>
      </c>
      <c r="I219" t="b">
        <v>0</v>
      </c>
      <c r="J219" t="s">
        <v>18</v>
      </c>
      <c r="K219" t="s">
        <v>14</v>
      </c>
      <c r="L219">
        <v>1</v>
      </c>
      <c r="M219">
        <v>0</v>
      </c>
      <c r="N219">
        <v>0</v>
      </c>
    </row>
    <row r="220" spans="1:14" x14ac:dyDescent="0.2">
      <c r="A220" t="s">
        <v>3503</v>
      </c>
      <c r="B220">
        <v>141714</v>
      </c>
      <c r="C220">
        <v>2018</v>
      </c>
      <c r="D220" t="s">
        <v>12</v>
      </c>
      <c r="E220" t="s">
        <v>13</v>
      </c>
      <c r="F220">
        <v>0</v>
      </c>
      <c r="G220">
        <v>1</v>
      </c>
      <c r="H220">
        <v>81.476418318523599</v>
      </c>
      <c r="I220" t="b">
        <v>1</v>
      </c>
      <c r="J220">
        <v>0</v>
      </c>
      <c r="K220" t="s">
        <v>14</v>
      </c>
      <c r="L220">
        <v>0</v>
      </c>
      <c r="M220">
        <v>0</v>
      </c>
      <c r="N220">
        <v>0</v>
      </c>
    </row>
    <row r="221" spans="1:14" x14ac:dyDescent="0.2">
      <c r="A221" t="s">
        <v>3504</v>
      </c>
      <c r="B221">
        <v>141842</v>
      </c>
      <c r="C221">
        <v>2019</v>
      </c>
      <c r="D221" t="s">
        <v>17</v>
      </c>
      <c r="E221" t="s">
        <v>16</v>
      </c>
      <c r="F221">
        <v>1</v>
      </c>
      <c r="G221">
        <v>2</v>
      </c>
      <c r="H221">
        <v>46.925495557074498</v>
      </c>
      <c r="I221" t="b">
        <v>0</v>
      </c>
      <c r="J221">
        <v>0</v>
      </c>
      <c r="K221" t="s">
        <v>14</v>
      </c>
      <c r="L221">
        <v>0</v>
      </c>
      <c r="M221">
        <v>0</v>
      </c>
      <c r="N221">
        <v>0</v>
      </c>
    </row>
    <row r="222" spans="1:14" x14ac:dyDescent="0.2">
      <c r="A222" t="s">
        <v>3505</v>
      </c>
      <c r="B222">
        <v>141891</v>
      </c>
      <c r="C222">
        <v>2018</v>
      </c>
      <c r="D222" t="s">
        <v>12</v>
      </c>
      <c r="E222" t="s">
        <v>13</v>
      </c>
      <c r="F222">
        <v>0</v>
      </c>
      <c r="G222">
        <v>1</v>
      </c>
      <c r="H222">
        <v>81.725222146274803</v>
      </c>
      <c r="I222" t="b">
        <v>0</v>
      </c>
      <c r="J222">
        <v>0</v>
      </c>
      <c r="K222" t="s">
        <v>14</v>
      </c>
      <c r="L222">
        <v>0</v>
      </c>
      <c r="M222">
        <v>0</v>
      </c>
      <c r="N222">
        <v>0</v>
      </c>
    </row>
    <row r="223" spans="1:14" x14ac:dyDescent="0.2">
      <c r="A223" t="s">
        <v>3506</v>
      </c>
      <c r="B223">
        <v>142486</v>
      </c>
      <c r="C223">
        <v>2018</v>
      </c>
      <c r="D223" t="s">
        <v>12</v>
      </c>
      <c r="E223" t="s">
        <v>13</v>
      </c>
      <c r="F223">
        <v>0</v>
      </c>
      <c r="G223">
        <v>0</v>
      </c>
      <c r="H223">
        <v>17.968557758031402</v>
      </c>
      <c r="I223" t="b">
        <v>1</v>
      </c>
      <c r="J223">
        <v>0</v>
      </c>
      <c r="K223" t="s">
        <v>14</v>
      </c>
      <c r="L223">
        <v>0</v>
      </c>
      <c r="M223">
        <v>0</v>
      </c>
      <c r="N223">
        <v>1</v>
      </c>
    </row>
    <row r="224" spans="1:14" x14ac:dyDescent="0.2">
      <c r="A224" t="s">
        <v>3507</v>
      </c>
      <c r="B224">
        <v>143357</v>
      </c>
      <c r="C224">
        <v>2018</v>
      </c>
      <c r="D224" t="s">
        <v>12</v>
      </c>
      <c r="E224" t="s">
        <v>13</v>
      </c>
      <c r="F224">
        <v>0</v>
      </c>
      <c r="G224">
        <v>0</v>
      </c>
      <c r="H224">
        <v>21.760765550239199</v>
      </c>
      <c r="I224" t="b">
        <v>1</v>
      </c>
      <c r="J224">
        <v>0</v>
      </c>
      <c r="K224" t="s">
        <v>14</v>
      </c>
      <c r="L224">
        <v>0</v>
      </c>
      <c r="M224">
        <v>0</v>
      </c>
      <c r="N224">
        <v>1</v>
      </c>
    </row>
    <row r="225" spans="1:14" x14ac:dyDescent="0.2">
      <c r="A225" t="s">
        <v>3508</v>
      </c>
      <c r="B225">
        <v>143362</v>
      </c>
      <c r="C225">
        <v>2018</v>
      </c>
      <c r="D225" t="s">
        <v>20</v>
      </c>
      <c r="E225" t="s">
        <v>16</v>
      </c>
      <c r="F225">
        <v>0</v>
      </c>
      <c r="G225">
        <v>2</v>
      </c>
      <c r="H225">
        <v>78.151742993848302</v>
      </c>
      <c r="I225" t="b">
        <v>1</v>
      </c>
      <c r="J225">
        <v>0</v>
      </c>
      <c r="K225" t="s">
        <v>14</v>
      </c>
      <c r="L225">
        <v>0</v>
      </c>
      <c r="M225">
        <v>0</v>
      </c>
      <c r="N225">
        <v>1</v>
      </c>
    </row>
    <row r="226" spans="1:14" x14ac:dyDescent="0.2">
      <c r="A226" t="s">
        <v>3509</v>
      </c>
      <c r="B226">
        <v>143490</v>
      </c>
      <c r="C226">
        <v>2018</v>
      </c>
      <c r="D226" t="s">
        <v>12</v>
      </c>
      <c r="E226" t="s">
        <v>13</v>
      </c>
      <c r="F226">
        <v>0</v>
      </c>
      <c r="G226">
        <v>1</v>
      </c>
      <c r="H226">
        <v>65.131920710868101</v>
      </c>
      <c r="I226" t="b">
        <v>0</v>
      </c>
      <c r="J226">
        <v>0</v>
      </c>
      <c r="K226" t="s">
        <v>14</v>
      </c>
      <c r="L226">
        <v>1</v>
      </c>
      <c r="M226">
        <v>0</v>
      </c>
      <c r="N226">
        <v>0</v>
      </c>
    </row>
    <row r="227" spans="1:14" x14ac:dyDescent="0.2">
      <c r="A227" t="s">
        <v>3510</v>
      </c>
      <c r="B227">
        <v>143617</v>
      </c>
      <c r="C227">
        <v>2019</v>
      </c>
      <c r="D227" t="s">
        <v>21</v>
      </c>
      <c r="E227" t="s">
        <v>16</v>
      </c>
      <c r="F227">
        <v>0</v>
      </c>
      <c r="G227">
        <v>3</v>
      </c>
      <c r="H227">
        <v>82.066985645933002</v>
      </c>
      <c r="I227" t="b">
        <v>0</v>
      </c>
      <c r="J227" t="s">
        <v>18</v>
      </c>
      <c r="K227" t="s">
        <v>14</v>
      </c>
      <c r="L227">
        <v>0</v>
      </c>
      <c r="M227">
        <v>0</v>
      </c>
      <c r="N227">
        <v>1</v>
      </c>
    </row>
    <row r="228" spans="1:14" x14ac:dyDescent="0.2">
      <c r="A228" t="s">
        <v>3511</v>
      </c>
      <c r="B228">
        <v>143736</v>
      </c>
      <c r="C228">
        <v>2018</v>
      </c>
      <c r="D228" t="s">
        <v>23</v>
      </c>
      <c r="E228" t="s">
        <v>13</v>
      </c>
      <c r="F228">
        <v>0</v>
      </c>
      <c r="G228">
        <v>2</v>
      </c>
      <c r="H228">
        <v>58.236500341763502</v>
      </c>
      <c r="I228" t="b">
        <v>1</v>
      </c>
      <c r="J228">
        <v>0</v>
      </c>
      <c r="K228" t="s">
        <v>14</v>
      </c>
      <c r="L228">
        <v>0</v>
      </c>
      <c r="M228">
        <v>0</v>
      </c>
      <c r="N228">
        <v>0</v>
      </c>
    </row>
    <row r="229" spans="1:14" x14ac:dyDescent="0.2">
      <c r="A229" t="s">
        <v>3512</v>
      </c>
      <c r="B229">
        <v>145233</v>
      </c>
      <c r="C229">
        <v>2018</v>
      </c>
      <c r="D229" t="s">
        <v>20</v>
      </c>
      <c r="E229" t="s">
        <v>13</v>
      </c>
      <c r="F229">
        <v>0</v>
      </c>
      <c r="G229">
        <v>2</v>
      </c>
      <c r="H229">
        <v>70.263841421736203</v>
      </c>
      <c r="I229" t="b">
        <v>1</v>
      </c>
      <c r="J229">
        <v>0</v>
      </c>
      <c r="K229" t="s">
        <v>14</v>
      </c>
      <c r="L229">
        <v>0</v>
      </c>
      <c r="M229">
        <v>0</v>
      </c>
      <c r="N229">
        <v>0</v>
      </c>
    </row>
    <row r="230" spans="1:14" x14ac:dyDescent="0.2">
      <c r="A230" t="s">
        <v>3513</v>
      </c>
      <c r="B230">
        <v>145309</v>
      </c>
      <c r="C230">
        <v>2018</v>
      </c>
      <c r="D230" t="s">
        <v>23</v>
      </c>
      <c r="E230" t="s">
        <v>13</v>
      </c>
      <c r="F230">
        <v>0</v>
      </c>
      <c r="G230">
        <v>0</v>
      </c>
      <c r="H230">
        <v>20.6589200273411</v>
      </c>
      <c r="I230" t="b">
        <v>1</v>
      </c>
      <c r="J230">
        <v>0</v>
      </c>
      <c r="K230" t="s">
        <v>14</v>
      </c>
      <c r="L230">
        <v>0</v>
      </c>
      <c r="M230">
        <v>0</v>
      </c>
      <c r="N230">
        <v>1</v>
      </c>
    </row>
    <row r="231" spans="1:14" x14ac:dyDescent="0.2">
      <c r="A231" t="s">
        <v>3514</v>
      </c>
      <c r="B231">
        <v>145484</v>
      </c>
      <c r="C231">
        <v>2019</v>
      </c>
      <c r="D231" t="s">
        <v>21</v>
      </c>
      <c r="E231" t="s">
        <v>16</v>
      </c>
      <c r="F231">
        <v>0</v>
      </c>
      <c r="G231">
        <v>2</v>
      </c>
      <c r="H231">
        <v>59.841421736158601</v>
      </c>
      <c r="I231" t="b">
        <v>1</v>
      </c>
      <c r="J231">
        <v>1</v>
      </c>
      <c r="K231" t="s">
        <v>14</v>
      </c>
      <c r="L231">
        <v>0</v>
      </c>
      <c r="M231">
        <v>0</v>
      </c>
      <c r="N231">
        <v>0</v>
      </c>
    </row>
    <row r="232" spans="1:14" x14ac:dyDescent="0.2">
      <c r="A232" t="s">
        <v>3515</v>
      </c>
      <c r="B232">
        <v>145804</v>
      </c>
      <c r="C232">
        <v>2018</v>
      </c>
      <c r="D232" t="s">
        <v>20</v>
      </c>
      <c r="E232" t="s">
        <v>13</v>
      </c>
      <c r="F232">
        <v>0</v>
      </c>
      <c r="G232">
        <v>0</v>
      </c>
      <c r="H232">
        <v>75.305536568694507</v>
      </c>
      <c r="I232" t="b">
        <v>0</v>
      </c>
      <c r="J232">
        <v>0</v>
      </c>
      <c r="K232" t="s">
        <v>14</v>
      </c>
      <c r="L232">
        <v>1</v>
      </c>
      <c r="M232">
        <v>0</v>
      </c>
      <c r="N232">
        <v>0</v>
      </c>
    </row>
    <row r="233" spans="1:14" x14ac:dyDescent="0.2">
      <c r="A233" t="s">
        <v>3516</v>
      </c>
      <c r="B233">
        <v>145816</v>
      </c>
      <c r="C233">
        <v>2018</v>
      </c>
      <c r="D233" t="s">
        <v>12</v>
      </c>
      <c r="E233" t="s">
        <v>16</v>
      </c>
      <c r="F233" t="s">
        <v>18</v>
      </c>
      <c r="G233">
        <v>2</v>
      </c>
      <c r="H233">
        <v>66.859876965140103</v>
      </c>
      <c r="I233" t="b">
        <v>1</v>
      </c>
      <c r="J233">
        <v>0</v>
      </c>
      <c r="K233" t="s">
        <v>14</v>
      </c>
      <c r="L233">
        <v>0</v>
      </c>
      <c r="M233">
        <v>0</v>
      </c>
      <c r="N233">
        <v>1</v>
      </c>
    </row>
    <row r="234" spans="1:14" x14ac:dyDescent="0.2">
      <c r="A234" t="s">
        <v>3517</v>
      </c>
      <c r="B234">
        <v>146081</v>
      </c>
      <c r="C234">
        <v>2019</v>
      </c>
      <c r="D234" t="s">
        <v>12</v>
      </c>
      <c r="E234" t="s">
        <v>13</v>
      </c>
      <c r="F234">
        <v>0</v>
      </c>
      <c r="G234">
        <v>0</v>
      </c>
      <c r="H234">
        <v>53.069036226930997</v>
      </c>
      <c r="I234" t="b">
        <v>0</v>
      </c>
      <c r="J234">
        <v>0</v>
      </c>
      <c r="K234" t="s">
        <v>14</v>
      </c>
      <c r="L234">
        <v>1</v>
      </c>
      <c r="M234">
        <v>0</v>
      </c>
      <c r="N234">
        <v>1</v>
      </c>
    </row>
    <row r="235" spans="1:14" x14ac:dyDescent="0.2">
      <c r="A235" t="s">
        <v>3518</v>
      </c>
      <c r="B235">
        <v>146394</v>
      </c>
      <c r="C235">
        <v>2019</v>
      </c>
      <c r="D235" t="s">
        <v>20</v>
      </c>
      <c r="E235" t="s">
        <v>16</v>
      </c>
      <c r="F235">
        <v>1</v>
      </c>
      <c r="G235">
        <v>4</v>
      </c>
      <c r="H235">
        <v>87.814080656185894</v>
      </c>
      <c r="I235" t="b">
        <v>1</v>
      </c>
      <c r="J235">
        <v>0</v>
      </c>
      <c r="K235" t="s">
        <v>14</v>
      </c>
      <c r="L235">
        <v>0</v>
      </c>
      <c r="M235">
        <v>0</v>
      </c>
      <c r="N235">
        <v>1</v>
      </c>
    </row>
    <row r="236" spans="1:14" x14ac:dyDescent="0.2">
      <c r="A236" t="s">
        <v>3519</v>
      </c>
      <c r="B236">
        <v>146529</v>
      </c>
      <c r="C236">
        <v>2019</v>
      </c>
      <c r="D236" t="s">
        <v>21</v>
      </c>
      <c r="E236" t="s">
        <v>16</v>
      </c>
      <c r="F236">
        <v>0</v>
      </c>
      <c r="G236">
        <v>3</v>
      </c>
      <c r="H236">
        <v>90.534518113465495</v>
      </c>
      <c r="I236" t="b">
        <v>0</v>
      </c>
      <c r="J236" t="s">
        <v>18</v>
      </c>
      <c r="K236" t="s">
        <v>14</v>
      </c>
      <c r="L236">
        <v>0</v>
      </c>
      <c r="M236">
        <v>0</v>
      </c>
      <c r="N236">
        <v>1</v>
      </c>
    </row>
    <row r="237" spans="1:14" x14ac:dyDescent="0.2">
      <c r="A237" t="s">
        <v>3520</v>
      </c>
      <c r="B237">
        <v>146951</v>
      </c>
      <c r="C237">
        <v>2018</v>
      </c>
      <c r="D237" t="s">
        <v>12</v>
      </c>
      <c r="E237" t="s">
        <v>16</v>
      </c>
      <c r="F237">
        <v>0</v>
      </c>
      <c r="G237">
        <v>3</v>
      </c>
      <c r="H237">
        <v>66.509911141490093</v>
      </c>
      <c r="I237" t="b">
        <v>0</v>
      </c>
      <c r="J237" t="s">
        <v>18</v>
      </c>
      <c r="K237" t="s">
        <v>14</v>
      </c>
      <c r="L237">
        <v>1</v>
      </c>
      <c r="M237">
        <v>0</v>
      </c>
      <c r="N237">
        <v>0</v>
      </c>
    </row>
    <row r="238" spans="1:14" x14ac:dyDescent="0.2">
      <c r="A238" t="s">
        <v>3521</v>
      </c>
      <c r="B238">
        <v>147404</v>
      </c>
      <c r="C238">
        <v>2018</v>
      </c>
      <c r="D238" t="s">
        <v>21</v>
      </c>
      <c r="E238" t="s">
        <v>13</v>
      </c>
      <c r="F238">
        <v>0</v>
      </c>
      <c r="G238">
        <v>2</v>
      </c>
      <c r="H238">
        <v>80.344497607655498</v>
      </c>
      <c r="I238" t="b">
        <v>0</v>
      </c>
      <c r="J238">
        <v>0</v>
      </c>
      <c r="K238" t="s">
        <v>14</v>
      </c>
      <c r="L238">
        <v>0</v>
      </c>
      <c r="M238">
        <v>0</v>
      </c>
      <c r="N238">
        <v>1</v>
      </c>
    </row>
    <row r="239" spans="1:14" x14ac:dyDescent="0.2">
      <c r="A239" t="s">
        <v>3522</v>
      </c>
      <c r="B239">
        <v>147971</v>
      </c>
      <c r="C239">
        <v>2018</v>
      </c>
      <c r="D239" t="s">
        <v>15</v>
      </c>
      <c r="E239" t="s">
        <v>16</v>
      </c>
      <c r="F239">
        <v>0</v>
      </c>
      <c r="G239">
        <v>3</v>
      </c>
      <c r="H239">
        <v>81.235816814764206</v>
      </c>
      <c r="I239" t="b">
        <v>0</v>
      </c>
      <c r="J239">
        <v>0</v>
      </c>
      <c r="K239" t="s">
        <v>14</v>
      </c>
      <c r="L239">
        <v>1</v>
      </c>
      <c r="M239">
        <v>0</v>
      </c>
      <c r="N239">
        <v>0</v>
      </c>
    </row>
    <row r="240" spans="1:14" x14ac:dyDescent="0.2">
      <c r="A240" t="s">
        <v>3523</v>
      </c>
      <c r="B240">
        <v>148268</v>
      </c>
      <c r="C240">
        <v>2018</v>
      </c>
      <c r="D240" t="s">
        <v>12</v>
      </c>
      <c r="E240" t="s">
        <v>16</v>
      </c>
      <c r="F240">
        <v>0</v>
      </c>
      <c r="G240">
        <v>4</v>
      </c>
      <c r="H240">
        <v>87.945317840054699</v>
      </c>
      <c r="I240" t="b">
        <v>0</v>
      </c>
      <c r="J240" t="s">
        <v>18</v>
      </c>
      <c r="K240" t="s">
        <v>14</v>
      </c>
      <c r="L240">
        <v>0</v>
      </c>
      <c r="M240">
        <v>1</v>
      </c>
      <c r="N240">
        <v>0</v>
      </c>
    </row>
    <row r="241" spans="1:14" x14ac:dyDescent="0.2">
      <c r="A241" t="s">
        <v>3524</v>
      </c>
      <c r="B241">
        <v>148801</v>
      </c>
      <c r="C241">
        <v>2018</v>
      </c>
      <c r="D241" t="s">
        <v>23</v>
      </c>
      <c r="E241" t="s">
        <v>13</v>
      </c>
      <c r="F241">
        <v>0</v>
      </c>
      <c r="G241">
        <v>0</v>
      </c>
      <c r="H241">
        <v>86.0423786739576</v>
      </c>
      <c r="I241" t="b">
        <v>1</v>
      </c>
      <c r="J241">
        <v>0</v>
      </c>
      <c r="K241" t="s">
        <v>14</v>
      </c>
      <c r="L241">
        <v>0</v>
      </c>
      <c r="M241">
        <v>0</v>
      </c>
      <c r="N241">
        <v>1</v>
      </c>
    </row>
    <row r="242" spans="1:14" x14ac:dyDescent="0.2">
      <c r="A242" t="s">
        <v>3525</v>
      </c>
      <c r="B242">
        <v>150603</v>
      </c>
      <c r="C242">
        <v>2018</v>
      </c>
      <c r="D242" t="s">
        <v>12</v>
      </c>
      <c r="E242" t="s">
        <v>13</v>
      </c>
      <c r="F242">
        <v>0</v>
      </c>
      <c r="G242">
        <v>1</v>
      </c>
      <c r="H242">
        <v>79.327409432672596</v>
      </c>
      <c r="I242" t="b">
        <v>0</v>
      </c>
      <c r="J242" t="s">
        <v>18</v>
      </c>
      <c r="K242" t="s">
        <v>14</v>
      </c>
      <c r="L242">
        <v>1</v>
      </c>
      <c r="M242">
        <v>0</v>
      </c>
      <c r="N242">
        <v>0</v>
      </c>
    </row>
    <row r="243" spans="1:14" x14ac:dyDescent="0.2">
      <c r="A243" t="s">
        <v>3526</v>
      </c>
      <c r="B243">
        <v>150832</v>
      </c>
      <c r="C243">
        <v>2018</v>
      </c>
      <c r="D243" t="s">
        <v>20</v>
      </c>
      <c r="E243" t="s">
        <v>13</v>
      </c>
      <c r="F243">
        <v>0</v>
      </c>
      <c r="G243">
        <v>1</v>
      </c>
      <c r="H243">
        <v>80.229665071770299</v>
      </c>
      <c r="I243" t="b">
        <v>0</v>
      </c>
      <c r="J243">
        <v>0</v>
      </c>
      <c r="K243" t="s">
        <v>14</v>
      </c>
      <c r="L243">
        <v>0</v>
      </c>
      <c r="M243">
        <v>0</v>
      </c>
      <c r="N243">
        <v>1</v>
      </c>
    </row>
    <row r="244" spans="1:14" x14ac:dyDescent="0.2">
      <c r="A244" t="s">
        <v>3527</v>
      </c>
      <c r="B244">
        <v>700024</v>
      </c>
      <c r="C244">
        <v>2020</v>
      </c>
      <c r="D244" t="s">
        <v>12</v>
      </c>
      <c r="E244" t="s">
        <v>13</v>
      </c>
      <c r="F244">
        <v>0</v>
      </c>
      <c r="G244">
        <v>2</v>
      </c>
      <c r="H244">
        <v>73.279562542720399</v>
      </c>
      <c r="I244" t="b">
        <v>1</v>
      </c>
      <c r="J244">
        <v>0</v>
      </c>
      <c r="K244" t="s">
        <v>26</v>
      </c>
      <c r="L244">
        <v>1</v>
      </c>
      <c r="M244">
        <v>0</v>
      </c>
      <c r="N244">
        <v>1</v>
      </c>
    </row>
    <row r="245" spans="1:14" x14ac:dyDescent="0.2">
      <c r="A245" t="s">
        <v>3528</v>
      </c>
      <c r="B245">
        <v>700041</v>
      </c>
      <c r="C245">
        <v>2020</v>
      </c>
      <c r="D245" t="s">
        <v>17</v>
      </c>
      <c r="E245" t="s">
        <v>16</v>
      </c>
      <c r="F245">
        <v>1</v>
      </c>
      <c r="G245">
        <v>3</v>
      </c>
      <c r="H245">
        <v>66.151742993848302</v>
      </c>
      <c r="I245" t="b">
        <v>0</v>
      </c>
      <c r="J245">
        <v>0</v>
      </c>
      <c r="K245" t="s">
        <v>26</v>
      </c>
      <c r="L245">
        <v>1</v>
      </c>
      <c r="M245">
        <v>1</v>
      </c>
      <c r="N245">
        <v>0</v>
      </c>
    </row>
    <row r="246" spans="1:14" x14ac:dyDescent="0.2">
      <c r="A246" t="s">
        <v>3529</v>
      </c>
      <c r="B246">
        <v>700042</v>
      </c>
      <c r="C246">
        <v>2020</v>
      </c>
      <c r="D246" t="s">
        <v>22</v>
      </c>
      <c r="E246" t="s">
        <v>13</v>
      </c>
      <c r="F246">
        <v>1</v>
      </c>
      <c r="G246">
        <v>2</v>
      </c>
      <c r="H246">
        <v>71.0075187969925</v>
      </c>
      <c r="I246" t="b">
        <v>0</v>
      </c>
      <c r="J246">
        <v>0</v>
      </c>
      <c r="K246" t="s">
        <v>26</v>
      </c>
      <c r="L246">
        <v>0</v>
      </c>
      <c r="M246">
        <v>0</v>
      </c>
      <c r="N246">
        <v>0</v>
      </c>
    </row>
    <row r="247" spans="1:14" x14ac:dyDescent="0.2">
      <c r="A247" t="s">
        <v>3530</v>
      </c>
      <c r="B247">
        <v>700170</v>
      </c>
      <c r="C247">
        <v>2020</v>
      </c>
      <c r="D247" t="s">
        <v>12</v>
      </c>
      <c r="E247" t="s">
        <v>13</v>
      </c>
      <c r="F247">
        <v>0</v>
      </c>
      <c r="G247">
        <v>1</v>
      </c>
      <c r="H247">
        <v>53.137388926862599</v>
      </c>
      <c r="I247" t="b">
        <v>0</v>
      </c>
      <c r="J247">
        <v>0</v>
      </c>
      <c r="K247" t="s">
        <v>26</v>
      </c>
      <c r="L247">
        <v>0</v>
      </c>
      <c r="M247">
        <v>0</v>
      </c>
      <c r="N247">
        <v>0</v>
      </c>
    </row>
    <row r="248" spans="1:14" x14ac:dyDescent="0.2">
      <c r="A248" t="s">
        <v>3531</v>
      </c>
      <c r="B248">
        <v>700223</v>
      </c>
      <c r="C248">
        <v>2020</v>
      </c>
      <c r="D248" t="s">
        <v>21</v>
      </c>
      <c r="E248" t="s">
        <v>13</v>
      </c>
      <c r="F248">
        <v>0</v>
      </c>
      <c r="G248">
        <v>0</v>
      </c>
      <c r="H248">
        <v>61.911141490088902</v>
      </c>
      <c r="I248" t="b">
        <v>1</v>
      </c>
      <c r="J248">
        <v>1</v>
      </c>
      <c r="K248" t="s">
        <v>26</v>
      </c>
      <c r="L248">
        <v>0</v>
      </c>
      <c r="M248">
        <v>0</v>
      </c>
      <c r="N248">
        <v>1</v>
      </c>
    </row>
    <row r="249" spans="1:14" x14ac:dyDescent="0.2">
      <c r="A249" t="s">
        <v>3532</v>
      </c>
      <c r="B249">
        <v>700231</v>
      </c>
      <c r="C249">
        <v>2020</v>
      </c>
      <c r="D249" t="s">
        <v>12</v>
      </c>
      <c r="E249" t="s">
        <v>13</v>
      </c>
      <c r="F249">
        <v>0</v>
      </c>
      <c r="G249">
        <v>3</v>
      </c>
      <c r="H249">
        <v>58.930963773069003</v>
      </c>
      <c r="I249" t="b">
        <v>1</v>
      </c>
      <c r="J249">
        <v>0</v>
      </c>
      <c r="K249" t="s">
        <v>26</v>
      </c>
      <c r="L249">
        <v>0</v>
      </c>
      <c r="M249">
        <v>0</v>
      </c>
      <c r="N249">
        <v>1</v>
      </c>
    </row>
    <row r="250" spans="1:14" x14ac:dyDescent="0.2">
      <c r="A250" t="s">
        <v>3533</v>
      </c>
      <c r="B250">
        <v>700241</v>
      </c>
      <c r="C250">
        <v>2020</v>
      </c>
      <c r="D250" t="s">
        <v>21</v>
      </c>
      <c r="E250" t="s">
        <v>16</v>
      </c>
      <c r="F250">
        <v>0</v>
      </c>
      <c r="G250">
        <v>2</v>
      </c>
      <c r="H250">
        <v>64.500341763499705</v>
      </c>
      <c r="I250" t="b">
        <v>0</v>
      </c>
      <c r="J250">
        <v>0</v>
      </c>
      <c r="K250" t="s">
        <v>26</v>
      </c>
      <c r="L250">
        <v>0</v>
      </c>
      <c r="M250">
        <v>0</v>
      </c>
      <c r="N250">
        <v>1</v>
      </c>
    </row>
    <row r="251" spans="1:14" x14ac:dyDescent="0.2">
      <c r="A251" t="s">
        <v>3534</v>
      </c>
      <c r="B251">
        <v>700398</v>
      </c>
      <c r="C251">
        <v>2019</v>
      </c>
      <c r="D251" t="s">
        <v>23</v>
      </c>
      <c r="E251" t="s">
        <v>13</v>
      </c>
      <c r="F251">
        <v>0</v>
      </c>
      <c r="G251">
        <v>1</v>
      </c>
      <c r="H251">
        <v>89.402597402597394</v>
      </c>
      <c r="I251" t="b">
        <v>1</v>
      </c>
      <c r="J251">
        <v>0</v>
      </c>
      <c r="K251" t="s">
        <v>14</v>
      </c>
      <c r="L251">
        <v>0</v>
      </c>
      <c r="M251">
        <v>1</v>
      </c>
      <c r="N251">
        <v>1</v>
      </c>
    </row>
    <row r="252" spans="1:14" x14ac:dyDescent="0.2">
      <c r="A252" t="s">
        <v>3535</v>
      </c>
      <c r="B252">
        <v>700450</v>
      </c>
      <c r="C252">
        <v>2020</v>
      </c>
      <c r="D252" t="s">
        <v>21</v>
      </c>
      <c r="E252" t="s">
        <v>13</v>
      </c>
      <c r="F252">
        <v>0</v>
      </c>
      <c r="G252">
        <v>0</v>
      </c>
      <c r="H252">
        <v>64.981544771018406</v>
      </c>
      <c r="I252" t="b">
        <v>0</v>
      </c>
      <c r="J252">
        <v>0</v>
      </c>
      <c r="K252" t="s">
        <v>26</v>
      </c>
      <c r="L252">
        <v>1</v>
      </c>
      <c r="M252">
        <v>1</v>
      </c>
      <c r="N252">
        <v>0</v>
      </c>
    </row>
    <row r="253" spans="1:14" x14ac:dyDescent="0.2">
      <c r="A253" t="s">
        <v>3536</v>
      </c>
      <c r="B253">
        <v>700464</v>
      </c>
      <c r="C253">
        <v>2020</v>
      </c>
      <c r="D253" t="s">
        <v>12</v>
      </c>
      <c r="E253" t="s">
        <v>13</v>
      </c>
      <c r="F253">
        <v>0</v>
      </c>
      <c r="G253">
        <v>3</v>
      </c>
      <c r="H253">
        <v>77.916609706083406</v>
      </c>
      <c r="I253" t="b">
        <v>0</v>
      </c>
      <c r="J253">
        <v>0</v>
      </c>
      <c r="K253" t="s">
        <v>26</v>
      </c>
      <c r="L253">
        <v>0</v>
      </c>
      <c r="M253">
        <v>0</v>
      </c>
      <c r="N253">
        <v>0</v>
      </c>
    </row>
    <row r="254" spans="1:14" x14ac:dyDescent="0.2">
      <c r="A254" t="s">
        <v>3537</v>
      </c>
      <c r="B254">
        <v>700504</v>
      </c>
      <c r="C254">
        <v>2020</v>
      </c>
      <c r="D254" t="s">
        <v>12</v>
      </c>
      <c r="E254" t="s">
        <v>16</v>
      </c>
      <c r="F254">
        <v>1</v>
      </c>
      <c r="G254">
        <v>2</v>
      </c>
      <c r="H254">
        <v>68.678058783321902</v>
      </c>
      <c r="I254" t="b">
        <v>0</v>
      </c>
      <c r="J254">
        <v>0</v>
      </c>
      <c r="K254" t="s">
        <v>26</v>
      </c>
      <c r="L254">
        <v>0</v>
      </c>
      <c r="M254">
        <v>0</v>
      </c>
      <c r="N254">
        <v>1</v>
      </c>
    </row>
    <row r="255" spans="1:14" x14ac:dyDescent="0.2">
      <c r="A255" t="s">
        <v>3538</v>
      </c>
      <c r="B255">
        <v>700539</v>
      </c>
      <c r="C255">
        <v>2020</v>
      </c>
      <c r="D255" t="s">
        <v>17</v>
      </c>
      <c r="E255" t="s">
        <v>13</v>
      </c>
      <c r="F255">
        <v>0</v>
      </c>
      <c r="G255">
        <v>2</v>
      </c>
      <c r="H255">
        <v>93.323308270676705</v>
      </c>
      <c r="I255" t="b">
        <v>0</v>
      </c>
      <c r="J255">
        <v>0</v>
      </c>
      <c r="K255" t="s">
        <v>26</v>
      </c>
      <c r="L255">
        <v>1</v>
      </c>
      <c r="M255">
        <v>1</v>
      </c>
      <c r="N255">
        <v>0</v>
      </c>
    </row>
    <row r="256" spans="1:14" x14ac:dyDescent="0.2">
      <c r="A256" t="s">
        <v>3539</v>
      </c>
      <c r="B256">
        <v>700636</v>
      </c>
      <c r="C256">
        <v>2020</v>
      </c>
      <c r="D256" t="s">
        <v>21</v>
      </c>
      <c r="E256" t="s">
        <v>16</v>
      </c>
      <c r="F256">
        <v>0</v>
      </c>
      <c r="G256">
        <v>4</v>
      </c>
      <c r="H256">
        <v>76.935064935064901</v>
      </c>
      <c r="I256" t="b">
        <v>0</v>
      </c>
      <c r="J256">
        <v>0</v>
      </c>
      <c r="K256" t="s">
        <v>26</v>
      </c>
      <c r="L256">
        <v>1</v>
      </c>
      <c r="M256">
        <v>0</v>
      </c>
      <c r="N256">
        <v>0</v>
      </c>
    </row>
    <row r="257" spans="1:14" x14ac:dyDescent="0.2">
      <c r="A257" t="s">
        <v>3540</v>
      </c>
      <c r="B257">
        <v>700699</v>
      </c>
      <c r="C257">
        <v>2020</v>
      </c>
      <c r="D257" t="s">
        <v>19</v>
      </c>
      <c r="E257" t="s">
        <v>13</v>
      </c>
      <c r="F257">
        <v>0</v>
      </c>
      <c r="G257">
        <v>3</v>
      </c>
      <c r="H257">
        <v>85.391660970608299</v>
      </c>
      <c r="I257" t="b">
        <v>0</v>
      </c>
      <c r="J257">
        <v>0</v>
      </c>
      <c r="K257" t="s">
        <v>26</v>
      </c>
      <c r="L257">
        <v>1</v>
      </c>
      <c r="M257">
        <v>0</v>
      </c>
      <c r="N257">
        <v>0</v>
      </c>
    </row>
    <row r="258" spans="1:14" x14ac:dyDescent="0.2">
      <c r="A258" t="s">
        <v>3541</v>
      </c>
      <c r="B258">
        <v>700728</v>
      </c>
      <c r="C258">
        <v>2020</v>
      </c>
      <c r="D258" t="s">
        <v>12</v>
      </c>
      <c r="E258" t="s">
        <v>13</v>
      </c>
      <c r="F258">
        <v>0</v>
      </c>
      <c r="G258">
        <v>1</v>
      </c>
      <c r="H258">
        <v>87.644565960355393</v>
      </c>
      <c r="I258" t="b">
        <v>0</v>
      </c>
      <c r="J258">
        <v>0</v>
      </c>
      <c r="K258" t="s">
        <v>26</v>
      </c>
      <c r="L258">
        <v>0</v>
      </c>
      <c r="M258">
        <v>0</v>
      </c>
      <c r="N258">
        <v>0</v>
      </c>
    </row>
    <row r="259" spans="1:14" x14ac:dyDescent="0.2">
      <c r="A259" t="s">
        <v>3542</v>
      </c>
      <c r="B259">
        <v>700760</v>
      </c>
      <c r="C259">
        <v>2020</v>
      </c>
      <c r="D259" t="s">
        <v>12</v>
      </c>
      <c r="E259" t="s">
        <v>13</v>
      </c>
      <c r="F259">
        <v>0</v>
      </c>
      <c r="G259">
        <v>0</v>
      </c>
      <c r="H259">
        <v>28.7163362952837</v>
      </c>
      <c r="I259" t="b">
        <v>0</v>
      </c>
      <c r="J259">
        <v>0</v>
      </c>
      <c r="K259" t="s">
        <v>26</v>
      </c>
      <c r="L259">
        <v>0</v>
      </c>
      <c r="M259">
        <v>0</v>
      </c>
      <c r="N259">
        <v>0</v>
      </c>
    </row>
    <row r="260" spans="1:14" x14ac:dyDescent="0.2">
      <c r="A260" t="s">
        <v>3543</v>
      </c>
      <c r="B260">
        <v>700796</v>
      </c>
      <c r="C260">
        <v>2020</v>
      </c>
      <c r="D260" t="s">
        <v>21</v>
      </c>
      <c r="E260" t="s">
        <v>16</v>
      </c>
      <c r="F260">
        <v>0</v>
      </c>
      <c r="G260">
        <v>1</v>
      </c>
      <c r="H260">
        <v>71.420369104579606</v>
      </c>
      <c r="I260" t="b">
        <v>0</v>
      </c>
      <c r="J260">
        <v>0</v>
      </c>
      <c r="K260" t="s">
        <v>26</v>
      </c>
      <c r="L260">
        <v>0</v>
      </c>
      <c r="M260">
        <v>0</v>
      </c>
      <c r="N260">
        <v>1</v>
      </c>
    </row>
    <row r="261" spans="1:14" x14ac:dyDescent="0.2">
      <c r="A261" t="s">
        <v>3544</v>
      </c>
      <c r="B261">
        <v>700887</v>
      </c>
      <c r="C261">
        <v>2020</v>
      </c>
      <c r="D261" t="s">
        <v>12</v>
      </c>
      <c r="E261" t="s">
        <v>16</v>
      </c>
      <c r="F261">
        <v>0</v>
      </c>
      <c r="G261">
        <v>3</v>
      </c>
      <c r="H261">
        <v>63.9289131920711</v>
      </c>
      <c r="I261" t="b">
        <v>1</v>
      </c>
      <c r="J261">
        <v>0</v>
      </c>
      <c r="K261" t="s">
        <v>26</v>
      </c>
      <c r="L261">
        <v>0</v>
      </c>
      <c r="M261">
        <v>0</v>
      </c>
      <c r="N261">
        <v>0</v>
      </c>
    </row>
    <row r="262" spans="1:14" x14ac:dyDescent="0.2">
      <c r="A262" t="s">
        <v>3545</v>
      </c>
      <c r="B262">
        <v>700903</v>
      </c>
      <c r="C262">
        <v>2020</v>
      </c>
      <c r="D262" t="s">
        <v>12</v>
      </c>
      <c r="E262" t="s">
        <v>13</v>
      </c>
      <c r="F262">
        <v>0</v>
      </c>
      <c r="G262">
        <v>3</v>
      </c>
      <c r="H262">
        <v>81.859193438140807</v>
      </c>
      <c r="I262" t="b">
        <v>0</v>
      </c>
      <c r="J262">
        <v>0</v>
      </c>
      <c r="K262" t="s">
        <v>26</v>
      </c>
      <c r="L262">
        <v>0</v>
      </c>
      <c r="M262">
        <v>0</v>
      </c>
      <c r="N262">
        <v>0</v>
      </c>
    </row>
    <row r="263" spans="1:14" x14ac:dyDescent="0.2">
      <c r="A263" t="s">
        <v>3546</v>
      </c>
      <c r="B263">
        <v>700926</v>
      </c>
      <c r="C263">
        <v>2020</v>
      </c>
      <c r="D263" t="s">
        <v>20</v>
      </c>
      <c r="E263" t="s">
        <v>13</v>
      </c>
      <c r="F263">
        <v>0</v>
      </c>
      <c r="G263">
        <v>0</v>
      </c>
      <c r="H263">
        <v>86.162679425837297</v>
      </c>
      <c r="I263" t="b">
        <v>0</v>
      </c>
      <c r="J263">
        <v>0</v>
      </c>
      <c r="K263" t="s">
        <v>26</v>
      </c>
      <c r="L263">
        <v>0</v>
      </c>
      <c r="M263">
        <v>0</v>
      </c>
      <c r="N263">
        <v>1</v>
      </c>
    </row>
    <row r="264" spans="1:14" x14ac:dyDescent="0.2">
      <c r="A264" t="s">
        <v>3547</v>
      </c>
      <c r="B264">
        <v>700975</v>
      </c>
      <c r="C264">
        <v>2020</v>
      </c>
      <c r="D264" t="s">
        <v>12</v>
      </c>
      <c r="E264" t="s">
        <v>13</v>
      </c>
      <c r="F264">
        <v>0</v>
      </c>
      <c r="G264">
        <v>1</v>
      </c>
      <c r="H264">
        <v>88.814764183185204</v>
      </c>
      <c r="I264" t="b">
        <v>0</v>
      </c>
      <c r="J264">
        <v>0</v>
      </c>
      <c r="K264" t="s">
        <v>26</v>
      </c>
      <c r="L264">
        <v>0</v>
      </c>
      <c r="M264">
        <v>0</v>
      </c>
      <c r="N264">
        <v>1</v>
      </c>
    </row>
    <row r="265" spans="1:14" x14ac:dyDescent="0.2">
      <c r="A265" t="s">
        <v>3548</v>
      </c>
      <c r="B265">
        <v>700982</v>
      </c>
      <c r="C265">
        <v>2020</v>
      </c>
      <c r="D265" t="s">
        <v>12</v>
      </c>
      <c r="E265" t="s">
        <v>16</v>
      </c>
      <c r="F265">
        <v>0</v>
      </c>
      <c r="G265">
        <v>0</v>
      </c>
      <c r="H265">
        <v>81.714285714285694</v>
      </c>
      <c r="I265" t="b">
        <v>0</v>
      </c>
      <c r="J265">
        <v>0</v>
      </c>
      <c r="K265" t="s">
        <v>26</v>
      </c>
      <c r="L265">
        <v>0</v>
      </c>
      <c r="M265">
        <v>0</v>
      </c>
      <c r="N265">
        <v>1</v>
      </c>
    </row>
    <row r="266" spans="1:14" x14ac:dyDescent="0.2">
      <c r="A266" t="s">
        <v>3549</v>
      </c>
      <c r="B266">
        <v>700992</v>
      </c>
      <c r="C266">
        <v>2020</v>
      </c>
      <c r="D266" t="s">
        <v>21</v>
      </c>
      <c r="E266" t="s">
        <v>13</v>
      </c>
      <c r="F266">
        <v>0</v>
      </c>
      <c r="G266">
        <v>4</v>
      </c>
      <c r="H266">
        <v>90.690362269309603</v>
      </c>
      <c r="I266" t="b">
        <v>0</v>
      </c>
      <c r="J266">
        <v>1</v>
      </c>
      <c r="K266" t="s">
        <v>26</v>
      </c>
      <c r="L266">
        <v>0</v>
      </c>
      <c r="M266">
        <v>0</v>
      </c>
      <c r="N266">
        <v>0</v>
      </c>
    </row>
    <row r="267" spans="1:14" x14ac:dyDescent="0.2">
      <c r="A267" t="s">
        <v>3550</v>
      </c>
      <c r="B267">
        <v>701014</v>
      </c>
      <c r="C267">
        <v>2020</v>
      </c>
      <c r="D267" t="s">
        <v>12</v>
      </c>
      <c r="E267" t="s">
        <v>13</v>
      </c>
      <c r="F267">
        <v>0</v>
      </c>
      <c r="G267">
        <v>0</v>
      </c>
      <c r="H267">
        <v>80.639781271360206</v>
      </c>
      <c r="I267" t="b">
        <v>1</v>
      </c>
      <c r="J267">
        <v>0</v>
      </c>
      <c r="K267" t="s">
        <v>26</v>
      </c>
      <c r="L267">
        <v>1</v>
      </c>
      <c r="M267">
        <v>0</v>
      </c>
      <c r="N267">
        <v>0</v>
      </c>
    </row>
    <row r="268" spans="1:14" x14ac:dyDescent="0.2">
      <c r="A268" t="s">
        <v>3551</v>
      </c>
      <c r="B268">
        <v>701075</v>
      </c>
      <c r="C268">
        <v>2020</v>
      </c>
      <c r="D268" t="s">
        <v>12</v>
      </c>
      <c r="E268" t="s">
        <v>13</v>
      </c>
      <c r="F268">
        <v>0</v>
      </c>
      <c r="G268">
        <v>1</v>
      </c>
      <c r="H268">
        <v>95.477785372522206</v>
      </c>
      <c r="I268" t="b">
        <v>0</v>
      </c>
      <c r="J268">
        <v>0</v>
      </c>
      <c r="K268" t="s">
        <v>26</v>
      </c>
      <c r="L268">
        <v>0</v>
      </c>
      <c r="M268">
        <v>0</v>
      </c>
      <c r="N268">
        <v>0</v>
      </c>
    </row>
    <row r="269" spans="1:14" x14ac:dyDescent="0.2">
      <c r="A269" t="s">
        <v>3552</v>
      </c>
      <c r="B269">
        <v>701117</v>
      </c>
      <c r="C269">
        <v>2020</v>
      </c>
      <c r="D269" t="s">
        <v>21</v>
      </c>
      <c r="E269" t="s">
        <v>16</v>
      </c>
      <c r="F269">
        <v>0</v>
      </c>
      <c r="G269">
        <v>2</v>
      </c>
      <c r="H269">
        <v>69.583048530416903</v>
      </c>
      <c r="I269" t="b">
        <v>0</v>
      </c>
      <c r="J269">
        <v>0</v>
      </c>
      <c r="K269" t="s">
        <v>26</v>
      </c>
      <c r="L269">
        <v>0</v>
      </c>
      <c r="M269">
        <v>0</v>
      </c>
      <c r="N269">
        <v>1</v>
      </c>
    </row>
    <row r="270" spans="1:14" x14ac:dyDescent="0.2">
      <c r="A270" t="s">
        <v>3553</v>
      </c>
      <c r="B270">
        <v>701132</v>
      </c>
      <c r="C270">
        <v>2020</v>
      </c>
      <c r="D270" t="s">
        <v>12</v>
      </c>
      <c r="E270" t="s">
        <v>13</v>
      </c>
      <c r="F270">
        <v>0</v>
      </c>
      <c r="G270">
        <v>6</v>
      </c>
      <c r="H270">
        <v>57.260423786739601</v>
      </c>
      <c r="I270" t="b">
        <v>0</v>
      </c>
      <c r="J270">
        <v>0</v>
      </c>
      <c r="K270" t="s">
        <v>26</v>
      </c>
      <c r="L270">
        <v>0</v>
      </c>
      <c r="M270">
        <v>0</v>
      </c>
      <c r="N270">
        <v>1</v>
      </c>
    </row>
    <row r="271" spans="1:14" x14ac:dyDescent="0.2">
      <c r="A271" t="s">
        <v>3554</v>
      </c>
      <c r="B271">
        <v>701145</v>
      </c>
      <c r="C271">
        <v>2020</v>
      </c>
      <c r="D271" t="s">
        <v>12</v>
      </c>
      <c r="E271" t="s">
        <v>13</v>
      </c>
      <c r="F271">
        <v>0</v>
      </c>
      <c r="G271">
        <v>0</v>
      </c>
      <c r="H271">
        <v>41.591250854408798</v>
      </c>
      <c r="I271" t="b">
        <v>0</v>
      </c>
      <c r="J271">
        <v>0</v>
      </c>
      <c r="K271" t="s">
        <v>26</v>
      </c>
      <c r="L271">
        <v>0</v>
      </c>
      <c r="M271">
        <v>0</v>
      </c>
      <c r="N271">
        <v>0</v>
      </c>
    </row>
    <row r="272" spans="1:14" x14ac:dyDescent="0.2">
      <c r="A272" t="s">
        <v>3555</v>
      </c>
      <c r="B272">
        <v>701169</v>
      </c>
      <c r="C272">
        <v>2020</v>
      </c>
      <c r="D272" t="s">
        <v>24</v>
      </c>
      <c r="E272" t="s">
        <v>13</v>
      </c>
      <c r="F272">
        <v>0</v>
      </c>
      <c r="G272">
        <v>2</v>
      </c>
      <c r="H272">
        <v>84.552289815447693</v>
      </c>
      <c r="I272" t="b">
        <v>0</v>
      </c>
      <c r="J272">
        <v>0</v>
      </c>
      <c r="K272" t="s">
        <v>26</v>
      </c>
      <c r="L272">
        <v>0</v>
      </c>
      <c r="M272">
        <v>0</v>
      </c>
      <c r="N272">
        <v>1</v>
      </c>
    </row>
    <row r="273" spans="1:14" x14ac:dyDescent="0.2">
      <c r="A273" t="s">
        <v>3556</v>
      </c>
      <c r="B273">
        <v>701188</v>
      </c>
      <c r="C273">
        <v>2020</v>
      </c>
      <c r="D273" t="s">
        <v>15</v>
      </c>
      <c r="E273" t="s">
        <v>13</v>
      </c>
      <c r="F273">
        <v>0</v>
      </c>
      <c r="G273">
        <v>0</v>
      </c>
      <c r="H273">
        <v>70.955570745044398</v>
      </c>
      <c r="I273" t="b">
        <v>0</v>
      </c>
      <c r="J273">
        <v>0</v>
      </c>
      <c r="K273" t="s">
        <v>26</v>
      </c>
      <c r="L273">
        <v>0</v>
      </c>
      <c r="M273">
        <v>0</v>
      </c>
      <c r="N273">
        <v>0</v>
      </c>
    </row>
    <row r="274" spans="1:14" x14ac:dyDescent="0.2">
      <c r="A274" t="s">
        <v>3557</v>
      </c>
      <c r="B274">
        <v>701198</v>
      </c>
      <c r="C274">
        <v>2020</v>
      </c>
      <c r="D274" t="s">
        <v>21</v>
      </c>
      <c r="E274" t="s">
        <v>13</v>
      </c>
      <c r="F274">
        <v>1</v>
      </c>
      <c r="G274">
        <v>7</v>
      </c>
      <c r="H274">
        <v>73.427204374572796</v>
      </c>
      <c r="I274" t="b">
        <v>0</v>
      </c>
      <c r="J274">
        <v>0</v>
      </c>
      <c r="K274" t="s">
        <v>26</v>
      </c>
      <c r="L274">
        <v>0</v>
      </c>
      <c r="M274">
        <v>0</v>
      </c>
      <c r="N274">
        <v>0</v>
      </c>
    </row>
    <row r="275" spans="1:14" x14ac:dyDescent="0.2">
      <c r="A275" t="s">
        <v>3558</v>
      </c>
      <c r="B275">
        <v>701258</v>
      </c>
      <c r="C275">
        <v>2020</v>
      </c>
      <c r="D275" t="s">
        <v>17</v>
      </c>
      <c r="E275" t="s">
        <v>13</v>
      </c>
      <c r="F275">
        <v>0</v>
      </c>
      <c r="G275">
        <v>2</v>
      </c>
      <c r="H275">
        <v>73.4463431305537</v>
      </c>
      <c r="I275" t="b">
        <v>0</v>
      </c>
      <c r="J275">
        <v>0</v>
      </c>
      <c r="K275" t="s">
        <v>26</v>
      </c>
      <c r="L275">
        <v>0</v>
      </c>
      <c r="M275">
        <v>0</v>
      </c>
      <c r="N275">
        <v>0</v>
      </c>
    </row>
    <row r="276" spans="1:14" x14ac:dyDescent="0.2">
      <c r="A276" t="s">
        <v>3559</v>
      </c>
      <c r="B276">
        <v>701336</v>
      </c>
      <c r="C276">
        <v>2020</v>
      </c>
      <c r="D276" t="s">
        <v>22</v>
      </c>
      <c r="E276" t="s">
        <v>13</v>
      </c>
      <c r="F276">
        <v>0</v>
      </c>
      <c r="G276">
        <v>0</v>
      </c>
      <c r="H276">
        <v>41.4463431305537</v>
      </c>
      <c r="I276" t="b">
        <v>0</v>
      </c>
      <c r="J276" t="s">
        <v>18</v>
      </c>
      <c r="K276" t="s">
        <v>26</v>
      </c>
      <c r="L276">
        <v>0</v>
      </c>
      <c r="M276">
        <v>0</v>
      </c>
      <c r="N276">
        <v>1</v>
      </c>
    </row>
    <row r="277" spans="1:14" x14ac:dyDescent="0.2">
      <c r="A277" t="s">
        <v>3560</v>
      </c>
      <c r="B277">
        <v>701377</v>
      </c>
      <c r="C277">
        <v>2020</v>
      </c>
      <c r="D277" t="s">
        <v>21</v>
      </c>
      <c r="E277" t="s">
        <v>16</v>
      </c>
      <c r="F277">
        <v>0</v>
      </c>
      <c r="G277">
        <v>1</v>
      </c>
      <c r="H277">
        <v>38.602870813397097</v>
      </c>
      <c r="I277" t="b">
        <v>0</v>
      </c>
      <c r="J277">
        <v>0</v>
      </c>
      <c r="K277" t="s">
        <v>26</v>
      </c>
      <c r="L277">
        <v>0</v>
      </c>
      <c r="M277">
        <v>0</v>
      </c>
      <c r="N277">
        <v>0</v>
      </c>
    </row>
    <row r="278" spans="1:14" x14ac:dyDescent="0.2">
      <c r="A278" t="s">
        <v>3561</v>
      </c>
      <c r="B278">
        <v>701518</v>
      </c>
      <c r="C278">
        <v>2020</v>
      </c>
      <c r="D278" t="s">
        <v>17</v>
      </c>
      <c r="E278" t="s">
        <v>13</v>
      </c>
      <c r="F278">
        <v>1</v>
      </c>
      <c r="G278">
        <v>2</v>
      </c>
      <c r="H278">
        <v>77.386192754613802</v>
      </c>
      <c r="I278" t="b">
        <v>0</v>
      </c>
      <c r="J278">
        <v>0</v>
      </c>
      <c r="K278" t="s">
        <v>26</v>
      </c>
      <c r="L278">
        <v>0</v>
      </c>
      <c r="M278">
        <v>0</v>
      </c>
      <c r="N278">
        <v>1</v>
      </c>
    </row>
    <row r="279" spans="1:14" x14ac:dyDescent="0.2">
      <c r="A279" t="s">
        <v>3562</v>
      </c>
      <c r="B279">
        <v>701605</v>
      </c>
      <c r="C279">
        <v>2020</v>
      </c>
      <c r="D279" t="s">
        <v>21</v>
      </c>
      <c r="E279" t="s">
        <v>13</v>
      </c>
      <c r="F279">
        <v>0</v>
      </c>
      <c r="G279">
        <v>1</v>
      </c>
      <c r="H279">
        <v>87.893369788106597</v>
      </c>
      <c r="I279" t="b">
        <v>0</v>
      </c>
      <c r="J279">
        <v>0</v>
      </c>
      <c r="K279" t="s">
        <v>26</v>
      </c>
      <c r="L279">
        <v>0</v>
      </c>
      <c r="M279">
        <v>0</v>
      </c>
      <c r="N279">
        <v>1</v>
      </c>
    </row>
    <row r="280" spans="1:14" x14ac:dyDescent="0.2">
      <c r="A280" t="s">
        <v>3563</v>
      </c>
      <c r="B280">
        <v>701664</v>
      </c>
      <c r="C280">
        <v>2020</v>
      </c>
      <c r="D280" t="s">
        <v>12</v>
      </c>
      <c r="E280" t="s">
        <v>16</v>
      </c>
      <c r="F280">
        <v>0</v>
      </c>
      <c r="G280">
        <v>1</v>
      </c>
      <c r="H280">
        <v>79.893369788106597</v>
      </c>
      <c r="I280" t="b">
        <v>0</v>
      </c>
      <c r="J280">
        <v>0</v>
      </c>
      <c r="K280" t="s">
        <v>26</v>
      </c>
      <c r="L280">
        <v>0</v>
      </c>
      <c r="M280">
        <v>0</v>
      </c>
      <c r="N280">
        <v>0</v>
      </c>
    </row>
    <row r="281" spans="1:14" x14ac:dyDescent="0.2">
      <c r="A281" t="s">
        <v>3564</v>
      </c>
      <c r="B281">
        <v>701681</v>
      </c>
      <c r="C281">
        <v>2020</v>
      </c>
      <c r="D281" t="s">
        <v>19</v>
      </c>
      <c r="E281" t="s">
        <v>13</v>
      </c>
      <c r="F281">
        <v>0</v>
      </c>
      <c r="G281">
        <v>2</v>
      </c>
      <c r="H281">
        <v>81.298701298701303</v>
      </c>
      <c r="I281" t="b">
        <v>0</v>
      </c>
      <c r="J281">
        <v>0</v>
      </c>
      <c r="K281" t="s">
        <v>26</v>
      </c>
      <c r="L281">
        <v>0</v>
      </c>
      <c r="M281">
        <v>0</v>
      </c>
      <c r="N281">
        <v>0</v>
      </c>
    </row>
    <row r="282" spans="1:14" x14ac:dyDescent="0.2">
      <c r="A282" t="s">
        <v>3565</v>
      </c>
      <c r="B282">
        <v>701684</v>
      </c>
      <c r="C282">
        <v>2020</v>
      </c>
      <c r="D282" t="s">
        <v>12</v>
      </c>
      <c r="E282" t="s">
        <v>13</v>
      </c>
      <c r="F282">
        <v>0</v>
      </c>
      <c r="G282">
        <v>0</v>
      </c>
      <c r="H282">
        <v>56.267942583732101</v>
      </c>
      <c r="I282" t="b">
        <v>0</v>
      </c>
      <c r="J282">
        <v>0</v>
      </c>
      <c r="K282" t="s">
        <v>26</v>
      </c>
      <c r="L282">
        <v>1</v>
      </c>
      <c r="M282">
        <v>0</v>
      </c>
      <c r="N282">
        <v>0</v>
      </c>
    </row>
    <row r="283" spans="1:14" x14ac:dyDescent="0.2">
      <c r="A283" t="s">
        <v>3566</v>
      </c>
      <c r="B283">
        <v>701697</v>
      </c>
      <c r="C283">
        <v>2020</v>
      </c>
      <c r="D283" t="s">
        <v>12</v>
      </c>
      <c r="E283" t="s">
        <v>16</v>
      </c>
      <c r="F283">
        <v>0</v>
      </c>
      <c r="G283">
        <v>6</v>
      </c>
      <c r="H283">
        <v>66.974709501025302</v>
      </c>
      <c r="I283" t="b">
        <v>0</v>
      </c>
      <c r="J283">
        <v>0</v>
      </c>
      <c r="K283" t="s">
        <v>26</v>
      </c>
      <c r="L283">
        <v>0</v>
      </c>
      <c r="M283">
        <v>0</v>
      </c>
      <c r="N283">
        <v>0</v>
      </c>
    </row>
    <row r="284" spans="1:14" x14ac:dyDescent="0.2">
      <c r="A284" t="s">
        <v>3567</v>
      </c>
      <c r="B284">
        <v>701712</v>
      </c>
      <c r="C284">
        <v>2020</v>
      </c>
      <c r="D284" t="s">
        <v>22</v>
      </c>
      <c r="E284" t="s">
        <v>13</v>
      </c>
      <c r="F284">
        <v>0</v>
      </c>
      <c r="G284">
        <v>1</v>
      </c>
      <c r="H284">
        <v>76.180451127819595</v>
      </c>
      <c r="I284" t="b">
        <v>0</v>
      </c>
      <c r="J284">
        <v>0</v>
      </c>
      <c r="K284" t="s">
        <v>26</v>
      </c>
      <c r="L284">
        <v>1</v>
      </c>
      <c r="M284">
        <v>0</v>
      </c>
      <c r="N284">
        <v>1</v>
      </c>
    </row>
    <row r="285" spans="1:14" x14ac:dyDescent="0.2">
      <c r="A285" t="s">
        <v>3568</v>
      </c>
      <c r="B285">
        <v>701874</v>
      </c>
      <c r="C285">
        <v>2020</v>
      </c>
      <c r="D285" t="s">
        <v>22</v>
      </c>
      <c r="E285" t="s">
        <v>16</v>
      </c>
      <c r="F285">
        <v>0</v>
      </c>
      <c r="G285">
        <v>4</v>
      </c>
      <c r="H285">
        <v>61.982228298017802</v>
      </c>
      <c r="I285" t="b">
        <v>0</v>
      </c>
      <c r="J285">
        <v>0</v>
      </c>
      <c r="K285" t="s">
        <v>26</v>
      </c>
      <c r="L285">
        <v>1</v>
      </c>
      <c r="M285">
        <v>0</v>
      </c>
      <c r="N285">
        <v>1</v>
      </c>
    </row>
    <row r="286" spans="1:14" x14ac:dyDescent="0.2">
      <c r="A286" t="s">
        <v>3569</v>
      </c>
      <c r="B286">
        <v>701887</v>
      </c>
      <c r="C286">
        <v>2020</v>
      </c>
      <c r="D286" t="s">
        <v>12</v>
      </c>
      <c r="E286" t="s">
        <v>16</v>
      </c>
      <c r="F286">
        <v>0</v>
      </c>
      <c r="G286">
        <v>0</v>
      </c>
      <c r="H286">
        <v>27.8714969241285</v>
      </c>
      <c r="I286" t="b">
        <v>0</v>
      </c>
      <c r="J286">
        <v>0</v>
      </c>
      <c r="K286" t="s">
        <v>26</v>
      </c>
      <c r="L286">
        <v>1</v>
      </c>
      <c r="M286">
        <v>0</v>
      </c>
      <c r="N286">
        <v>0</v>
      </c>
    </row>
    <row r="287" spans="1:14" x14ac:dyDescent="0.2">
      <c r="A287" t="s">
        <v>3570</v>
      </c>
      <c r="B287">
        <v>701891</v>
      </c>
      <c r="C287">
        <v>2020</v>
      </c>
      <c r="D287" t="s">
        <v>21</v>
      </c>
      <c r="E287" t="s">
        <v>16</v>
      </c>
      <c r="F287">
        <v>0</v>
      </c>
      <c r="G287">
        <v>5</v>
      </c>
      <c r="H287">
        <v>51.669172932330802</v>
      </c>
      <c r="I287" t="b">
        <v>0</v>
      </c>
      <c r="J287">
        <v>1</v>
      </c>
      <c r="K287" t="s">
        <v>26</v>
      </c>
      <c r="L287">
        <v>0</v>
      </c>
      <c r="M287">
        <v>0</v>
      </c>
      <c r="N287">
        <v>0</v>
      </c>
    </row>
    <row r="288" spans="1:14" x14ac:dyDescent="0.2">
      <c r="A288" t="s">
        <v>3571</v>
      </c>
      <c r="B288">
        <v>701905</v>
      </c>
      <c r="C288">
        <v>2020</v>
      </c>
      <c r="D288" t="s">
        <v>12</v>
      </c>
      <c r="E288" t="s">
        <v>13</v>
      </c>
      <c r="F288">
        <v>0</v>
      </c>
      <c r="G288">
        <v>2</v>
      </c>
      <c r="H288">
        <v>71.455912508544102</v>
      </c>
      <c r="I288" t="b">
        <v>0</v>
      </c>
      <c r="J288">
        <v>0</v>
      </c>
      <c r="K288" t="s">
        <v>26</v>
      </c>
      <c r="L288">
        <v>0</v>
      </c>
      <c r="M288">
        <v>0</v>
      </c>
      <c r="N288">
        <v>0</v>
      </c>
    </row>
    <row r="289" spans="1:14" x14ac:dyDescent="0.2">
      <c r="A289" t="s">
        <v>3572</v>
      </c>
      <c r="B289">
        <v>701919</v>
      </c>
      <c r="C289">
        <v>2020</v>
      </c>
      <c r="D289" t="s">
        <v>12</v>
      </c>
      <c r="E289" t="s">
        <v>13</v>
      </c>
      <c r="F289">
        <v>0</v>
      </c>
      <c r="G289">
        <v>3</v>
      </c>
      <c r="H289">
        <v>78.1271360218729</v>
      </c>
      <c r="I289" t="b">
        <v>0</v>
      </c>
      <c r="J289">
        <v>0</v>
      </c>
      <c r="K289" t="s">
        <v>26</v>
      </c>
      <c r="L289">
        <v>0</v>
      </c>
      <c r="M289">
        <v>0</v>
      </c>
      <c r="N289">
        <v>0</v>
      </c>
    </row>
    <row r="290" spans="1:14" x14ac:dyDescent="0.2">
      <c r="A290" t="s">
        <v>3573</v>
      </c>
      <c r="B290">
        <v>701943</v>
      </c>
      <c r="C290">
        <v>2020</v>
      </c>
      <c r="D290" t="s">
        <v>12</v>
      </c>
      <c r="E290" t="s">
        <v>13</v>
      </c>
      <c r="F290">
        <v>0</v>
      </c>
      <c r="G290">
        <v>0</v>
      </c>
      <c r="H290">
        <v>28.675324675324699</v>
      </c>
      <c r="I290" t="b">
        <v>1</v>
      </c>
      <c r="J290">
        <v>0</v>
      </c>
      <c r="K290" t="s">
        <v>26</v>
      </c>
      <c r="L290">
        <v>1</v>
      </c>
      <c r="M290">
        <v>0</v>
      </c>
      <c r="N290">
        <v>0</v>
      </c>
    </row>
    <row r="291" spans="1:14" x14ac:dyDescent="0.2">
      <c r="A291" t="s">
        <v>3574</v>
      </c>
      <c r="B291">
        <v>701961</v>
      </c>
      <c r="C291">
        <v>2020</v>
      </c>
      <c r="D291" t="s">
        <v>12</v>
      </c>
      <c r="E291" t="s">
        <v>13</v>
      </c>
      <c r="F291">
        <v>0</v>
      </c>
      <c r="G291">
        <v>3</v>
      </c>
      <c r="H291">
        <v>62.728639781271397</v>
      </c>
      <c r="I291" t="b">
        <v>0</v>
      </c>
      <c r="J291">
        <v>0</v>
      </c>
      <c r="K291" t="s">
        <v>26</v>
      </c>
      <c r="L291">
        <v>0</v>
      </c>
      <c r="M291">
        <v>0</v>
      </c>
      <c r="N291">
        <v>1</v>
      </c>
    </row>
    <row r="292" spans="1:14" x14ac:dyDescent="0.2">
      <c r="A292" t="s">
        <v>3575</v>
      </c>
      <c r="B292">
        <v>702006</v>
      </c>
      <c r="C292">
        <v>2020</v>
      </c>
      <c r="D292" t="s">
        <v>12</v>
      </c>
      <c r="E292" t="s">
        <v>16</v>
      </c>
      <c r="F292">
        <v>0</v>
      </c>
      <c r="G292">
        <v>1</v>
      </c>
      <c r="H292">
        <v>55.548872180451099</v>
      </c>
      <c r="I292" t="b">
        <v>0</v>
      </c>
      <c r="J292">
        <v>0</v>
      </c>
      <c r="K292" t="s">
        <v>26</v>
      </c>
      <c r="L292">
        <v>1</v>
      </c>
      <c r="M292">
        <v>0</v>
      </c>
      <c r="N292">
        <v>1</v>
      </c>
    </row>
    <row r="293" spans="1:14" x14ac:dyDescent="0.2">
      <c r="A293" t="s">
        <v>3576</v>
      </c>
      <c r="B293">
        <v>702017</v>
      </c>
      <c r="C293">
        <v>2020</v>
      </c>
      <c r="D293" t="s">
        <v>12</v>
      </c>
      <c r="E293" t="s">
        <v>16</v>
      </c>
      <c r="F293">
        <v>1</v>
      </c>
      <c r="G293">
        <v>6</v>
      </c>
      <c r="H293">
        <v>59.354750512645197</v>
      </c>
      <c r="I293" t="b">
        <v>0</v>
      </c>
      <c r="J293">
        <v>0</v>
      </c>
      <c r="K293" t="s">
        <v>26</v>
      </c>
      <c r="L293">
        <v>0</v>
      </c>
      <c r="M293">
        <v>0</v>
      </c>
      <c r="N293">
        <v>0</v>
      </c>
    </row>
    <row r="294" spans="1:14" x14ac:dyDescent="0.2">
      <c r="A294" t="s">
        <v>3577</v>
      </c>
      <c r="B294">
        <v>702058</v>
      </c>
      <c r="C294">
        <v>2020</v>
      </c>
      <c r="D294" t="s">
        <v>12</v>
      </c>
      <c r="E294" t="s">
        <v>13</v>
      </c>
      <c r="F294">
        <v>0</v>
      </c>
      <c r="G294">
        <v>0</v>
      </c>
      <c r="H294">
        <v>35.012987012986997</v>
      </c>
      <c r="I294" t="b">
        <v>0</v>
      </c>
      <c r="J294">
        <v>0</v>
      </c>
      <c r="K294" t="s">
        <v>26</v>
      </c>
      <c r="L294">
        <v>0</v>
      </c>
      <c r="M294">
        <v>0</v>
      </c>
      <c r="N294">
        <v>0</v>
      </c>
    </row>
    <row r="295" spans="1:14" x14ac:dyDescent="0.2">
      <c r="A295" t="s">
        <v>3578</v>
      </c>
      <c r="B295">
        <v>702085</v>
      </c>
      <c r="C295">
        <v>2020</v>
      </c>
      <c r="D295" t="s">
        <v>21</v>
      </c>
      <c r="E295" t="s">
        <v>13</v>
      </c>
      <c r="F295">
        <v>0</v>
      </c>
      <c r="G295">
        <v>1</v>
      </c>
      <c r="H295">
        <v>87.532467532467507</v>
      </c>
      <c r="I295" t="b">
        <v>0</v>
      </c>
      <c r="J295">
        <v>0</v>
      </c>
      <c r="K295" t="s">
        <v>26</v>
      </c>
      <c r="L295">
        <v>0</v>
      </c>
      <c r="M295">
        <v>0</v>
      </c>
      <c r="N295">
        <v>0</v>
      </c>
    </row>
    <row r="296" spans="1:14" x14ac:dyDescent="0.2">
      <c r="A296" t="s">
        <v>3579</v>
      </c>
      <c r="B296">
        <v>702254</v>
      </c>
      <c r="C296">
        <v>2020</v>
      </c>
      <c r="D296" t="s">
        <v>17</v>
      </c>
      <c r="E296" t="s">
        <v>16</v>
      </c>
      <c r="F296">
        <v>0</v>
      </c>
      <c r="G296">
        <v>3</v>
      </c>
      <c r="H296">
        <v>77.963089542036897</v>
      </c>
      <c r="I296" t="b">
        <v>0</v>
      </c>
      <c r="J296">
        <v>0</v>
      </c>
      <c r="K296" t="s">
        <v>26</v>
      </c>
      <c r="L296">
        <v>0</v>
      </c>
      <c r="M296">
        <v>0</v>
      </c>
      <c r="N296">
        <v>1</v>
      </c>
    </row>
    <row r="297" spans="1:14" x14ac:dyDescent="0.2">
      <c r="A297" t="s">
        <v>3580</v>
      </c>
      <c r="B297">
        <v>702324</v>
      </c>
      <c r="C297">
        <v>2020</v>
      </c>
      <c r="D297" t="s">
        <v>20</v>
      </c>
      <c r="E297" t="s">
        <v>13</v>
      </c>
      <c r="F297">
        <v>0</v>
      </c>
      <c r="G297">
        <v>6</v>
      </c>
      <c r="H297">
        <v>83.4887218045113</v>
      </c>
      <c r="I297" t="b">
        <v>0</v>
      </c>
      <c r="J297">
        <v>0</v>
      </c>
      <c r="K297" t="s">
        <v>26</v>
      </c>
      <c r="L297">
        <v>0</v>
      </c>
      <c r="M297">
        <v>0</v>
      </c>
      <c r="N297">
        <v>0</v>
      </c>
    </row>
    <row r="298" spans="1:14" x14ac:dyDescent="0.2">
      <c r="A298" t="s">
        <v>3581</v>
      </c>
      <c r="B298">
        <v>702338</v>
      </c>
      <c r="C298">
        <v>2020</v>
      </c>
      <c r="D298" t="s">
        <v>19</v>
      </c>
      <c r="E298" t="s">
        <v>16</v>
      </c>
      <c r="F298">
        <v>0</v>
      </c>
      <c r="G298">
        <v>0</v>
      </c>
      <c r="H298">
        <v>73.501025290499001</v>
      </c>
      <c r="I298" t="b">
        <v>0</v>
      </c>
      <c r="J298">
        <v>0</v>
      </c>
      <c r="K298" t="s">
        <v>26</v>
      </c>
      <c r="L298">
        <v>0</v>
      </c>
      <c r="M298">
        <v>0</v>
      </c>
      <c r="N298">
        <v>0</v>
      </c>
    </row>
    <row r="299" spans="1:14" x14ac:dyDescent="0.2">
      <c r="A299" t="s">
        <v>3582</v>
      </c>
      <c r="B299">
        <v>702344</v>
      </c>
      <c r="C299">
        <v>2020</v>
      </c>
      <c r="D299" t="s">
        <v>12</v>
      </c>
      <c r="E299" t="s">
        <v>13</v>
      </c>
      <c r="F299">
        <v>0</v>
      </c>
      <c r="G299">
        <v>0</v>
      </c>
      <c r="H299">
        <v>68.202323991797698</v>
      </c>
      <c r="I299" t="b">
        <v>0</v>
      </c>
      <c r="J299">
        <v>0</v>
      </c>
      <c r="K299" t="s">
        <v>26</v>
      </c>
      <c r="L299">
        <v>0</v>
      </c>
      <c r="M299">
        <v>0</v>
      </c>
      <c r="N299">
        <v>0</v>
      </c>
    </row>
    <row r="300" spans="1:14" x14ac:dyDescent="0.2">
      <c r="A300" t="s">
        <v>3583</v>
      </c>
      <c r="B300">
        <v>702354</v>
      </c>
      <c r="C300">
        <v>2020</v>
      </c>
      <c r="D300" t="s">
        <v>20</v>
      </c>
      <c r="E300" t="s">
        <v>13</v>
      </c>
      <c r="F300">
        <v>0</v>
      </c>
      <c r="G300">
        <v>0</v>
      </c>
      <c r="H300">
        <v>37.233082706766901</v>
      </c>
      <c r="I300" t="b">
        <v>1</v>
      </c>
      <c r="J300">
        <v>0</v>
      </c>
      <c r="K300" t="s">
        <v>26</v>
      </c>
      <c r="L300">
        <v>0</v>
      </c>
      <c r="M300">
        <v>0</v>
      </c>
      <c r="N300">
        <v>1</v>
      </c>
    </row>
    <row r="301" spans="1:14" x14ac:dyDescent="0.2">
      <c r="A301" t="s">
        <v>3584</v>
      </c>
      <c r="B301">
        <v>702359</v>
      </c>
      <c r="C301">
        <v>2020</v>
      </c>
      <c r="D301" t="s">
        <v>21</v>
      </c>
      <c r="E301" t="s">
        <v>13</v>
      </c>
      <c r="F301">
        <v>0</v>
      </c>
      <c r="G301">
        <v>1</v>
      </c>
      <c r="H301">
        <v>81.071770334928203</v>
      </c>
      <c r="I301" t="b">
        <v>0</v>
      </c>
      <c r="J301">
        <v>0</v>
      </c>
      <c r="K301" t="s">
        <v>26</v>
      </c>
      <c r="L301">
        <v>0</v>
      </c>
      <c r="M301">
        <v>0</v>
      </c>
      <c r="N301">
        <v>0</v>
      </c>
    </row>
    <row r="302" spans="1:14" x14ac:dyDescent="0.2">
      <c r="A302" t="s">
        <v>3585</v>
      </c>
      <c r="B302">
        <v>702412</v>
      </c>
      <c r="C302">
        <v>2020</v>
      </c>
      <c r="D302" t="s">
        <v>12</v>
      </c>
      <c r="E302" t="s">
        <v>13</v>
      </c>
      <c r="F302">
        <v>0</v>
      </c>
      <c r="G302">
        <v>6</v>
      </c>
      <c r="H302">
        <v>82.165413533834595</v>
      </c>
      <c r="I302" t="b">
        <v>0</v>
      </c>
      <c r="J302">
        <v>0</v>
      </c>
      <c r="K302" t="s">
        <v>26</v>
      </c>
      <c r="L302">
        <v>0</v>
      </c>
      <c r="M302">
        <v>0</v>
      </c>
      <c r="N302">
        <v>0</v>
      </c>
    </row>
    <row r="303" spans="1:14" x14ac:dyDescent="0.2">
      <c r="A303" t="s">
        <v>3586</v>
      </c>
      <c r="B303">
        <v>702423</v>
      </c>
      <c r="C303">
        <v>2020</v>
      </c>
      <c r="D303" t="s">
        <v>21</v>
      </c>
      <c r="E303" t="s">
        <v>13</v>
      </c>
      <c r="F303">
        <v>0</v>
      </c>
      <c r="G303">
        <v>0</v>
      </c>
      <c r="H303">
        <v>91.762132604237905</v>
      </c>
      <c r="I303" t="b">
        <v>0</v>
      </c>
      <c r="J303">
        <v>0</v>
      </c>
      <c r="K303" t="s">
        <v>26</v>
      </c>
      <c r="L303">
        <v>0</v>
      </c>
      <c r="M303">
        <v>0</v>
      </c>
      <c r="N303">
        <v>0</v>
      </c>
    </row>
    <row r="304" spans="1:14" x14ac:dyDescent="0.2">
      <c r="A304" t="s">
        <v>3587</v>
      </c>
      <c r="B304">
        <v>702446</v>
      </c>
      <c r="C304">
        <v>2020</v>
      </c>
      <c r="D304" t="s">
        <v>21</v>
      </c>
      <c r="E304" t="s">
        <v>16</v>
      </c>
      <c r="F304">
        <v>0</v>
      </c>
      <c r="G304">
        <v>4</v>
      </c>
      <c r="H304">
        <v>84.822966507177</v>
      </c>
      <c r="I304" t="b">
        <v>1</v>
      </c>
      <c r="J304">
        <v>1</v>
      </c>
      <c r="K304" t="s">
        <v>14</v>
      </c>
      <c r="L304">
        <v>0</v>
      </c>
      <c r="M304">
        <v>0</v>
      </c>
      <c r="N304">
        <v>0</v>
      </c>
    </row>
    <row r="305" spans="1:14" x14ac:dyDescent="0.2">
      <c r="A305" t="s">
        <v>3588</v>
      </c>
      <c r="B305">
        <v>702451</v>
      </c>
      <c r="C305">
        <v>2020</v>
      </c>
      <c r="D305" t="s">
        <v>12</v>
      </c>
      <c r="E305" t="s">
        <v>13</v>
      </c>
      <c r="F305">
        <v>0</v>
      </c>
      <c r="G305">
        <v>2</v>
      </c>
      <c r="H305">
        <v>81.413533834586502</v>
      </c>
      <c r="I305" t="b">
        <v>0</v>
      </c>
      <c r="J305">
        <v>0</v>
      </c>
      <c r="K305" t="s">
        <v>26</v>
      </c>
      <c r="L305">
        <v>0</v>
      </c>
      <c r="M305">
        <v>0</v>
      </c>
      <c r="N305">
        <v>0</v>
      </c>
    </row>
    <row r="306" spans="1:14" x14ac:dyDescent="0.2">
      <c r="A306" t="s">
        <v>3589</v>
      </c>
      <c r="B306">
        <v>702559</v>
      </c>
      <c r="C306">
        <v>2020</v>
      </c>
      <c r="D306" t="s">
        <v>12</v>
      </c>
      <c r="E306" t="s">
        <v>13</v>
      </c>
      <c r="F306">
        <v>0</v>
      </c>
      <c r="G306">
        <v>1</v>
      </c>
      <c r="H306">
        <v>80.921394395078593</v>
      </c>
      <c r="I306" t="b">
        <v>0</v>
      </c>
      <c r="J306">
        <v>0</v>
      </c>
      <c r="K306" t="s">
        <v>26</v>
      </c>
      <c r="L306">
        <v>0</v>
      </c>
      <c r="M306">
        <v>0</v>
      </c>
      <c r="N306">
        <v>1</v>
      </c>
    </row>
    <row r="307" spans="1:14" x14ac:dyDescent="0.2">
      <c r="A307" t="s">
        <v>3590</v>
      </c>
      <c r="B307">
        <v>702575</v>
      </c>
      <c r="C307">
        <v>2020</v>
      </c>
      <c r="D307" t="s">
        <v>17</v>
      </c>
      <c r="E307" t="s">
        <v>13</v>
      </c>
      <c r="F307">
        <v>0</v>
      </c>
      <c r="G307">
        <v>1</v>
      </c>
      <c r="H307">
        <v>94.058783321941206</v>
      </c>
      <c r="I307" t="b">
        <v>0</v>
      </c>
      <c r="J307">
        <v>0</v>
      </c>
      <c r="K307" t="s">
        <v>26</v>
      </c>
      <c r="L307">
        <v>0</v>
      </c>
      <c r="M307">
        <v>0</v>
      </c>
      <c r="N307">
        <v>0</v>
      </c>
    </row>
    <row r="308" spans="1:14" x14ac:dyDescent="0.2">
      <c r="A308" t="s">
        <v>3591</v>
      </c>
      <c r="B308">
        <v>702594</v>
      </c>
      <c r="C308">
        <v>2020</v>
      </c>
      <c r="D308" t="s">
        <v>12</v>
      </c>
      <c r="E308" t="s">
        <v>13</v>
      </c>
      <c r="F308">
        <v>0</v>
      </c>
      <c r="G308">
        <v>0</v>
      </c>
      <c r="H308">
        <v>70.277511961722496</v>
      </c>
      <c r="I308" t="b">
        <v>0</v>
      </c>
      <c r="J308">
        <v>0</v>
      </c>
      <c r="K308" t="s">
        <v>26</v>
      </c>
      <c r="L308">
        <v>1</v>
      </c>
      <c r="M308">
        <v>0</v>
      </c>
      <c r="N308">
        <v>1</v>
      </c>
    </row>
    <row r="309" spans="1:14" x14ac:dyDescent="0.2">
      <c r="A309" t="s">
        <v>3592</v>
      </c>
      <c r="B309">
        <v>702628</v>
      </c>
      <c r="C309">
        <v>2020</v>
      </c>
      <c r="D309" t="s">
        <v>24</v>
      </c>
      <c r="E309" t="s">
        <v>16</v>
      </c>
      <c r="F309">
        <v>0</v>
      </c>
      <c r="G309">
        <v>1</v>
      </c>
      <c r="H309">
        <v>52.235133287764903</v>
      </c>
      <c r="I309" t="b">
        <v>0</v>
      </c>
      <c r="J309">
        <v>0</v>
      </c>
      <c r="K309" t="s">
        <v>26</v>
      </c>
      <c r="L309">
        <v>0</v>
      </c>
      <c r="M309">
        <v>0</v>
      </c>
      <c r="N309">
        <v>0</v>
      </c>
    </row>
    <row r="310" spans="1:14" x14ac:dyDescent="0.2">
      <c r="A310" t="s">
        <v>3593</v>
      </c>
      <c r="B310">
        <v>702635</v>
      </c>
      <c r="C310">
        <v>2020</v>
      </c>
      <c r="D310" t="s">
        <v>24</v>
      </c>
      <c r="E310" t="s">
        <v>16</v>
      </c>
      <c r="F310">
        <v>0</v>
      </c>
      <c r="G310">
        <v>2</v>
      </c>
      <c r="H310">
        <v>61.752563226247403</v>
      </c>
      <c r="I310" t="b">
        <v>0</v>
      </c>
      <c r="J310">
        <v>0</v>
      </c>
      <c r="K310" t="s">
        <v>26</v>
      </c>
      <c r="L310">
        <v>0</v>
      </c>
      <c r="M310">
        <v>0</v>
      </c>
      <c r="N310">
        <v>1</v>
      </c>
    </row>
    <row r="311" spans="1:14" x14ac:dyDescent="0.2">
      <c r="A311" t="s">
        <v>3594</v>
      </c>
      <c r="B311">
        <v>702670</v>
      </c>
      <c r="C311">
        <v>2020</v>
      </c>
      <c r="D311" t="s">
        <v>12</v>
      </c>
      <c r="E311" t="s">
        <v>13</v>
      </c>
      <c r="F311">
        <v>1</v>
      </c>
      <c r="G311">
        <v>2</v>
      </c>
      <c r="H311">
        <v>78.170881749829107</v>
      </c>
      <c r="I311" t="b">
        <v>0</v>
      </c>
      <c r="J311">
        <v>0</v>
      </c>
      <c r="K311" t="s">
        <v>26</v>
      </c>
      <c r="L311">
        <v>0</v>
      </c>
      <c r="M311">
        <v>0</v>
      </c>
      <c r="N311">
        <v>0</v>
      </c>
    </row>
    <row r="312" spans="1:14" x14ac:dyDescent="0.2">
      <c r="A312" t="s">
        <v>3595</v>
      </c>
      <c r="B312">
        <v>702744</v>
      </c>
      <c r="C312">
        <v>2020</v>
      </c>
      <c r="D312" t="s">
        <v>21</v>
      </c>
      <c r="E312" t="s">
        <v>16</v>
      </c>
      <c r="F312">
        <v>0</v>
      </c>
      <c r="G312">
        <v>5</v>
      </c>
      <c r="H312">
        <v>72.863978127135994</v>
      </c>
      <c r="I312" t="b">
        <v>1</v>
      </c>
      <c r="J312">
        <v>1</v>
      </c>
      <c r="K312" t="s">
        <v>26</v>
      </c>
      <c r="L312">
        <v>1</v>
      </c>
      <c r="M312">
        <v>0</v>
      </c>
      <c r="N312">
        <v>0</v>
      </c>
    </row>
    <row r="313" spans="1:14" x14ac:dyDescent="0.2">
      <c r="A313" t="s">
        <v>3596</v>
      </c>
      <c r="B313">
        <v>702768</v>
      </c>
      <c r="C313">
        <v>2020</v>
      </c>
      <c r="D313" t="s">
        <v>12</v>
      </c>
      <c r="E313" t="s">
        <v>13</v>
      </c>
      <c r="F313">
        <v>0</v>
      </c>
      <c r="G313">
        <v>1</v>
      </c>
      <c r="H313">
        <v>91.8578263841422</v>
      </c>
      <c r="I313" t="b">
        <v>0</v>
      </c>
      <c r="J313">
        <v>0</v>
      </c>
      <c r="K313" t="s">
        <v>26</v>
      </c>
      <c r="L313">
        <v>0</v>
      </c>
      <c r="M313">
        <v>0</v>
      </c>
      <c r="N313">
        <v>0</v>
      </c>
    </row>
    <row r="314" spans="1:14" x14ac:dyDescent="0.2">
      <c r="A314" t="s">
        <v>3597</v>
      </c>
      <c r="B314">
        <v>702821</v>
      </c>
      <c r="C314">
        <v>2020</v>
      </c>
      <c r="D314" t="s">
        <v>12</v>
      </c>
      <c r="E314" t="s">
        <v>13</v>
      </c>
      <c r="F314">
        <v>0</v>
      </c>
      <c r="G314">
        <v>2</v>
      </c>
      <c r="H314">
        <v>79.289131920710901</v>
      </c>
      <c r="I314" t="b">
        <v>0</v>
      </c>
      <c r="J314">
        <v>0</v>
      </c>
      <c r="K314" t="s">
        <v>26</v>
      </c>
      <c r="L314">
        <v>1</v>
      </c>
      <c r="M314">
        <v>0</v>
      </c>
      <c r="N314">
        <v>0</v>
      </c>
    </row>
    <row r="315" spans="1:14" x14ac:dyDescent="0.2">
      <c r="A315" t="s">
        <v>3598</v>
      </c>
      <c r="B315">
        <v>702827</v>
      </c>
      <c r="C315">
        <v>2020</v>
      </c>
      <c r="D315" t="s">
        <v>12</v>
      </c>
      <c r="E315" t="s">
        <v>13</v>
      </c>
      <c r="F315">
        <v>0</v>
      </c>
      <c r="G315">
        <v>3</v>
      </c>
      <c r="H315">
        <v>76.910457963089499</v>
      </c>
      <c r="I315" t="b">
        <v>0</v>
      </c>
      <c r="J315">
        <v>0</v>
      </c>
      <c r="K315" t="s">
        <v>26</v>
      </c>
      <c r="L315">
        <v>1</v>
      </c>
      <c r="M315">
        <v>0</v>
      </c>
      <c r="N315">
        <v>0</v>
      </c>
    </row>
    <row r="316" spans="1:14" x14ac:dyDescent="0.2">
      <c r="A316" t="s">
        <v>3599</v>
      </c>
      <c r="B316">
        <v>702833</v>
      </c>
      <c r="C316">
        <v>2020</v>
      </c>
      <c r="D316" t="s">
        <v>25</v>
      </c>
      <c r="E316" t="s">
        <v>13</v>
      </c>
      <c r="F316">
        <v>0</v>
      </c>
      <c r="G316">
        <v>6</v>
      </c>
      <c r="H316">
        <v>74.884483937115505</v>
      </c>
      <c r="I316" t="b">
        <v>0</v>
      </c>
      <c r="J316">
        <v>0</v>
      </c>
      <c r="K316" t="s">
        <v>26</v>
      </c>
      <c r="L316">
        <v>0</v>
      </c>
      <c r="M316">
        <v>1</v>
      </c>
      <c r="N316">
        <v>0</v>
      </c>
    </row>
    <row r="317" spans="1:14" x14ac:dyDescent="0.2">
      <c r="A317" t="s">
        <v>3600</v>
      </c>
      <c r="B317">
        <v>702863</v>
      </c>
      <c r="C317">
        <v>2020</v>
      </c>
      <c r="D317" t="s">
        <v>12</v>
      </c>
      <c r="E317" t="s">
        <v>13</v>
      </c>
      <c r="F317">
        <v>0</v>
      </c>
      <c r="G317">
        <v>0</v>
      </c>
      <c r="H317">
        <v>77.356117566643903</v>
      </c>
      <c r="I317" t="b">
        <v>0</v>
      </c>
      <c r="J317">
        <v>0</v>
      </c>
      <c r="K317" t="s">
        <v>26</v>
      </c>
      <c r="L317">
        <v>0</v>
      </c>
      <c r="M317">
        <v>0</v>
      </c>
      <c r="N317">
        <v>1</v>
      </c>
    </row>
    <row r="318" spans="1:14" x14ac:dyDescent="0.2">
      <c r="A318" t="s">
        <v>3601</v>
      </c>
      <c r="B318">
        <v>702875</v>
      </c>
      <c r="C318">
        <v>2020</v>
      </c>
      <c r="D318" t="s">
        <v>20</v>
      </c>
      <c r="E318" t="s">
        <v>16</v>
      </c>
      <c r="F318">
        <v>0</v>
      </c>
      <c r="G318">
        <v>2</v>
      </c>
      <c r="H318">
        <v>84.530416951469604</v>
      </c>
      <c r="I318" t="b">
        <v>0</v>
      </c>
      <c r="J318">
        <v>0</v>
      </c>
      <c r="K318" t="s">
        <v>26</v>
      </c>
      <c r="L318">
        <v>0</v>
      </c>
      <c r="M318">
        <v>0</v>
      </c>
      <c r="N318">
        <v>0</v>
      </c>
    </row>
    <row r="319" spans="1:14" x14ac:dyDescent="0.2">
      <c r="A319" t="s">
        <v>3602</v>
      </c>
      <c r="B319">
        <v>702901</v>
      </c>
      <c r="C319">
        <v>2020</v>
      </c>
      <c r="D319" t="s">
        <v>12</v>
      </c>
      <c r="E319" t="s">
        <v>13</v>
      </c>
      <c r="F319">
        <v>0</v>
      </c>
      <c r="G319">
        <v>0</v>
      </c>
      <c r="H319">
        <v>80.248803827751203</v>
      </c>
      <c r="I319" t="b">
        <v>1</v>
      </c>
      <c r="J319">
        <v>0</v>
      </c>
      <c r="K319" t="s">
        <v>14</v>
      </c>
      <c r="L319">
        <v>1</v>
      </c>
      <c r="M319">
        <v>1</v>
      </c>
      <c r="N319">
        <v>0</v>
      </c>
    </row>
    <row r="320" spans="1:14" x14ac:dyDescent="0.2">
      <c r="A320" t="s">
        <v>3603</v>
      </c>
      <c r="B320">
        <v>702907</v>
      </c>
      <c r="C320">
        <v>2020</v>
      </c>
      <c r="D320" t="s">
        <v>20</v>
      </c>
      <c r="E320" t="s">
        <v>13</v>
      </c>
      <c r="F320">
        <v>0</v>
      </c>
      <c r="G320">
        <v>1</v>
      </c>
      <c r="H320">
        <v>84.858509911141496</v>
      </c>
      <c r="I320" t="b">
        <v>0</v>
      </c>
      <c r="J320">
        <v>0</v>
      </c>
      <c r="K320" t="s">
        <v>26</v>
      </c>
      <c r="L320">
        <v>0</v>
      </c>
      <c r="M320">
        <v>0</v>
      </c>
      <c r="N320">
        <v>1</v>
      </c>
    </row>
    <row r="321" spans="1:14" x14ac:dyDescent="0.2">
      <c r="A321" t="s">
        <v>3604</v>
      </c>
      <c r="B321">
        <v>702988</v>
      </c>
      <c r="C321">
        <v>2020</v>
      </c>
      <c r="D321" t="s">
        <v>21</v>
      </c>
      <c r="E321" t="s">
        <v>13</v>
      </c>
      <c r="F321">
        <v>0</v>
      </c>
      <c r="G321">
        <v>0</v>
      </c>
      <c r="H321">
        <v>103.07313738892699</v>
      </c>
      <c r="I321" t="b">
        <v>0</v>
      </c>
      <c r="J321">
        <v>0</v>
      </c>
      <c r="K321" t="s">
        <v>26</v>
      </c>
      <c r="L321">
        <v>1</v>
      </c>
      <c r="M321">
        <v>0</v>
      </c>
      <c r="N321">
        <v>1</v>
      </c>
    </row>
    <row r="322" spans="1:14" x14ac:dyDescent="0.2">
      <c r="A322" t="s">
        <v>3605</v>
      </c>
      <c r="B322">
        <v>703042</v>
      </c>
      <c r="C322">
        <v>2020</v>
      </c>
      <c r="D322" t="s">
        <v>21</v>
      </c>
      <c r="E322" t="s">
        <v>13</v>
      </c>
      <c r="F322">
        <v>0</v>
      </c>
      <c r="G322">
        <v>8</v>
      </c>
      <c r="H322">
        <v>69.933014354066998</v>
      </c>
      <c r="I322" t="b">
        <v>0</v>
      </c>
      <c r="J322">
        <v>1</v>
      </c>
      <c r="K322" t="s">
        <v>26</v>
      </c>
      <c r="L322">
        <v>0</v>
      </c>
      <c r="M322">
        <v>0</v>
      </c>
      <c r="N322">
        <v>0</v>
      </c>
    </row>
    <row r="323" spans="1:14" x14ac:dyDescent="0.2">
      <c r="A323" t="s">
        <v>3606</v>
      </c>
      <c r="B323">
        <v>703047</v>
      </c>
      <c r="C323">
        <v>2020</v>
      </c>
      <c r="D323" t="s">
        <v>12</v>
      </c>
      <c r="E323" t="s">
        <v>13</v>
      </c>
      <c r="F323">
        <v>0</v>
      </c>
      <c r="G323">
        <v>2</v>
      </c>
      <c r="H323">
        <v>77.935748462064296</v>
      </c>
      <c r="I323" t="b">
        <v>0</v>
      </c>
      <c r="J323">
        <v>0</v>
      </c>
      <c r="K323" t="s">
        <v>26</v>
      </c>
      <c r="L323">
        <v>0</v>
      </c>
      <c r="M323">
        <v>0</v>
      </c>
      <c r="N323">
        <v>0</v>
      </c>
    </row>
    <row r="324" spans="1:14" x14ac:dyDescent="0.2">
      <c r="A324" t="s">
        <v>3607</v>
      </c>
      <c r="B324">
        <v>703050</v>
      </c>
      <c r="C324">
        <v>2020</v>
      </c>
      <c r="D324" t="s">
        <v>12</v>
      </c>
      <c r="E324" t="s">
        <v>13</v>
      </c>
      <c r="F324">
        <v>0</v>
      </c>
      <c r="G324">
        <v>5</v>
      </c>
      <c r="H324">
        <v>90.829801777170204</v>
      </c>
      <c r="I324" t="b">
        <v>0</v>
      </c>
      <c r="J324">
        <v>0</v>
      </c>
      <c r="K324" t="s">
        <v>26</v>
      </c>
      <c r="L324">
        <v>1</v>
      </c>
      <c r="M324">
        <v>1</v>
      </c>
      <c r="N324">
        <v>0</v>
      </c>
    </row>
    <row r="325" spans="1:14" x14ac:dyDescent="0.2">
      <c r="A325" t="s">
        <v>3608</v>
      </c>
      <c r="B325">
        <v>703071</v>
      </c>
      <c r="C325">
        <v>2020</v>
      </c>
      <c r="D325" t="s">
        <v>12</v>
      </c>
      <c r="E325" t="s">
        <v>16</v>
      </c>
      <c r="F325">
        <v>0</v>
      </c>
      <c r="G325">
        <v>0</v>
      </c>
      <c r="H325">
        <v>81.410799726589204</v>
      </c>
      <c r="I325" t="b">
        <v>0</v>
      </c>
      <c r="J325">
        <v>0</v>
      </c>
      <c r="K325" t="s">
        <v>26</v>
      </c>
      <c r="L325">
        <v>0</v>
      </c>
      <c r="M325">
        <v>0</v>
      </c>
      <c r="N325">
        <v>1</v>
      </c>
    </row>
    <row r="326" spans="1:14" x14ac:dyDescent="0.2">
      <c r="A326" t="s">
        <v>3609</v>
      </c>
      <c r="B326">
        <v>703072</v>
      </c>
      <c r="C326">
        <v>2020</v>
      </c>
      <c r="D326" t="s">
        <v>15</v>
      </c>
      <c r="E326" t="s">
        <v>13</v>
      </c>
      <c r="F326">
        <v>0</v>
      </c>
      <c r="G326">
        <v>4</v>
      </c>
      <c r="H326">
        <v>76.2269309637731</v>
      </c>
      <c r="I326" t="b">
        <v>0</v>
      </c>
      <c r="J326" t="s">
        <v>18</v>
      </c>
      <c r="K326" t="s">
        <v>26</v>
      </c>
      <c r="L326">
        <v>1</v>
      </c>
      <c r="M326">
        <v>0</v>
      </c>
      <c r="N326">
        <v>0</v>
      </c>
    </row>
    <row r="327" spans="1:14" x14ac:dyDescent="0.2">
      <c r="A327" t="s">
        <v>3610</v>
      </c>
      <c r="B327">
        <v>703152</v>
      </c>
      <c r="C327">
        <v>2020</v>
      </c>
      <c r="D327" t="s">
        <v>20</v>
      </c>
      <c r="E327" t="s">
        <v>13</v>
      </c>
      <c r="F327">
        <v>1</v>
      </c>
      <c r="G327">
        <v>2</v>
      </c>
      <c r="H327">
        <v>59.029391660970603</v>
      </c>
      <c r="I327" t="b">
        <v>0</v>
      </c>
      <c r="J327">
        <v>1</v>
      </c>
      <c r="K327" t="s">
        <v>26</v>
      </c>
      <c r="L327">
        <v>0</v>
      </c>
      <c r="M327">
        <v>0</v>
      </c>
      <c r="N327">
        <v>0</v>
      </c>
    </row>
    <row r="328" spans="1:14" x14ac:dyDescent="0.2">
      <c r="A328" t="s">
        <v>3611</v>
      </c>
      <c r="B328">
        <v>703156</v>
      </c>
      <c r="C328">
        <v>2020</v>
      </c>
      <c r="D328" t="s">
        <v>12</v>
      </c>
      <c r="E328" t="s">
        <v>13</v>
      </c>
      <c r="F328">
        <v>0</v>
      </c>
      <c r="G328">
        <v>0</v>
      </c>
      <c r="H328">
        <v>85.205741626794307</v>
      </c>
      <c r="I328" t="b">
        <v>0</v>
      </c>
      <c r="J328">
        <v>0</v>
      </c>
      <c r="K328" t="s">
        <v>26</v>
      </c>
      <c r="L328">
        <v>0</v>
      </c>
      <c r="M328">
        <v>0</v>
      </c>
      <c r="N328">
        <v>0</v>
      </c>
    </row>
    <row r="329" spans="1:14" x14ac:dyDescent="0.2">
      <c r="A329" t="s">
        <v>3612</v>
      </c>
      <c r="B329">
        <v>703190</v>
      </c>
      <c r="C329">
        <v>2020</v>
      </c>
      <c r="D329" t="s">
        <v>15</v>
      </c>
      <c r="E329" t="s">
        <v>13</v>
      </c>
      <c r="F329">
        <v>0</v>
      </c>
      <c r="G329">
        <v>3</v>
      </c>
      <c r="H329">
        <v>82.198222829801793</v>
      </c>
      <c r="I329" t="b">
        <v>0</v>
      </c>
      <c r="J329">
        <v>0</v>
      </c>
      <c r="K329" t="s">
        <v>26</v>
      </c>
      <c r="L329">
        <v>0</v>
      </c>
      <c r="M329">
        <v>0</v>
      </c>
      <c r="N329">
        <v>0</v>
      </c>
    </row>
    <row r="330" spans="1:14" x14ac:dyDescent="0.2">
      <c r="A330" t="s">
        <v>3613</v>
      </c>
      <c r="B330">
        <v>703212</v>
      </c>
      <c r="C330">
        <v>2020</v>
      </c>
      <c r="D330" t="s">
        <v>21</v>
      </c>
      <c r="E330" t="s">
        <v>16</v>
      </c>
      <c r="F330">
        <v>0</v>
      </c>
      <c r="G330">
        <v>3</v>
      </c>
      <c r="H330">
        <v>84.563226247436802</v>
      </c>
      <c r="I330" t="b">
        <v>0</v>
      </c>
      <c r="J330">
        <v>0</v>
      </c>
      <c r="K330" t="s">
        <v>26</v>
      </c>
      <c r="L330">
        <v>1</v>
      </c>
      <c r="M330">
        <v>0</v>
      </c>
      <c r="N330">
        <v>1</v>
      </c>
    </row>
    <row r="331" spans="1:14" x14ac:dyDescent="0.2">
      <c r="A331" t="s">
        <v>3614</v>
      </c>
      <c r="B331">
        <v>703249</v>
      </c>
      <c r="C331">
        <v>2020</v>
      </c>
      <c r="D331" t="s">
        <v>17</v>
      </c>
      <c r="E331" t="s">
        <v>13</v>
      </c>
      <c r="F331">
        <v>0</v>
      </c>
      <c r="G331">
        <v>0</v>
      </c>
      <c r="H331">
        <v>77.758031442242</v>
      </c>
      <c r="I331" t="b">
        <v>0</v>
      </c>
      <c r="J331">
        <v>0</v>
      </c>
      <c r="K331" t="s">
        <v>26</v>
      </c>
      <c r="L331">
        <v>1</v>
      </c>
      <c r="M331">
        <v>0</v>
      </c>
      <c r="N331">
        <v>0</v>
      </c>
    </row>
    <row r="332" spans="1:14" x14ac:dyDescent="0.2">
      <c r="A332" t="s">
        <v>3615</v>
      </c>
      <c r="B332">
        <v>703282</v>
      </c>
      <c r="C332">
        <v>2020</v>
      </c>
      <c r="D332" t="s">
        <v>12</v>
      </c>
      <c r="E332" t="s">
        <v>13</v>
      </c>
      <c r="F332">
        <v>1</v>
      </c>
      <c r="G332">
        <v>0</v>
      </c>
      <c r="H332">
        <v>71.595352016404604</v>
      </c>
      <c r="I332" t="b">
        <v>0</v>
      </c>
      <c r="J332">
        <v>0</v>
      </c>
      <c r="K332" t="s">
        <v>14</v>
      </c>
      <c r="L332">
        <v>0</v>
      </c>
      <c r="M332">
        <v>0</v>
      </c>
      <c r="N332">
        <v>0</v>
      </c>
    </row>
    <row r="333" spans="1:14" x14ac:dyDescent="0.2">
      <c r="A333" t="s">
        <v>3616</v>
      </c>
      <c r="B333">
        <v>703294</v>
      </c>
      <c r="C333">
        <v>2020</v>
      </c>
      <c r="D333" t="s">
        <v>12</v>
      </c>
      <c r="E333" t="s">
        <v>16</v>
      </c>
      <c r="F333">
        <v>0</v>
      </c>
      <c r="G333">
        <v>4</v>
      </c>
      <c r="H333">
        <v>71.887901572112099</v>
      </c>
      <c r="I333" t="b">
        <v>0</v>
      </c>
      <c r="J333">
        <v>0</v>
      </c>
      <c r="K333" t="s">
        <v>26</v>
      </c>
      <c r="L333">
        <v>0</v>
      </c>
      <c r="M333">
        <v>0</v>
      </c>
      <c r="N333">
        <v>0</v>
      </c>
    </row>
    <row r="334" spans="1:14" x14ac:dyDescent="0.2">
      <c r="A334" t="s">
        <v>3617</v>
      </c>
      <c r="B334">
        <v>703306</v>
      </c>
      <c r="C334">
        <v>2020</v>
      </c>
      <c r="D334" t="s">
        <v>12</v>
      </c>
      <c r="E334" t="s">
        <v>13</v>
      </c>
      <c r="F334">
        <v>0</v>
      </c>
      <c r="G334">
        <v>1</v>
      </c>
      <c r="H334">
        <v>78.627477785372506</v>
      </c>
      <c r="I334" t="b">
        <v>0</v>
      </c>
      <c r="J334">
        <v>0</v>
      </c>
      <c r="K334" t="s">
        <v>26</v>
      </c>
      <c r="L334">
        <v>0</v>
      </c>
      <c r="M334">
        <v>0</v>
      </c>
      <c r="N334">
        <v>0</v>
      </c>
    </row>
    <row r="335" spans="1:14" x14ac:dyDescent="0.2">
      <c r="A335" t="s">
        <v>3618</v>
      </c>
      <c r="B335">
        <v>703315</v>
      </c>
      <c r="C335">
        <v>2020</v>
      </c>
      <c r="D335" t="s">
        <v>12</v>
      </c>
      <c r="E335" t="s">
        <v>16</v>
      </c>
      <c r="F335">
        <v>0</v>
      </c>
      <c r="G335">
        <v>2</v>
      </c>
      <c r="H335">
        <v>62.244702665755298</v>
      </c>
      <c r="I335" t="b">
        <v>0</v>
      </c>
      <c r="J335">
        <v>0</v>
      </c>
      <c r="K335" t="s">
        <v>14</v>
      </c>
      <c r="L335">
        <v>0</v>
      </c>
      <c r="M335">
        <v>0</v>
      </c>
      <c r="N335">
        <v>1</v>
      </c>
    </row>
    <row r="336" spans="1:14" x14ac:dyDescent="0.2">
      <c r="A336" t="s">
        <v>3619</v>
      </c>
      <c r="B336">
        <v>703359</v>
      </c>
      <c r="C336">
        <v>2020</v>
      </c>
      <c r="D336" t="s">
        <v>17</v>
      </c>
      <c r="E336" t="s">
        <v>16</v>
      </c>
      <c r="F336">
        <v>0</v>
      </c>
      <c r="G336">
        <v>4</v>
      </c>
      <c r="H336">
        <v>65.856459330143494</v>
      </c>
      <c r="I336" t="b">
        <v>0</v>
      </c>
      <c r="J336">
        <v>0</v>
      </c>
      <c r="K336" t="s">
        <v>26</v>
      </c>
      <c r="L336">
        <v>0</v>
      </c>
      <c r="M336">
        <v>0</v>
      </c>
      <c r="N336">
        <v>0</v>
      </c>
    </row>
    <row r="337" spans="1:14" x14ac:dyDescent="0.2">
      <c r="A337" t="s">
        <v>3620</v>
      </c>
      <c r="B337">
        <v>703369</v>
      </c>
      <c r="C337">
        <v>2020</v>
      </c>
      <c r="D337" t="s">
        <v>21</v>
      </c>
      <c r="E337" t="s">
        <v>13</v>
      </c>
      <c r="F337">
        <v>0</v>
      </c>
      <c r="G337">
        <v>3</v>
      </c>
      <c r="H337">
        <v>69.096377306903605</v>
      </c>
      <c r="I337" t="b">
        <v>0</v>
      </c>
      <c r="J337">
        <v>0</v>
      </c>
      <c r="K337" t="s">
        <v>26</v>
      </c>
      <c r="L337">
        <v>0</v>
      </c>
      <c r="M337">
        <v>0</v>
      </c>
      <c r="N337">
        <v>0</v>
      </c>
    </row>
    <row r="338" spans="1:14" x14ac:dyDescent="0.2">
      <c r="A338" t="s">
        <v>3621</v>
      </c>
      <c r="B338">
        <v>703418</v>
      </c>
      <c r="C338">
        <v>2020</v>
      </c>
      <c r="D338" t="s">
        <v>12</v>
      </c>
      <c r="E338" t="s">
        <v>13</v>
      </c>
      <c r="F338">
        <v>0</v>
      </c>
      <c r="G338">
        <v>2</v>
      </c>
      <c r="H338">
        <v>58.805194805194802</v>
      </c>
      <c r="I338" t="b">
        <v>0</v>
      </c>
      <c r="J338">
        <v>0</v>
      </c>
      <c r="K338" t="s">
        <v>26</v>
      </c>
      <c r="L338">
        <v>1</v>
      </c>
      <c r="M338">
        <v>0</v>
      </c>
      <c r="N338">
        <v>0</v>
      </c>
    </row>
    <row r="339" spans="1:14" x14ac:dyDescent="0.2">
      <c r="A339" t="s">
        <v>3622</v>
      </c>
      <c r="B339">
        <v>703461</v>
      </c>
      <c r="C339">
        <v>2020</v>
      </c>
      <c r="D339" t="s">
        <v>12</v>
      </c>
      <c r="E339" t="s">
        <v>13</v>
      </c>
      <c r="F339">
        <v>0</v>
      </c>
      <c r="G339">
        <v>2</v>
      </c>
      <c r="H339">
        <v>90.220095693779896</v>
      </c>
      <c r="I339" t="b">
        <v>0</v>
      </c>
      <c r="J339">
        <v>0</v>
      </c>
      <c r="K339" t="s">
        <v>26</v>
      </c>
      <c r="L339">
        <v>0</v>
      </c>
      <c r="M339">
        <v>0</v>
      </c>
      <c r="N339">
        <v>0</v>
      </c>
    </row>
    <row r="340" spans="1:14" x14ac:dyDescent="0.2">
      <c r="A340" t="s">
        <v>3623</v>
      </c>
      <c r="B340">
        <v>703483</v>
      </c>
      <c r="C340">
        <v>2020</v>
      </c>
      <c r="D340" t="s">
        <v>12</v>
      </c>
      <c r="E340" t="s">
        <v>16</v>
      </c>
      <c r="F340">
        <v>0</v>
      </c>
      <c r="G340">
        <v>0</v>
      </c>
      <c r="H340">
        <v>62.818865345181102</v>
      </c>
      <c r="I340" t="b">
        <v>0</v>
      </c>
      <c r="J340">
        <v>0</v>
      </c>
      <c r="K340" t="s">
        <v>26</v>
      </c>
      <c r="L340">
        <v>0</v>
      </c>
      <c r="M340">
        <v>0</v>
      </c>
      <c r="N340">
        <v>1</v>
      </c>
    </row>
    <row r="341" spans="1:14" x14ac:dyDescent="0.2">
      <c r="A341" t="s">
        <v>3624</v>
      </c>
      <c r="B341">
        <v>703514</v>
      </c>
      <c r="C341">
        <v>2020</v>
      </c>
      <c r="D341" t="s">
        <v>12</v>
      </c>
      <c r="E341" t="s">
        <v>16</v>
      </c>
      <c r="F341">
        <v>0</v>
      </c>
      <c r="G341">
        <v>1</v>
      </c>
      <c r="H341">
        <v>67.138755980861205</v>
      </c>
      <c r="I341" t="b">
        <v>0</v>
      </c>
      <c r="J341">
        <v>0</v>
      </c>
      <c r="K341" t="s">
        <v>26</v>
      </c>
      <c r="L341">
        <v>1</v>
      </c>
      <c r="M341">
        <v>0</v>
      </c>
      <c r="N341">
        <v>0</v>
      </c>
    </row>
    <row r="342" spans="1:14" x14ac:dyDescent="0.2">
      <c r="A342" t="s">
        <v>3625</v>
      </c>
      <c r="B342">
        <v>703590</v>
      </c>
      <c r="C342">
        <v>2020</v>
      </c>
      <c r="D342" t="s">
        <v>23</v>
      </c>
      <c r="E342" t="s">
        <v>13</v>
      </c>
      <c r="F342">
        <v>0</v>
      </c>
      <c r="G342">
        <v>6</v>
      </c>
      <c r="H342">
        <v>81.118250170881794</v>
      </c>
      <c r="I342" t="b">
        <v>0</v>
      </c>
      <c r="J342">
        <v>0</v>
      </c>
      <c r="K342" t="s">
        <v>26</v>
      </c>
      <c r="L342">
        <v>0</v>
      </c>
      <c r="M342">
        <v>0</v>
      </c>
      <c r="N342">
        <v>0</v>
      </c>
    </row>
    <row r="343" spans="1:14" x14ac:dyDescent="0.2">
      <c r="A343" t="s">
        <v>3626</v>
      </c>
      <c r="B343">
        <v>703611</v>
      </c>
      <c r="C343">
        <v>2020</v>
      </c>
      <c r="D343" t="s">
        <v>21</v>
      </c>
      <c r="E343" t="s">
        <v>16</v>
      </c>
      <c r="F343">
        <v>0</v>
      </c>
      <c r="G343">
        <v>2</v>
      </c>
      <c r="H343">
        <v>63.267259056732698</v>
      </c>
      <c r="I343" t="b">
        <v>0</v>
      </c>
      <c r="J343">
        <v>1</v>
      </c>
      <c r="K343" t="s">
        <v>14</v>
      </c>
      <c r="L343">
        <v>1</v>
      </c>
      <c r="M343">
        <v>0</v>
      </c>
      <c r="N343">
        <v>0</v>
      </c>
    </row>
    <row r="344" spans="1:14" x14ac:dyDescent="0.2">
      <c r="A344" t="s">
        <v>3627</v>
      </c>
      <c r="B344">
        <v>703650</v>
      </c>
      <c r="C344">
        <v>2020</v>
      </c>
      <c r="D344" t="s">
        <v>12</v>
      </c>
      <c r="E344" t="s">
        <v>16</v>
      </c>
      <c r="F344">
        <v>0</v>
      </c>
      <c r="G344">
        <v>1</v>
      </c>
      <c r="H344">
        <v>60.336295283663702</v>
      </c>
      <c r="I344" t="b">
        <v>0</v>
      </c>
      <c r="J344">
        <v>0</v>
      </c>
      <c r="K344" t="s">
        <v>26</v>
      </c>
      <c r="L344">
        <v>1</v>
      </c>
      <c r="M344">
        <v>0</v>
      </c>
      <c r="N344">
        <v>1</v>
      </c>
    </row>
    <row r="345" spans="1:14" x14ac:dyDescent="0.2">
      <c r="A345" t="s">
        <v>3628</v>
      </c>
      <c r="B345">
        <v>703651</v>
      </c>
      <c r="C345">
        <v>2020</v>
      </c>
      <c r="D345" t="s">
        <v>17</v>
      </c>
      <c r="E345" t="s">
        <v>13</v>
      </c>
      <c r="F345">
        <v>0</v>
      </c>
      <c r="G345">
        <v>0</v>
      </c>
      <c r="H345">
        <v>71.226247436773704</v>
      </c>
      <c r="I345" t="b">
        <v>0</v>
      </c>
      <c r="J345">
        <v>0</v>
      </c>
      <c r="K345" t="s">
        <v>26</v>
      </c>
      <c r="L345">
        <v>1</v>
      </c>
      <c r="M345">
        <v>0</v>
      </c>
      <c r="N345">
        <v>0</v>
      </c>
    </row>
    <row r="346" spans="1:14" x14ac:dyDescent="0.2">
      <c r="A346" t="s">
        <v>3629</v>
      </c>
      <c r="B346">
        <v>703734</v>
      </c>
      <c r="C346">
        <v>2020</v>
      </c>
      <c r="D346" t="s">
        <v>12</v>
      </c>
      <c r="E346" t="s">
        <v>13</v>
      </c>
      <c r="F346">
        <v>1</v>
      </c>
      <c r="G346">
        <v>2</v>
      </c>
      <c r="H346">
        <v>51.037593984962399</v>
      </c>
      <c r="I346" t="b">
        <v>0</v>
      </c>
      <c r="J346">
        <v>0</v>
      </c>
      <c r="K346" t="s">
        <v>26</v>
      </c>
      <c r="L346">
        <v>1</v>
      </c>
      <c r="M346">
        <v>0</v>
      </c>
      <c r="N346">
        <v>0</v>
      </c>
    </row>
    <row r="347" spans="1:14" x14ac:dyDescent="0.2">
      <c r="A347" t="s">
        <v>3630</v>
      </c>
      <c r="B347">
        <v>703747</v>
      </c>
      <c r="C347">
        <v>2020</v>
      </c>
      <c r="D347" t="s">
        <v>12</v>
      </c>
      <c r="E347" t="s">
        <v>13</v>
      </c>
      <c r="F347">
        <v>0</v>
      </c>
      <c r="G347">
        <v>2</v>
      </c>
      <c r="H347">
        <v>82.277511961722496</v>
      </c>
      <c r="I347" t="b">
        <v>0</v>
      </c>
      <c r="J347">
        <v>0</v>
      </c>
      <c r="K347" t="s">
        <v>26</v>
      </c>
      <c r="L347">
        <v>0</v>
      </c>
      <c r="M347">
        <v>0</v>
      </c>
      <c r="N347">
        <v>0</v>
      </c>
    </row>
    <row r="348" spans="1:14" x14ac:dyDescent="0.2">
      <c r="A348" t="s">
        <v>3631</v>
      </c>
      <c r="B348">
        <v>703819</v>
      </c>
      <c r="C348">
        <v>2020</v>
      </c>
      <c r="D348" t="s">
        <v>21</v>
      </c>
      <c r="E348" t="s">
        <v>13</v>
      </c>
      <c r="F348">
        <v>0</v>
      </c>
      <c r="G348">
        <v>1</v>
      </c>
      <c r="H348">
        <v>88.043745727956306</v>
      </c>
      <c r="I348" t="b">
        <v>1</v>
      </c>
      <c r="J348">
        <v>1</v>
      </c>
      <c r="K348" t="s">
        <v>26</v>
      </c>
      <c r="L348">
        <v>0</v>
      </c>
      <c r="M348">
        <v>0</v>
      </c>
      <c r="N348">
        <v>0</v>
      </c>
    </row>
    <row r="349" spans="1:14" x14ac:dyDescent="0.2">
      <c r="A349" t="s">
        <v>3632</v>
      </c>
      <c r="B349">
        <v>703873</v>
      </c>
      <c r="C349">
        <v>2020</v>
      </c>
      <c r="D349" t="s">
        <v>20</v>
      </c>
      <c r="E349" t="s">
        <v>13</v>
      </c>
      <c r="F349">
        <v>0</v>
      </c>
      <c r="G349">
        <v>0</v>
      </c>
      <c r="H349">
        <v>71.660970608338999</v>
      </c>
      <c r="I349" t="b">
        <v>0</v>
      </c>
      <c r="J349">
        <v>0</v>
      </c>
      <c r="K349" t="s">
        <v>26</v>
      </c>
      <c r="L349">
        <v>0</v>
      </c>
      <c r="M349">
        <v>0</v>
      </c>
      <c r="N349">
        <v>0</v>
      </c>
    </row>
    <row r="350" spans="1:14" x14ac:dyDescent="0.2">
      <c r="A350" t="s">
        <v>3633</v>
      </c>
      <c r="B350">
        <v>703881</v>
      </c>
      <c r="C350">
        <v>2020</v>
      </c>
      <c r="D350" t="s">
        <v>12</v>
      </c>
      <c r="E350" t="s">
        <v>13</v>
      </c>
      <c r="F350">
        <v>0</v>
      </c>
      <c r="G350">
        <v>1</v>
      </c>
      <c r="H350">
        <v>89.539302802460696</v>
      </c>
      <c r="I350" t="b">
        <v>0</v>
      </c>
      <c r="J350">
        <v>0</v>
      </c>
      <c r="K350" t="s">
        <v>26</v>
      </c>
      <c r="L350">
        <v>0</v>
      </c>
      <c r="M350">
        <v>0</v>
      </c>
      <c r="N350">
        <v>0</v>
      </c>
    </row>
    <row r="351" spans="1:14" x14ac:dyDescent="0.2">
      <c r="A351" t="s">
        <v>3634</v>
      </c>
      <c r="B351">
        <v>703938</v>
      </c>
      <c r="C351">
        <v>2020</v>
      </c>
      <c r="D351" t="s">
        <v>21</v>
      </c>
      <c r="E351" t="s">
        <v>13</v>
      </c>
      <c r="F351">
        <v>0</v>
      </c>
      <c r="G351">
        <v>1</v>
      </c>
      <c r="H351">
        <v>76.240601503759393</v>
      </c>
      <c r="I351" t="b">
        <v>0</v>
      </c>
      <c r="J351">
        <v>0</v>
      </c>
      <c r="K351" t="s">
        <v>26</v>
      </c>
      <c r="L351">
        <v>1</v>
      </c>
      <c r="M351">
        <v>0</v>
      </c>
      <c r="N351">
        <v>0</v>
      </c>
    </row>
    <row r="352" spans="1:14" x14ac:dyDescent="0.2">
      <c r="A352" t="s">
        <v>3635</v>
      </c>
      <c r="B352">
        <v>703940</v>
      </c>
      <c r="C352">
        <v>2020</v>
      </c>
      <c r="D352" t="s">
        <v>15</v>
      </c>
      <c r="E352" t="s">
        <v>13</v>
      </c>
      <c r="F352">
        <v>0</v>
      </c>
      <c r="G352">
        <v>0</v>
      </c>
      <c r="H352">
        <v>50.649350649350701</v>
      </c>
      <c r="I352" t="b">
        <v>0</v>
      </c>
      <c r="J352">
        <v>0</v>
      </c>
      <c r="K352" t="s">
        <v>26</v>
      </c>
      <c r="L352">
        <v>0</v>
      </c>
      <c r="M352">
        <v>0</v>
      </c>
      <c r="N352">
        <v>0</v>
      </c>
    </row>
    <row r="353" spans="1:14" x14ac:dyDescent="0.2">
      <c r="A353" t="s">
        <v>3636</v>
      </c>
      <c r="B353">
        <v>703944</v>
      </c>
      <c r="C353">
        <v>2020</v>
      </c>
      <c r="D353" t="s">
        <v>12</v>
      </c>
      <c r="E353" t="s">
        <v>13</v>
      </c>
      <c r="F353">
        <v>0</v>
      </c>
      <c r="G353">
        <v>6</v>
      </c>
      <c r="H353">
        <v>65.563909774436098</v>
      </c>
      <c r="I353" t="b">
        <v>0</v>
      </c>
      <c r="J353">
        <v>0</v>
      </c>
      <c r="K353" t="s">
        <v>26</v>
      </c>
      <c r="L353">
        <v>0</v>
      </c>
      <c r="M353">
        <v>0</v>
      </c>
      <c r="N353">
        <v>0</v>
      </c>
    </row>
    <row r="354" spans="1:14" x14ac:dyDescent="0.2">
      <c r="A354" t="s">
        <v>3637</v>
      </c>
      <c r="B354">
        <v>704022</v>
      </c>
      <c r="C354">
        <v>2020</v>
      </c>
      <c r="D354" t="s">
        <v>12</v>
      </c>
      <c r="E354" t="s">
        <v>13</v>
      </c>
      <c r="F354">
        <v>0</v>
      </c>
      <c r="G354">
        <v>0</v>
      </c>
      <c r="H354">
        <v>72.071086807928907</v>
      </c>
      <c r="I354" t="b">
        <v>0</v>
      </c>
      <c r="J354">
        <v>0</v>
      </c>
      <c r="K354" t="s">
        <v>26</v>
      </c>
      <c r="L354">
        <v>1</v>
      </c>
      <c r="M354">
        <v>0</v>
      </c>
      <c r="N354">
        <v>0</v>
      </c>
    </row>
    <row r="355" spans="1:14" x14ac:dyDescent="0.2">
      <c r="A355" t="s">
        <v>3638</v>
      </c>
      <c r="B355">
        <v>704024</v>
      </c>
      <c r="C355">
        <v>2020</v>
      </c>
      <c r="D355" t="s">
        <v>24</v>
      </c>
      <c r="E355" t="s">
        <v>13</v>
      </c>
      <c r="F355">
        <v>0</v>
      </c>
      <c r="G355">
        <v>2</v>
      </c>
      <c r="H355">
        <v>81.719753930280206</v>
      </c>
      <c r="I355" t="b">
        <v>0</v>
      </c>
      <c r="J355">
        <v>0</v>
      </c>
      <c r="K355" t="s">
        <v>26</v>
      </c>
      <c r="L355">
        <v>1</v>
      </c>
      <c r="M355">
        <v>1</v>
      </c>
      <c r="N355">
        <v>0</v>
      </c>
    </row>
    <row r="356" spans="1:14" x14ac:dyDescent="0.2">
      <c r="A356" t="s">
        <v>3639</v>
      </c>
      <c r="B356">
        <v>704029</v>
      </c>
      <c r="C356">
        <v>2020</v>
      </c>
      <c r="D356" t="s">
        <v>17</v>
      </c>
      <c r="E356" t="s">
        <v>16</v>
      </c>
      <c r="F356">
        <v>1</v>
      </c>
      <c r="G356">
        <v>5</v>
      </c>
      <c r="H356">
        <v>80.278879015721103</v>
      </c>
      <c r="I356" t="b">
        <v>0</v>
      </c>
      <c r="J356">
        <v>0</v>
      </c>
      <c r="K356" t="s">
        <v>26</v>
      </c>
      <c r="L356">
        <v>0</v>
      </c>
      <c r="M356">
        <v>0</v>
      </c>
      <c r="N356">
        <v>0</v>
      </c>
    </row>
    <row r="357" spans="1:14" x14ac:dyDescent="0.2">
      <c r="A357" t="s">
        <v>3640</v>
      </c>
      <c r="B357">
        <v>704060</v>
      </c>
      <c r="C357">
        <v>2020</v>
      </c>
      <c r="D357" t="s">
        <v>12</v>
      </c>
      <c r="E357" t="s">
        <v>13</v>
      </c>
      <c r="F357">
        <v>0</v>
      </c>
      <c r="G357">
        <v>0</v>
      </c>
      <c r="H357">
        <v>96.396445659603501</v>
      </c>
      <c r="I357" t="b">
        <v>0</v>
      </c>
      <c r="J357">
        <v>0</v>
      </c>
      <c r="K357" t="s">
        <v>26</v>
      </c>
      <c r="L357">
        <v>1</v>
      </c>
      <c r="M357">
        <v>0</v>
      </c>
      <c r="N357">
        <v>0</v>
      </c>
    </row>
    <row r="358" spans="1:14" x14ac:dyDescent="0.2">
      <c r="A358" t="s">
        <v>3641</v>
      </c>
      <c r="B358">
        <v>704098</v>
      </c>
      <c r="C358">
        <v>2020</v>
      </c>
      <c r="D358" t="s">
        <v>19</v>
      </c>
      <c r="E358" t="s">
        <v>13</v>
      </c>
      <c r="F358">
        <v>0</v>
      </c>
      <c r="G358">
        <v>1</v>
      </c>
      <c r="H358">
        <v>80.210526315789494</v>
      </c>
      <c r="I358" t="b">
        <v>0</v>
      </c>
      <c r="J358">
        <v>0</v>
      </c>
      <c r="K358" t="s">
        <v>26</v>
      </c>
      <c r="L358">
        <v>0</v>
      </c>
      <c r="M358">
        <v>0</v>
      </c>
      <c r="N358">
        <v>0</v>
      </c>
    </row>
    <row r="359" spans="1:14" x14ac:dyDescent="0.2">
      <c r="A359" t="s">
        <v>3642</v>
      </c>
      <c r="B359">
        <v>704108</v>
      </c>
      <c r="C359">
        <v>2020</v>
      </c>
      <c r="D359" t="s">
        <v>17</v>
      </c>
      <c r="E359" t="s">
        <v>13</v>
      </c>
      <c r="F359">
        <v>0</v>
      </c>
      <c r="G359">
        <v>2</v>
      </c>
      <c r="H359">
        <v>71.554340396445696</v>
      </c>
      <c r="I359" t="b">
        <v>0</v>
      </c>
      <c r="J359">
        <v>0</v>
      </c>
      <c r="K359" t="s">
        <v>26</v>
      </c>
      <c r="L359">
        <v>0</v>
      </c>
      <c r="M359">
        <v>0</v>
      </c>
      <c r="N359" t="s">
        <v>18</v>
      </c>
    </row>
    <row r="360" spans="1:14" x14ac:dyDescent="0.2">
      <c r="A360" t="s">
        <v>3643</v>
      </c>
      <c r="B360">
        <v>704109</v>
      </c>
      <c r="C360">
        <v>2020</v>
      </c>
      <c r="D360" t="s">
        <v>21</v>
      </c>
      <c r="E360" t="s">
        <v>16</v>
      </c>
      <c r="F360">
        <v>0</v>
      </c>
      <c r="G360">
        <v>3</v>
      </c>
      <c r="H360">
        <v>78.676691729323295</v>
      </c>
      <c r="I360" t="b">
        <v>0</v>
      </c>
      <c r="J360">
        <v>0</v>
      </c>
      <c r="K360" t="s">
        <v>26</v>
      </c>
      <c r="L360">
        <v>0</v>
      </c>
      <c r="M360">
        <v>0</v>
      </c>
      <c r="N360">
        <v>0</v>
      </c>
    </row>
    <row r="361" spans="1:14" x14ac:dyDescent="0.2">
      <c r="A361" t="s">
        <v>3644</v>
      </c>
      <c r="B361">
        <v>704172</v>
      </c>
      <c r="C361">
        <v>2020</v>
      </c>
      <c r="D361" t="s">
        <v>21</v>
      </c>
      <c r="E361" t="s">
        <v>16</v>
      </c>
      <c r="F361">
        <v>0</v>
      </c>
      <c r="G361">
        <v>0</v>
      </c>
      <c r="H361">
        <v>33.402597402597401</v>
      </c>
      <c r="I361" t="b">
        <v>1</v>
      </c>
      <c r="J361">
        <v>1</v>
      </c>
      <c r="K361" t="s">
        <v>26</v>
      </c>
      <c r="L361">
        <v>0</v>
      </c>
      <c r="M361">
        <v>0</v>
      </c>
      <c r="N361">
        <v>1</v>
      </c>
    </row>
    <row r="362" spans="1:14" x14ac:dyDescent="0.2">
      <c r="A362" t="s">
        <v>3645</v>
      </c>
      <c r="B362">
        <v>704175</v>
      </c>
      <c r="C362">
        <v>2020</v>
      </c>
      <c r="D362" t="s">
        <v>22</v>
      </c>
      <c r="E362" t="s">
        <v>13</v>
      </c>
      <c r="F362">
        <v>0</v>
      </c>
      <c r="G362">
        <v>0</v>
      </c>
      <c r="H362">
        <v>30.963773069036201</v>
      </c>
      <c r="I362" t="b">
        <v>0</v>
      </c>
      <c r="J362">
        <v>1</v>
      </c>
      <c r="K362" t="s">
        <v>26</v>
      </c>
      <c r="L362">
        <v>0</v>
      </c>
      <c r="M362">
        <v>0</v>
      </c>
      <c r="N362">
        <v>0</v>
      </c>
    </row>
    <row r="363" spans="1:14" x14ac:dyDescent="0.2">
      <c r="A363" t="s">
        <v>3646</v>
      </c>
      <c r="B363">
        <v>704181</v>
      </c>
      <c r="C363">
        <v>2020</v>
      </c>
      <c r="D363" t="s">
        <v>17</v>
      </c>
      <c r="E363" t="s">
        <v>13</v>
      </c>
      <c r="F363">
        <v>0</v>
      </c>
      <c r="G363">
        <v>7</v>
      </c>
      <c r="H363">
        <v>76.749145591250894</v>
      </c>
      <c r="I363" t="b">
        <v>0</v>
      </c>
      <c r="J363">
        <v>0</v>
      </c>
      <c r="K363" t="s">
        <v>26</v>
      </c>
      <c r="L363">
        <v>0</v>
      </c>
      <c r="M363">
        <v>0</v>
      </c>
      <c r="N363">
        <v>1</v>
      </c>
    </row>
    <row r="364" spans="1:14" x14ac:dyDescent="0.2">
      <c r="A364" t="s">
        <v>3647</v>
      </c>
      <c r="B364">
        <v>704198</v>
      </c>
      <c r="C364">
        <v>2020</v>
      </c>
      <c r="D364" t="s">
        <v>17</v>
      </c>
      <c r="E364" t="s">
        <v>13</v>
      </c>
      <c r="F364">
        <v>0</v>
      </c>
      <c r="G364">
        <v>2</v>
      </c>
      <c r="H364">
        <v>77.008885850991106</v>
      </c>
      <c r="I364" t="b">
        <v>0</v>
      </c>
      <c r="J364">
        <v>0</v>
      </c>
      <c r="K364" t="s">
        <v>26</v>
      </c>
      <c r="L364">
        <v>0</v>
      </c>
      <c r="M364">
        <v>0</v>
      </c>
      <c r="N364">
        <v>0</v>
      </c>
    </row>
    <row r="365" spans="1:14" x14ac:dyDescent="0.2">
      <c r="A365" t="s">
        <v>3648</v>
      </c>
      <c r="B365">
        <v>710510</v>
      </c>
      <c r="C365">
        <v>2019</v>
      </c>
      <c r="D365" t="s">
        <v>12</v>
      </c>
      <c r="E365" t="s">
        <v>16</v>
      </c>
      <c r="F365">
        <v>0</v>
      </c>
      <c r="G365">
        <v>4</v>
      </c>
      <c r="H365">
        <v>80.336295283663702</v>
      </c>
      <c r="I365" t="b">
        <v>0</v>
      </c>
      <c r="J365">
        <v>0</v>
      </c>
      <c r="K365" t="s">
        <v>26</v>
      </c>
      <c r="L365">
        <v>0</v>
      </c>
      <c r="M365">
        <v>0</v>
      </c>
      <c r="N365">
        <v>0</v>
      </c>
    </row>
    <row r="366" spans="1:14" x14ac:dyDescent="0.2">
      <c r="A366" t="s">
        <v>3649</v>
      </c>
      <c r="B366">
        <v>710524</v>
      </c>
      <c r="C366">
        <v>2019</v>
      </c>
      <c r="D366" t="s">
        <v>21</v>
      </c>
      <c r="E366" t="s">
        <v>13</v>
      </c>
      <c r="F366">
        <v>0</v>
      </c>
      <c r="G366">
        <v>6</v>
      </c>
      <c r="H366">
        <v>86.523581681476401</v>
      </c>
      <c r="I366" t="b">
        <v>1</v>
      </c>
      <c r="J366">
        <v>1</v>
      </c>
      <c r="K366" t="s">
        <v>26</v>
      </c>
      <c r="L366">
        <v>1</v>
      </c>
      <c r="M366">
        <v>0</v>
      </c>
      <c r="N366">
        <v>1</v>
      </c>
    </row>
    <row r="367" spans="1:14" x14ac:dyDescent="0.2">
      <c r="A367" t="s">
        <v>3650</v>
      </c>
      <c r="B367">
        <v>710567</v>
      </c>
      <c r="C367">
        <v>2019</v>
      </c>
      <c r="D367" t="s">
        <v>12</v>
      </c>
      <c r="E367" t="s">
        <v>13</v>
      </c>
      <c r="F367">
        <v>1</v>
      </c>
      <c r="G367">
        <v>2</v>
      </c>
      <c r="H367">
        <v>74.597402597402606</v>
      </c>
      <c r="I367" t="b">
        <v>0</v>
      </c>
      <c r="J367">
        <v>0</v>
      </c>
      <c r="K367" t="s">
        <v>26</v>
      </c>
      <c r="L367">
        <v>0</v>
      </c>
      <c r="M367">
        <v>0</v>
      </c>
      <c r="N367">
        <v>0</v>
      </c>
    </row>
    <row r="368" spans="1:14" x14ac:dyDescent="0.2">
      <c r="A368" t="s">
        <v>3651</v>
      </c>
      <c r="B368">
        <v>710600</v>
      </c>
      <c r="C368">
        <v>2019</v>
      </c>
      <c r="D368" t="s">
        <v>12</v>
      </c>
      <c r="E368" t="s">
        <v>13</v>
      </c>
      <c r="F368">
        <v>0</v>
      </c>
      <c r="G368">
        <v>3</v>
      </c>
      <c r="H368">
        <v>95.803144224196799</v>
      </c>
      <c r="I368" t="b">
        <v>0</v>
      </c>
      <c r="J368">
        <v>0</v>
      </c>
      <c r="K368" t="s">
        <v>26</v>
      </c>
      <c r="L368">
        <v>0</v>
      </c>
      <c r="M368">
        <v>0</v>
      </c>
      <c r="N368">
        <v>0</v>
      </c>
    </row>
    <row r="369" spans="1:14" x14ac:dyDescent="0.2">
      <c r="A369" t="s">
        <v>3652</v>
      </c>
      <c r="B369">
        <v>710614</v>
      </c>
      <c r="C369">
        <v>2019</v>
      </c>
      <c r="D369" t="s">
        <v>12</v>
      </c>
      <c r="E369" t="s">
        <v>13</v>
      </c>
      <c r="F369">
        <v>1</v>
      </c>
      <c r="G369">
        <v>2</v>
      </c>
      <c r="H369">
        <v>72.847573479152402</v>
      </c>
      <c r="I369" t="b">
        <v>1</v>
      </c>
      <c r="J369">
        <v>0</v>
      </c>
      <c r="K369" t="s">
        <v>26</v>
      </c>
      <c r="L369">
        <v>0</v>
      </c>
      <c r="M369">
        <v>0</v>
      </c>
      <c r="N369">
        <v>1</v>
      </c>
    </row>
    <row r="370" spans="1:14" x14ac:dyDescent="0.2">
      <c r="A370" t="s">
        <v>3653</v>
      </c>
      <c r="B370">
        <v>710618</v>
      </c>
      <c r="C370">
        <v>2019</v>
      </c>
      <c r="D370" t="s">
        <v>22</v>
      </c>
      <c r="E370" t="s">
        <v>13</v>
      </c>
      <c r="F370">
        <v>1</v>
      </c>
      <c r="G370">
        <v>2</v>
      </c>
      <c r="H370">
        <v>60.456596035543399</v>
      </c>
      <c r="I370" t="b">
        <v>0</v>
      </c>
      <c r="J370">
        <v>0</v>
      </c>
      <c r="K370" t="s">
        <v>26</v>
      </c>
      <c r="L370">
        <v>0</v>
      </c>
      <c r="M370">
        <v>0</v>
      </c>
      <c r="N370">
        <v>0</v>
      </c>
    </row>
    <row r="371" spans="1:14" x14ac:dyDescent="0.2">
      <c r="A371" t="s">
        <v>3654</v>
      </c>
      <c r="B371">
        <v>710676</v>
      </c>
      <c r="C371">
        <v>2019</v>
      </c>
      <c r="D371" t="s">
        <v>12</v>
      </c>
      <c r="E371" t="s">
        <v>16</v>
      </c>
      <c r="F371">
        <v>0</v>
      </c>
      <c r="G371">
        <v>3</v>
      </c>
      <c r="H371">
        <v>90.955570745044398</v>
      </c>
      <c r="I371" t="b">
        <v>0</v>
      </c>
      <c r="J371">
        <v>0</v>
      </c>
      <c r="K371" t="s">
        <v>26</v>
      </c>
      <c r="L371">
        <v>0</v>
      </c>
      <c r="M371">
        <v>0</v>
      </c>
      <c r="N371">
        <v>0</v>
      </c>
    </row>
    <row r="372" spans="1:14" x14ac:dyDescent="0.2">
      <c r="A372" t="s">
        <v>3655</v>
      </c>
      <c r="B372">
        <v>710736</v>
      </c>
      <c r="C372">
        <v>2019</v>
      </c>
      <c r="D372" t="s">
        <v>12</v>
      </c>
      <c r="E372" t="s">
        <v>16</v>
      </c>
      <c r="F372">
        <v>0</v>
      </c>
      <c r="G372">
        <v>3</v>
      </c>
      <c r="H372">
        <v>63.084073820915897</v>
      </c>
      <c r="I372" t="b">
        <v>0</v>
      </c>
      <c r="J372">
        <v>0</v>
      </c>
      <c r="K372" t="s">
        <v>26</v>
      </c>
      <c r="L372">
        <v>0</v>
      </c>
      <c r="M372">
        <v>1</v>
      </c>
      <c r="N372">
        <v>0</v>
      </c>
    </row>
    <row r="373" spans="1:14" x14ac:dyDescent="0.2">
      <c r="A373" t="s">
        <v>3656</v>
      </c>
      <c r="B373">
        <v>710760</v>
      </c>
      <c r="C373">
        <v>2019</v>
      </c>
      <c r="D373" t="s">
        <v>22</v>
      </c>
      <c r="E373" t="s">
        <v>13</v>
      </c>
      <c r="F373">
        <v>0</v>
      </c>
      <c r="G373">
        <v>6</v>
      </c>
      <c r="H373">
        <v>74.507177033492795</v>
      </c>
      <c r="I373" t="b">
        <v>0</v>
      </c>
      <c r="J373">
        <v>0</v>
      </c>
      <c r="K373" t="s">
        <v>26</v>
      </c>
      <c r="L373">
        <v>0</v>
      </c>
      <c r="M373">
        <v>0</v>
      </c>
      <c r="N373">
        <v>0</v>
      </c>
    </row>
    <row r="374" spans="1:14" x14ac:dyDescent="0.2">
      <c r="A374" t="s">
        <v>3657</v>
      </c>
      <c r="B374">
        <v>710778</v>
      </c>
      <c r="C374">
        <v>2019</v>
      </c>
      <c r="D374" t="s">
        <v>21</v>
      </c>
      <c r="E374" t="s">
        <v>13</v>
      </c>
      <c r="F374">
        <v>0</v>
      </c>
      <c r="G374">
        <v>3</v>
      </c>
      <c r="H374">
        <v>75.015721120984296</v>
      </c>
      <c r="I374" t="b">
        <v>0</v>
      </c>
      <c r="J374">
        <v>0</v>
      </c>
      <c r="K374" t="s">
        <v>26</v>
      </c>
      <c r="L374">
        <v>1</v>
      </c>
      <c r="M374">
        <v>0</v>
      </c>
      <c r="N374">
        <v>0</v>
      </c>
    </row>
    <row r="375" spans="1:14" x14ac:dyDescent="0.2">
      <c r="A375" t="s">
        <v>3658</v>
      </c>
      <c r="B375">
        <v>710816</v>
      </c>
      <c r="C375">
        <v>2019</v>
      </c>
      <c r="D375" t="s">
        <v>17</v>
      </c>
      <c r="E375" t="s">
        <v>13</v>
      </c>
      <c r="F375">
        <v>0</v>
      </c>
      <c r="G375">
        <v>4</v>
      </c>
      <c r="H375">
        <v>75.680109364319904</v>
      </c>
      <c r="I375" t="b">
        <v>0</v>
      </c>
      <c r="J375">
        <v>0</v>
      </c>
      <c r="K375" t="s">
        <v>26</v>
      </c>
      <c r="L375">
        <v>0</v>
      </c>
      <c r="M375">
        <v>0</v>
      </c>
      <c r="N375">
        <v>0</v>
      </c>
    </row>
    <row r="376" spans="1:14" x14ac:dyDescent="0.2">
      <c r="A376" t="s">
        <v>3659</v>
      </c>
      <c r="B376">
        <v>710827</v>
      </c>
      <c r="C376">
        <v>2019</v>
      </c>
      <c r="D376" t="s">
        <v>12</v>
      </c>
      <c r="E376" t="s">
        <v>13</v>
      </c>
      <c r="F376">
        <v>0</v>
      </c>
      <c r="G376">
        <v>0</v>
      </c>
      <c r="H376">
        <v>76.604237867395796</v>
      </c>
      <c r="I376" t="b">
        <v>0</v>
      </c>
      <c r="J376">
        <v>0</v>
      </c>
      <c r="K376" t="s">
        <v>26</v>
      </c>
      <c r="L376">
        <v>0</v>
      </c>
      <c r="M376">
        <v>0</v>
      </c>
      <c r="N376">
        <v>0</v>
      </c>
    </row>
    <row r="377" spans="1:14" x14ac:dyDescent="0.2">
      <c r="A377" t="s">
        <v>3660</v>
      </c>
      <c r="B377">
        <v>710839</v>
      </c>
      <c r="C377">
        <v>2019</v>
      </c>
      <c r="D377" t="s">
        <v>12</v>
      </c>
      <c r="E377" t="s">
        <v>16</v>
      </c>
      <c r="F377">
        <v>0</v>
      </c>
      <c r="G377">
        <v>1</v>
      </c>
      <c r="H377">
        <v>90.3540669856459</v>
      </c>
      <c r="I377" t="b">
        <v>0</v>
      </c>
      <c r="J377">
        <v>0</v>
      </c>
      <c r="K377" t="s">
        <v>26</v>
      </c>
      <c r="L377">
        <v>0</v>
      </c>
      <c r="M377">
        <v>0</v>
      </c>
      <c r="N377">
        <v>0</v>
      </c>
    </row>
    <row r="378" spans="1:14" x14ac:dyDescent="0.2">
      <c r="A378" t="s">
        <v>3661</v>
      </c>
      <c r="B378">
        <v>710964</v>
      </c>
      <c r="C378">
        <v>2019</v>
      </c>
      <c r="D378" t="s">
        <v>20</v>
      </c>
      <c r="E378" t="s">
        <v>13</v>
      </c>
      <c r="F378">
        <v>1</v>
      </c>
      <c r="G378">
        <v>8</v>
      </c>
      <c r="H378">
        <v>57.46001367054</v>
      </c>
      <c r="I378" t="b">
        <v>0</v>
      </c>
      <c r="J378">
        <v>0</v>
      </c>
      <c r="K378" t="s">
        <v>26</v>
      </c>
      <c r="L378">
        <v>0</v>
      </c>
      <c r="M378">
        <v>1</v>
      </c>
      <c r="N378">
        <v>0</v>
      </c>
    </row>
    <row r="379" spans="1:14" x14ac:dyDescent="0.2">
      <c r="A379" t="s">
        <v>3662</v>
      </c>
      <c r="B379">
        <v>710971</v>
      </c>
      <c r="C379">
        <v>2019</v>
      </c>
      <c r="D379" t="s">
        <v>22</v>
      </c>
      <c r="E379" t="s">
        <v>13</v>
      </c>
      <c r="F379">
        <v>0</v>
      </c>
      <c r="G379">
        <v>8</v>
      </c>
      <c r="H379">
        <v>79.207108680792899</v>
      </c>
      <c r="I379" t="b">
        <v>0</v>
      </c>
      <c r="J379">
        <v>0</v>
      </c>
      <c r="K379" t="s">
        <v>26</v>
      </c>
      <c r="L379">
        <v>1</v>
      </c>
      <c r="M379">
        <v>1</v>
      </c>
      <c r="N379">
        <v>0</v>
      </c>
    </row>
    <row r="380" spans="1:14" x14ac:dyDescent="0.2">
      <c r="A380" t="s">
        <v>3663</v>
      </c>
      <c r="B380">
        <v>710974</v>
      </c>
      <c r="C380">
        <v>2019</v>
      </c>
      <c r="D380" t="s">
        <v>25</v>
      </c>
      <c r="E380" t="s">
        <v>13</v>
      </c>
      <c r="F380">
        <v>0</v>
      </c>
      <c r="G380">
        <v>1</v>
      </c>
      <c r="H380">
        <v>96.806561859193394</v>
      </c>
      <c r="I380" t="b">
        <v>0</v>
      </c>
      <c r="J380">
        <v>0</v>
      </c>
      <c r="K380" t="s">
        <v>26</v>
      </c>
      <c r="L380">
        <v>0</v>
      </c>
      <c r="M380">
        <v>0</v>
      </c>
      <c r="N380">
        <v>0</v>
      </c>
    </row>
    <row r="381" spans="1:14" x14ac:dyDescent="0.2">
      <c r="A381" t="s">
        <v>3664</v>
      </c>
      <c r="B381">
        <v>710979</v>
      </c>
      <c r="C381">
        <v>2019</v>
      </c>
      <c r="D381" t="s">
        <v>22</v>
      </c>
      <c r="E381" t="s">
        <v>13</v>
      </c>
      <c r="F381">
        <v>0</v>
      </c>
      <c r="G381">
        <v>1</v>
      </c>
      <c r="H381">
        <v>83.3192071086808</v>
      </c>
      <c r="I381" t="b">
        <v>0</v>
      </c>
      <c r="J381">
        <v>0</v>
      </c>
      <c r="K381" t="s">
        <v>26</v>
      </c>
      <c r="L381">
        <v>1</v>
      </c>
      <c r="M381">
        <v>0</v>
      </c>
      <c r="N381">
        <v>0</v>
      </c>
    </row>
    <row r="382" spans="1:14" x14ac:dyDescent="0.2">
      <c r="A382" t="s">
        <v>3665</v>
      </c>
      <c r="B382">
        <v>710990</v>
      </c>
      <c r="C382">
        <v>2019</v>
      </c>
      <c r="D382" t="s">
        <v>12</v>
      </c>
      <c r="E382" t="s">
        <v>13</v>
      </c>
      <c r="F382">
        <v>0</v>
      </c>
      <c r="G382">
        <v>0</v>
      </c>
      <c r="H382">
        <v>65.741626794258394</v>
      </c>
      <c r="I382" t="b">
        <v>0</v>
      </c>
      <c r="J382">
        <v>0</v>
      </c>
      <c r="K382" t="s">
        <v>26</v>
      </c>
      <c r="L382">
        <v>0</v>
      </c>
      <c r="M382">
        <v>0</v>
      </c>
      <c r="N382">
        <v>1</v>
      </c>
    </row>
    <row r="383" spans="1:14" x14ac:dyDescent="0.2">
      <c r="A383" t="s">
        <v>3666</v>
      </c>
      <c r="B383">
        <v>710993</v>
      </c>
      <c r="C383">
        <v>2019</v>
      </c>
      <c r="D383" t="s">
        <v>19</v>
      </c>
      <c r="E383" t="s">
        <v>13</v>
      </c>
      <c r="F383">
        <v>0</v>
      </c>
      <c r="G383">
        <v>8</v>
      </c>
      <c r="H383">
        <v>72.904989747095001</v>
      </c>
      <c r="I383" t="b">
        <v>0</v>
      </c>
      <c r="J383">
        <v>1</v>
      </c>
      <c r="K383" t="s">
        <v>26</v>
      </c>
      <c r="L383">
        <v>0</v>
      </c>
      <c r="M383">
        <v>0</v>
      </c>
      <c r="N383">
        <v>0</v>
      </c>
    </row>
    <row r="384" spans="1:14" x14ac:dyDescent="0.2">
      <c r="A384" t="s">
        <v>3667</v>
      </c>
      <c r="B384">
        <v>711029</v>
      </c>
      <c r="C384">
        <v>2019</v>
      </c>
      <c r="D384" t="s">
        <v>12</v>
      </c>
      <c r="E384" t="s">
        <v>13</v>
      </c>
      <c r="F384">
        <v>0</v>
      </c>
      <c r="G384">
        <v>1</v>
      </c>
      <c r="H384">
        <v>88.727272727272705</v>
      </c>
      <c r="I384" t="b">
        <v>1</v>
      </c>
      <c r="J384">
        <v>0</v>
      </c>
      <c r="K384" t="s">
        <v>26</v>
      </c>
      <c r="L384">
        <v>1</v>
      </c>
      <c r="M384">
        <v>0</v>
      </c>
      <c r="N384">
        <v>0</v>
      </c>
    </row>
    <row r="385" spans="1:14" x14ac:dyDescent="0.2">
      <c r="A385" t="s">
        <v>3668</v>
      </c>
      <c r="B385">
        <v>711043</v>
      </c>
      <c r="C385">
        <v>2019</v>
      </c>
      <c r="D385" t="s">
        <v>12</v>
      </c>
      <c r="E385" t="s">
        <v>13</v>
      </c>
      <c r="F385">
        <v>0</v>
      </c>
      <c r="G385">
        <v>6</v>
      </c>
      <c r="H385">
        <v>74.567327409432707</v>
      </c>
      <c r="I385" t="b">
        <v>0</v>
      </c>
      <c r="J385">
        <v>0</v>
      </c>
      <c r="K385" t="s">
        <v>26</v>
      </c>
      <c r="L385">
        <v>1</v>
      </c>
      <c r="M385">
        <v>0</v>
      </c>
      <c r="N385">
        <v>1</v>
      </c>
    </row>
    <row r="386" spans="1:14" x14ac:dyDescent="0.2">
      <c r="A386" t="s">
        <v>3669</v>
      </c>
      <c r="B386">
        <v>711054</v>
      </c>
      <c r="C386">
        <v>2019</v>
      </c>
      <c r="D386" t="s">
        <v>20</v>
      </c>
      <c r="E386" t="s">
        <v>16</v>
      </c>
      <c r="F386">
        <v>0</v>
      </c>
      <c r="G386">
        <v>7</v>
      </c>
      <c r="H386">
        <v>76.885850991114197</v>
      </c>
      <c r="I386" t="b">
        <v>0</v>
      </c>
      <c r="J386">
        <v>0</v>
      </c>
      <c r="K386" t="s">
        <v>26</v>
      </c>
      <c r="L386">
        <v>0</v>
      </c>
      <c r="M386">
        <v>0</v>
      </c>
      <c r="N386">
        <v>1</v>
      </c>
    </row>
    <row r="387" spans="1:14" x14ac:dyDescent="0.2">
      <c r="A387" t="s">
        <v>3670</v>
      </c>
      <c r="B387">
        <v>711058</v>
      </c>
      <c r="C387">
        <v>2019</v>
      </c>
      <c r="D387" t="s">
        <v>20</v>
      </c>
      <c r="E387" t="s">
        <v>13</v>
      </c>
      <c r="F387">
        <v>0</v>
      </c>
      <c r="G387">
        <v>2</v>
      </c>
      <c r="H387">
        <v>89.151059466848906</v>
      </c>
      <c r="I387" t="b">
        <v>0</v>
      </c>
      <c r="J387">
        <v>0</v>
      </c>
      <c r="K387" t="s">
        <v>26</v>
      </c>
      <c r="L387">
        <v>0</v>
      </c>
      <c r="M387">
        <v>0</v>
      </c>
      <c r="N387">
        <v>0</v>
      </c>
    </row>
    <row r="388" spans="1:14" x14ac:dyDescent="0.2">
      <c r="A388" t="s">
        <v>3671</v>
      </c>
      <c r="B388">
        <v>711106</v>
      </c>
      <c r="C388">
        <v>2019</v>
      </c>
      <c r="D388" t="s">
        <v>17</v>
      </c>
      <c r="E388" t="s">
        <v>13</v>
      </c>
      <c r="F388">
        <v>0</v>
      </c>
      <c r="G388">
        <v>0</v>
      </c>
      <c r="H388">
        <v>70.009569377990402</v>
      </c>
      <c r="I388" t="b">
        <v>0</v>
      </c>
      <c r="J388">
        <v>0</v>
      </c>
      <c r="K388" t="s">
        <v>26</v>
      </c>
      <c r="L388">
        <v>0</v>
      </c>
      <c r="M388">
        <v>0</v>
      </c>
      <c r="N388">
        <v>0</v>
      </c>
    </row>
    <row r="389" spans="1:14" x14ac:dyDescent="0.2">
      <c r="A389" t="s">
        <v>3672</v>
      </c>
      <c r="B389">
        <v>711109</v>
      </c>
      <c r="C389">
        <v>2019</v>
      </c>
      <c r="D389" t="s">
        <v>21</v>
      </c>
      <c r="E389" t="s">
        <v>16</v>
      </c>
      <c r="F389">
        <v>0</v>
      </c>
      <c r="G389">
        <v>7</v>
      </c>
      <c r="H389">
        <v>93.8154477101846</v>
      </c>
      <c r="I389" t="b">
        <v>0</v>
      </c>
      <c r="J389">
        <v>1</v>
      </c>
      <c r="K389" t="s">
        <v>26</v>
      </c>
      <c r="L389">
        <v>0</v>
      </c>
      <c r="M389">
        <v>0</v>
      </c>
      <c r="N389">
        <v>0</v>
      </c>
    </row>
    <row r="390" spans="1:14" x14ac:dyDescent="0.2">
      <c r="A390" t="s">
        <v>3673</v>
      </c>
      <c r="B390">
        <v>711211</v>
      </c>
      <c r="C390">
        <v>2019</v>
      </c>
      <c r="D390" t="s">
        <v>21</v>
      </c>
      <c r="E390" t="s">
        <v>13</v>
      </c>
      <c r="F390">
        <v>0</v>
      </c>
      <c r="G390">
        <v>5</v>
      </c>
      <c r="H390">
        <v>83.838687628161296</v>
      </c>
      <c r="I390" t="b">
        <v>0</v>
      </c>
      <c r="J390">
        <v>1</v>
      </c>
      <c r="K390" t="s">
        <v>26</v>
      </c>
      <c r="L390">
        <v>1</v>
      </c>
      <c r="M390">
        <v>0</v>
      </c>
      <c r="N390">
        <v>1</v>
      </c>
    </row>
    <row r="391" spans="1:14" x14ac:dyDescent="0.2">
      <c r="A391" t="s">
        <v>3674</v>
      </c>
      <c r="B391">
        <v>711250</v>
      </c>
      <c r="C391">
        <v>2019</v>
      </c>
      <c r="D391" t="s">
        <v>17</v>
      </c>
      <c r="E391" t="s">
        <v>13</v>
      </c>
      <c r="F391">
        <v>0</v>
      </c>
      <c r="G391">
        <v>2</v>
      </c>
      <c r="H391">
        <v>70.561859193438096</v>
      </c>
      <c r="I391" t="b">
        <v>0</v>
      </c>
      <c r="J391">
        <v>0</v>
      </c>
      <c r="K391" t="s">
        <v>26</v>
      </c>
      <c r="L391">
        <v>0</v>
      </c>
      <c r="M391">
        <v>0</v>
      </c>
      <c r="N391">
        <v>1</v>
      </c>
    </row>
    <row r="392" spans="1:14" x14ac:dyDescent="0.2">
      <c r="A392" t="s">
        <v>3675</v>
      </c>
      <c r="B392">
        <v>711340</v>
      </c>
      <c r="C392">
        <v>2019</v>
      </c>
      <c r="D392" t="s">
        <v>22</v>
      </c>
      <c r="E392" t="s">
        <v>13</v>
      </c>
      <c r="F392">
        <v>0</v>
      </c>
      <c r="G392">
        <v>4</v>
      </c>
      <c r="H392">
        <v>79.718386876281599</v>
      </c>
      <c r="I392" t="b">
        <v>0</v>
      </c>
      <c r="J392">
        <v>0</v>
      </c>
      <c r="K392" t="s">
        <v>26</v>
      </c>
      <c r="L392">
        <v>0</v>
      </c>
      <c r="M392">
        <v>0</v>
      </c>
      <c r="N392">
        <v>1</v>
      </c>
    </row>
    <row r="393" spans="1:14" x14ac:dyDescent="0.2">
      <c r="A393" t="s">
        <v>3676</v>
      </c>
      <c r="B393">
        <v>711394</v>
      </c>
      <c r="C393">
        <v>2019</v>
      </c>
      <c r="D393" t="s">
        <v>12</v>
      </c>
      <c r="E393" t="s">
        <v>13</v>
      </c>
      <c r="F393">
        <v>0</v>
      </c>
      <c r="G393">
        <v>1</v>
      </c>
      <c r="H393">
        <v>82.941900205058104</v>
      </c>
      <c r="I393" t="b">
        <v>0</v>
      </c>
      <c r="J393">
        <v>0</v>
      </c>
      <c r="K393" t="s">
        <v>26</v>
      </c>
      <c r="L393">
        <v>0</v>
      </c>
      <c r="M393">
        <v>0</v>
      </c>
      <c r="N393">
        <v>1</v>
      </c>
    </row>
    <row r="394" spans="1:14" x14ac:dyDescent="0.2">
      <c r="A394" t="s">
        <v>3677</v>
      </c>
      <c r="B394">
        <v>711446</v>
      </c>
      <c r="C394">
        <v>2019</v>
      </c>
      <c r="D394" t="s">
        <v>12</v>
      </c>
      <c r="E394" t="s">
        <v>13</v>
      </c>
      <c r="F394">
        <v>0</v>
      </c>
      <c r="G394">
        <v>2</v>
      </c>
      <c r="H394">
        <v>90.263841421736203</v>
      </c>
      <c r="I394" t="b">
        <v>0</v>
      </c>
      <c r="J394">
        <v>0</v>
      </c>
      <c r="K394" t="s">
        <v>26</v>
      </c>
      <c r="L394">
        <v>0</v>
      </c>
      <c r="M394">
        <v>0</v>
      </c>
      <c r="N394">
        <v>1</v>
      </c>
    </row>
    <row r="395" spans="1:14" x14ac:dyDescent="0.2">
      <c r="A395" t="s">
        <v>3678</v>
      </c>
      <c r="B395">
        <v>711447</v>
      </c>
      <c r="C395">
        <v>2019</v>
      </c>
      <c r="D395" t="s">
        <v>22</v>
      </c>
      <c r="E395" t="s">
        <v>13</v>
      </c>
      <c r="F395">
        <v>0</v>
      </c>
      <c r="G395">
        <v>2</v>
      </c>
      <c r="H395">
        <v>90.739576213260406</v>
      </c>
      <c r="I395" t="b">
        <v>0</v>
      </c>
      <c r="J395">
        <v>0</v>
      </c>
      <c r="K395" t="s">
        <v>26</v>
      </c>
      <c r="L395">
        <v>0</v>
      </c>
      <c r="M395">
        <v>0</v>
      </c>
      <c r="N395">
        <v>0</v>
      </c>
    </row>
    <row r="396" spans="1:14" x14ac:dyDescent="0.2">
      <c r="A396" t="s">
        <v>3679</v>
      </c>
      <c r="B396">
        <v>711482</v>
      </c>
      <c r="C396">
        <v>2019</v>
      </c>
      <c r="D396" t="s">
        <v>21</v>
      </c>
      <c r="E396" t="s">
        <v>13</v>
      </c>
      <c r="F396">
        <v>0</v>
      </c>
      <c r="G396">
        <v>2</v>
      </c>
      <c r="H396">
        <v>70.564593301435394</v>
      </c>
      <c r="I396" t="b">
        <v>0</v>
      </c>
      <c r="J396">
        <v>0</v>
      </c>
      <c r="K396" t="s">
        <v>26</v>
      </c>
      <c r="L396">
        <v>1</v>
      </c>
      <c r="M396">
        <v>0</v>
      </c>
      <c r="N396">
        <v>0</v>
      </c>
    </row>
    <row r="397" spans="1:14" x14ac:dyDescent="0.2">
      <c r="A397" t="s">
        <v>3680</v>
      </c>
      <c r="B397">
        <v>711531</v>
      </c>
      <c r="C397">
        <v>2019</v>
      </c>
      <c r="D397" t="s">
        <v>20</v>
      </c>
      <c r="E397" t="s">
        <v>13</v>
      </c>
      <c r="F397">
        <v>0</v>
      </c>
      <c r="G397">
        <v>1</v>
      </c>
      <c r="H397">
        <v>52.158578263841399</v>
      </c>
      <c r="I397" t="b">
        <v>0</v>
      </c>
      <c r="J397">
        <v>1</v>
      </c>
      <c r="K397" t="s">
        <v>26</v>
      </c>
      <c r="L397">
        <v>1</v>
      </c>
      <c r="M397">
        <v>0</v>
      </c>
      <c r="N397">
        <v>0</v>
      </c>
    </row>
    <row r="398" spans="1:14" x14ac:dyDescent="0.2">
      <c r="A398" t="s">
        <v>3681</v>
      </c>
      <c r="B398">
        <v>711576</v>
      </c>
      <c r="C398">
        <v>2019</v>
      </c>
      <c r="D398" t="s">
        <v>12</v>
      </c>
      <c r="E398" t="s">
        <v>16</v>
      </c>
      <c r="F398">
        <v>0</v>
      </c>
      <c r="G398">
        <v>2</v>
      </c>
      <c r="H398">
        <v>88.008202323991796</v>
      </c>
      <c r="I398" t="b">
        <v>0</v>
      </c>
      <c r="J398">
        <v>0</v>
      </c>
      <c r="K398" t="s">
        <v>26</v>
      </c>
      <c r="L398">
        <v>0</v>
      </c>
      <c r="M398">
        <v>0</v>
      </c>
      <c r="N398">
        <v>0</v>
      </c>
    </row>
    <row r="399" spans="1:14" x14ac:dyDescent="0.2">
      <c r="A399" t="s">
        <v>3682</v>
      </c>
      <c r="B399">
        <v>711588</v>
      </c>
      <c r="C399">
        <v>2019</v>
      </c>
      <c r="D399" t="s">
        <v>19</v>
      </c>
      <c r="E399" t="s">
        <v>16</v>
      </c>
      <c r="F399">
        <v>0</v>
      </c>
      <c r="G399">
        <v>5</v>
      </c>
      <c r="H399">
        <v>86.777853725222101</v>
      </c>
      <c r="I399" t="b">
        <v>0</v>
      </c>
      <c r="J399">
        <v>0</v>
      </c>
      <c r="K399" t="s">
        <v>26</v>
      </c>
      <c r="L399">
        <v>0</v>
      </c>
      <c r="M399">
        <v>0</v>
      </c>
      <c r="N399">
        <v>0</v>
      </c>
    </row>
    <row r="400" spans="1:14" x14ac:dyDescent="0.2">
      <c r="A400" t="s">
        <v>3683</v>
      </c>
      <c r="B400">
        <v>711596</v>
      </c>
      <c r="C400">
        <v>2019</v>
      </c>
      <c r="D400" t="s">
        <v>21</v>
      </c>
      <c r="E400" t="s">
        <v>13</v>
      </c>
      <c r="F400">
        <v>0</v>
      </c>
      <c r="G400">
        <v>1</v>
      </c>
      <c r="H400">
        <v>84.330827067669205</v>
      </c>
      <c r="I400" t="b">
        <v>0</v>
      </c>
      <c r="J400">
        <v>0</v>
      </c>
      <c r="K400" t="s">
        <v>26</v>
      </c>
      <c r="L400">
        <v>0</v>
      </c>
      <c r="M400">
        <v>0</v>
      </c>
      <c r="N400">
        <v>0</v>
      </c>
    </row>
    <row r="401" spans="1:14" x14ac:dyDescent="0.2">
      <c r="A401" t="s">
        <v>3684</v>
      </c>
      <c r="B401">
        <v>711616</v>
      </c>
      <c r="C401">
        <v>2019</v>
      </c>
      <c r="D401" t="s">
        <v>20</v>
      </c>
      <c r="E401" t="s">
        <v>16</v>
      </c>
      <c r="F401">
        <v>1</v>
      </c>
      <c r="G401">
        <v>7</v>
      </c>
      <c r="H401">
        <v>66.217361585782598</v>
      </c>
      <c r="I401" t="b">
        <v>0</v>
      </c>
      <c r="J401">
        <v>0</v>
      </c>
      <c r="K401" t="s">
        <v>26</v>
      </c>
      <c r="L401">
        <v>0</v>
      </c>
      <c r="M401">
        <v>0</v>
      </c>
      <c r="N401">
        <v>0</v>
      </c>
    </row>
    <row r="402" spans="1:14" x14ac:dyDescent="0.2">
      <c r="A402" t="s">
        <v>3685</v>
      </c>
      <c r="B402">
        <v>711648</v>
      </c>
      <c r="C402">
        <v>2019</v>
      </c>
      <c r="D402" t="s">
        <v>17</v>
      </c>
      <c r="E402" t="s">
        <v>13</v>
      </c>
      <c r="F402">
        <v>0</v>
      </c>
      <c r="G402">
        <v>7</v>
      </c>
      <c r="H402">
        <v>63.398496240601503</v>
      </c>
      <c r="I402" t="b">
        <v>0</v>
      </c>
      <c r="J402">
        <v>0</v>
      </c>
      <c r="K402" t="s">
        <v>26</v>
      </c>
      <c r="L402">
        <v>0</v>
      </c>
      <c r="M402">
        <v>1</v>
      </c>
      <c r="N402">
        <v>0</v>
      </c>
    </row>
    <row r="403" spans="1:14" x14ac:dyDescent="0.2">
      <c r="A403" t="s">
        <v>3686</v>
      </c>
      <c r="B403">
        <v>711651</v>
      </c>
      <c r="C403">
        <v>2019</v>
      </c>
      <c r="D403" t="s">
        <v>19</v>
      </c>
      <c r="E403" t="s">
        <v>13</v>
      </c>
      <c r="F403">
        <v>0</v>
      </c>
      <c r="G403">
        <v>2</v>
      </c>
      <c r="H403">
        <v>76.642515379357505</v>
      </c>
      <c r="I403" t="b">
        <v>0</v>
      </c>
      <c r="J403">
        <v>0</v>
      </c>
      <c r="K403" t="s">
        <v>26</v>
      </c>
      <c r="L403">
        <v>0</v>
      </c>
      <c r="M403">
        <v>0</v>
      </c>
      <c r="N403">
        <v>0</v>
      </c>
    </row>
    <row r="404" spans="1:14" x14ac:dyDescent="0.2">
      <c r="A404" t="s">
        <v>3687</v>
      </c>
      <c r="B404">
        <v>711667</v>
      </c>
      <c r="C404">
        <v>2019</v>
      </c>
      <c r="D404" t="s">
        <v>12</v>
      </c>
      <c r="E404" t="s">
        <v>16</v>
      </c>
      <c r="F404">
        <v>0</v>
      </c>
      <c r="G404">
        <v>1</v>
      </c>
      <c r="H404">
        <v>82.406015037594003</v>
      </c>
      <c r="I404" t="b">
        <v>1</v>
      </c>
      <c r="J404">
        <v>0</v>
      </c>
      <c r="K404" t="s">
        <v>26</v>
      </c>
      <c r="L404">
        <v>0</v>
      </c>
      <c r="M404">
        <v>1</v>
      </c>
      <c r="N404">
        <v>0</v>
      </c>
    </row>
    <row r="405" spans="1:14" x14ac:dyDescent="0.2">
      <c r="A405" t="s">
        <v>3688</v>
      </c>
      <c r="B405">
        <v>711686</v>
      </c>
      <c r="C405">
        <v>2019</v>
      </c>
      <c r="D405" t="s">
        <v>23</v>
      </c>
      <c r="E405" t="s">
        <v>13</v>
      </c>
      <c r="F405">
        <v>0</v>
      </c>
      <c r="G405">
        <v>1</v>
      </c>
      <c r="H405">
        <v>86.449760765550195</v>
      </c>
      <c r="I405" t="b">
        <v>0</v>
      </c>
      <c r="J405">
        <v>0</v>
      </c>
      <c r="K405" t="s">
        <v>26</v>
      </c>
      <c r="L405">
        <v>0</v>
      </c>
      <c r="M405">
        <v>0</v>
      </c>
      <c r="N405">
        <v>0</v>
      </c>
    </row>
    <row r="406" spans="1:14" x14ac:dyDescent="0.2">
      <c r="A406" t="s">
        <v>3689</v>
      </c>
      <c r="B406">
        <v>711693</v>
      </c>
      <c r="C406">
        <v>2019</v>
      </c>
      <c r="D406" t="s">
        <v>22</v>
      </c>
      <c r="E406" t="s">
        <v>13</v>
      </c>
      <c r="F406">
        <v>1</v>
      </c>
      <c r="G406">
        <v>2</v>
      </c>
      <c r="H406">
        <v>57.358851674641201</v>
      </c>
      <c r="I406" t="b">
        <v>0</v>
      </c>
      <c r="J406">
        <v>0</v>
      </c>
      <c r="K406" t="s">
        <v>26</v>
      </c>
      <c r="L406">
        <v>0</v>
      </c>
      <c r="M406">
        <v>0</v>
      </c>
      <c r="N406">
        <v>0</v>
      </c>
    </row>
    <row r="407" spans="1:14" x14ac:dyDescent="0.2">
      <c r="A407" t="s">
        <v>3690</v>
      </c>
      <c r="B407">
        <v>711763</v>
      </c>
      <c r="C407">
        <v>2019</v>
      </c>
      <c r="D407" t="s">
        <v>22</v>
      </c>
      <c r="E407" t="s">
        <v>13</v>
      </c>
      <c r="F407">
        <v>0</v>
      </c>
      <c r="G407">
        <v>3</v>
      </c>
      <c r="H407">
        <v>58.786056049213897</v>
      </c>
      <c r="I407" t="b">
        <v>0</v>
      </c>
      <c r="J407">
        <v>0</v>
      </c>
      <c r="K407" t="s">
        <v>26</v>
      </c>
      <c r="L407">
        <v>0</v>
      </c>
      <c r="M407">
        <v>0</v>
      </c>
      <c r="N407">
        <v>0</v>
      </c>
    </row>
    <row r="408" spans="1:14" x14ac:dyDescent="0.2">
      <c r="A408" t="s">
        <v>3691</v>
      </c>
      <c r="B408">
        <v>711854</v>
      </c>
      <c r="C408">
        <v>2019</v>
      </c>
      <c r="D408" t="s">
        <v>20</v>
      </c>
      <c r="E408" t="s">
        <v>16</v>
      </c>
      <c r="F408">
        <v>0</v>
      </c>
      <c r="G408">
        <v>2</v>
      </c>
      <c r="H408">
        <v>71.362952836637007</v>
      </c>
      <c r="I408" t="b">
        <v>0</v>
      </c>
      <c r="J408">
        <v>1</v>
      </c>
      <c r="K408" t="s">
        <v>26</v>
      </c>
      <c r="L408">
        <v>0</v>
      </c>
      <c r="M408">
        <v>0</v>
      </c>
      <c r="N408">
        <v>1</v>
      </c>
    </row>
    <row r="409" spans="1:14" x14ac:dyDescent="0.2">
      <c r="A409" t="s">
        <v>3692</v>
      </c>
      <c r="B409">
        <v>711859</v>
      </c>
      <c r="C409">
        <v>2019</v>
      </c>
      <c r="D409" t="s">
        <v>19</v>
      </c>
      <c r="E409" t="s">
        <v>13</v>
      </c>
      <c r="F409">
        <v>0</v>
      </c>
      <c r="G409">
        <v>1</v>
      </c>
      <c r="H409">
        <v>78.416951469583097</v>
      </c>
      <c r="I409" t="b">
        <v>0</v>
      </c>
      <c r="J409">
        <v>0</v>
      </c>
      <c r="K409" t="s">
        <v>26</v>
      </c>
      <c r="L409">
        <v>0</v>
      </c>
      <c r="M409">
        <v>0</v>
      </c>
      <c r="N409">
        <v>0</v>
      </c>
    </row>
    <row r="410" spans="1:14" x14ac:dyDescent="0.2">
      <c r="A410" t="s">
        <v>3693</v>
      </c>
      <c r="B410">
        <v>711999</v>
      </c>
      <c r="C410">
        <v>2019</v>
      </c>
      <c r="D410" t="s">
        <v>21</v>
      </c>
      <c r="E410" t="s">
        <v>13</v>
      </c>
      <c r="F410">
        <v>0</v>
      </c>
      <c r="G410">
        <v>2</v>
      </c>
      <c r="H410">
        <v>76.095693779904295</v>
      </c>
      <c r="I410" t="b">
        <v>0</v>
      </c>
      <c r="J410">
        <v>1</v>
      </c>
      <c r="K410" t="s">
        <v>26</v>
      </c>
      <c r="L410">
        <v>0</v>
      </c>
      <c r="M410">
        <v>0</v>
      </c>
      <c r="N410">
        <v>0</v>
      </c>
    </row>
    <row r="411" spans="1:14" x14ac:dyDescent="0.2">
      <c r="A411" t="s">
        <v>3694</v>
      </c>
      <c r="B411">
        <v>712034</v>
      </c>
      <c r="C411">
        <v>2019</v>
      </c>
      <c r="D411" t="s">
        <v>12</v>
      </c>
      <c r="E411" t="s">
        <v>16</v>
      </c>
      <c r="F411">
        <v>0</v>
      </c>
      <c r="G411">
        <v>6</v>
      </c>
      <c r="H411">
        <v>63.956254272043701</v>
      </c>
      <c r="I411" t="b">
        <v>0</v>
      </c>
      <c r="J411">
        <v>0</v>
      </c>
      <c r="K411" t="s">
        <v>26</v>
      </c>
      <c r="L411">
        <v>0</v>
      </c>
      <c r="M411">
        <v>0</v>
      </c>
      <c r="N411">
        <v>0</v>
      </c>
    </row>
    <row r="412" spans="1:14" x14ac:dyDescent="0.2">
      <c r="A412" t="s">
        <v>3695</v>
      </c>
      <c r="B412">
        <v>712039</v>
      </c>
      <c r="C412">
        <v>2019</v>
      </c>
      <c r="D412" t="s">
        <v>12</v>
      </c>
      <c r="E412" t="s">
        <v>13</v>
      </c>
      <c r="F412">
        <v>0</v>
      </c>
      <c r="G412">
        <v>2</v>
      </c>
      <c r="H412">
        <v>81.990430622009598</v>
      </c>
      <c r="I412" t="b">
        <v>0</v>
      </c>
      <c r="J412">
        <v>0</v>
      </c>
      <c r="K412" t="s">
        <v>26</v>
      </c>
      <c r="L412">
        <v>0</v>
      </c>
      <c r="M412">
        <v>1</v>
      </c>
      <c r="N412">
        <v>0</v>
      </c>
    </row>
    <row r="413" spans="1:14" x14ac:dyDescent="0.2">
      <c r="A413" t="s">
        <v>3696</v>
      </c>
      <c r="B413">
        <v>712044</v>
      </c>
      <c r="C413">
        <v>2019</v>
      </c>
      <c r="D413" t="s">
        <v>21</v>
      </c>
      <c r="E413" t="s">
        <v>16</v>
      </c>
      <c r="F413">
        <v>0</v>
      </c>
      <c r="G413">
        <v>2</v>
      </c>
      <c r="H413">
        <v>57.864661654135297</v>
      </c>
      <c r="I413" t="b">
        <v>0</v>
      </c>
      <c r="J413">
        <v>0</v>
      </c>
      <c r="K413" t="s">
        <v>26</v>
      </c>
      <c r="L413">
        <v>1</v>
      </c>
      <c r="M413">
        <v>0</v>
      </c>
      <c r="N413">
        <v>0</v>
      </c>
    </row>
    <row r="414" spans="1:14" x14ac:dyDescent="0.2">
      <c r="A414" t="s">
        <v>3697</v>
      </c>
      <c r="B414">
        <v>712088</v>
      </c>
      <c r="C414">
        <v>2019</v>
      </c>
      <c r="D414" t="s">
        <v>17</v>
      </c>
      <c r="E414" t="s">
        <v>13</v>
      </c>
      <c r="F414">
        <v>1</v>
      </c>
      <c r="G414">
        <v>3</v>
      </c>
      <c r="H414">
        <v>70.600136705399905</v>
      </c>
      <c r="I414" t="b">
        <v>0</v>
      </c>
      <c r="J414">
        <v>0</v>
      </c>
      <c r="K414" t="s">
        <v>26</v>
      </c>
      <c r="L414">
        <v>0</v>
      </c>
      <c r="M414">
        <v>0</v>
      </c>
      <c r="N414">
        <v>1</v>
      </c>
    </row>
    <row r="415" spans="1:14" x14ac:dyDescent="0.2">
      <c r="A415" t="s">
        <v>3698</v>
      </c>
      <c r="B415">
        <v>712089</v>
      </c>
      <c r="C415">
        <v>2019</v>
      </c>
      <c r="D415" t="s">
        <v>21</v>
      </c>
      <c r="E415" t="s">
        <v>16</v>
      </c>
      <c r="F415">
        <v>0</v>
      </c>
      <c r="G415">
        <v>7</v>
      </c>
      <c r="H415">
        <v>82.786056049213897</v>
      </c>
      <c r="I415" t="b">
        <v>1</v>
      </c>
      <c r="J415">
        <v>1</v>
      </c>
      <c r="K415" t="s">
        <v>26</v>
      </c>
      <c r="L415">
        <v>0</v>
      </c>
      <c r="M415">
        <v>0</v>
      </c>
      <c r="N415">
        <v>0</v>
      </c>
    </row>
    <row r="416" spans="1:14" x14ac:dyDescent="0.2">
      <c r="A416" t="s">
        <v>3699</v>
      </c>
      <c r="B416">
        <v>712121</v>
      </c>
      <c r="C416">
        <v>2019</v>
      </c>
      <c r="D416" t="s">
        <v>17</v>
      </c>
      <c r="E416" t="s">
        <v>13</v>
      </c>
      <c r="F416">
        <v>1</v>
      </c>
      <c r="G416">
        <v>3</v>
      </c>
      <c r="H416">
        <v>79.833219412166798</v>
      </c>
      <c r="I416" t="b">
        <v>0</v>
      </c>
      <c r="J416">
        <v>0</v>
      </c>
      <c r="K416" t="s">
        <v>26</v>
      </c>
      <c r="L416">
        <v>1</v>
      </c>
      <c r="M416">
        <v>0</v>
      </c>
      <c r="N416">
        <v>0</v>
      </c>
    </row>
    <row r="417" spans="1:14" x14ac:dyDescent="0.2">
      <c r="A417" t="s">
        <v>3700</v>
      </c>
      <c r="B417">
        <v>712130</v>
      </c>
      <c r="C417">
        <v>2019</v>
      </c>
      <c r="D417" t="s">
        <v>20</v>
      </c>
      <c r="E417" t="s">
        <v>13</v>
      </c>
      <c r="F417">
        <v>0</v>
      </c>
      <c r="G417">
        <v>0</v>
      </c>
      <c r="H417">
        <v>58.452494873547501</v>
      </c>
      <c r="I417" t="b">
        <v>1</v>
      </c>
      <c r="J417">
        <v>0</v>
      </c>
      <c r="K417" t="s">
        <v>26</v>
      </c>
      <c r="L417">
        <v>1</v>
      </c>
      <c r="M417">
        <v>0</v>
      </c>
      <c r="N417">
        <v>1</v>
      </c>
    </row>
    <row r="418" spans="1:14" x14ac:dyDescent="0.2">
      <c r="A418" t="s">
        <v>3701</v>
      </c>
      <c r="B418">
        <v>712134</v>
      </c>
      <c r="C418">
        <v>2019</v>
      </c>
      <c r="D418" t="s">
        <v>12</v>
      </c>
      <c r="E418" t="s">
        <v>13</v>
      </c>
      <c r="F418">
        <v>0</v>
      </c>
      <c r="G418">
        <v>0</v>
      </c>
      <c r="H418">
        <v>65.684210526315795</v>
      </c>
      <c r="I418" t="b">
        <v>0</v>
      </c>
      <c r="J418">
        <v>0</v>
      </c>
      <c r="K418" t="s">
        <v>26</v>
      </c>
      <c r="L418">
        <v>0</v>
      </c>
      <c r="M418">
        <v>0</v>
      </c>
      <c r="N418">
        <v>0</v>
      </c>
    </row>
    <row r="419" spans="1:14" x14ac:dyDescent="0.2">
      <c r="A419" t="s">
        <v>3702</v>
      </c>
      <c r="B419">
        <v>712141</v>
      </c>
      <c r="C419">
        <v>2019</v>
      </c>
      <c r="D419" t="s">
        <v>12</v>
      </c>
      <c r="E419" t="s">
        <v>16</v>
      </c>
      <c r="F419">
        <v>0</v>
      </c>
      <c r="G419">
        <v>2</v>
      </c>
      <c r="H419">
        <v>80.817498291182503</v>
      </c>
      <c r="I419" t="b">
        <v>0</v>
      </c>
      <c r="J419">
        <v>0</v>
      </c>
      <c r="K419" t="s">
        <v>26</v>
      </c>
      <c r="L419">
        <v>0</v>
      </c>
      <c r="M419">
        <v>0</v>
      </c>
      <c r="N419">
        <v>1</v>
      </c>
    </row>
    <row r="420" spans="1:14" x14ac:dyDescent="0.2">
      <c r="A420" t="s">
        <v>3703</v>
      </c>
      <c r="B420">
        <v>712158</v>
      </c>
      <c r="C420">
        <v>2019</v>
      </c>
      <c r="D420" t="s">
        <v>12</v>
      </c>
      <c r="E420" t="s">
        <v>13</v>
      </c>
      <c r="F420">
        <v>0</v>
      </c>
      <c r="G420">
        <v>0</v>
      </c>
      <c r="H420">
        <v>81.079972658919999</v>
      </c>
      <c r="I420" t="b">
        <v>1</v>
      </c>
      <c r="J420">
        <v>0</v>
      </c>
      <c r="K420" t="s">
        <v>26</v>
      </c>
      <c r="L420">
        <v>0</v>
      </c>
      <c r="M420">
        <v>1</v>
      </c>
      <c r="N420">
        <v>0</v>
      </c>
    </row>
    <row r="421" spans="1:14" x14ac:dyDescent="0.2">
      <c r="A421" t="s">
        <v>3704</v>
      </c>
      <c r="B421">
        <v>712180</v>
      </c>
      <c r="C421">
        <v>2019</v>
      </c>
      <c r="D421" t="s">
        <v>12</v>
      </c>
      <c r="E421" t="s">
        <v>13</v>
      </c>
      <c r="F421">
        <v>0</v>
      </c>
      <c r="G421">
        <v>0</v>
      </c>
      <c r="H421">
        <v>60.133971291865997</v>
      </c>
      <c r="I421" t="b">
        <v>0</v>
      </c>
      <c r="J421">
        <v>0</v>
      </c>
      <c r="K421" t="s">
        <v>26</v>
      </c>
      <c r="L421">
        <v>0</v>
      </c>
      <c r="M421">
        <v>0</v>
      </c>
      <c r="N421">
        <v>0</v>
      </c>
    </row>
    <row r="422" spans="1:14" x14ac:dyDescent="0.2">
      <c r="A422" t="s">
        <v>3705</v>
      </c>
      <c r="B422">
        <v>712184</v>
      </c>
      <c r="C422">
        <v>2019</v>
      </c>
      <c r="D422" t="s">
        <v>27</v>
      </c>
      <c r="E422" t="s">
        <v>13</v>
      </c>
      <c r="F422">
        <v>1</v>
      </c>
      <c r="G422">
        <v>4</v>
      </c>
      <c r="H422">
        <v>60.322624743677402</v>
      </c>
      <c r="I422" t="b">
        <v>0</v>
      </c>
      <c r="J422">
        <v>0</v>
      </c>
      <c r="K422" t="s">
        <v>26</v>
      </c>
      <c r="L422">
        <v>0</v>
      </c>
      <c r="M422">
        <v>0</v>
      </c>
      <c r="N422">
        <v>1</v>
      </c>
    </row>
    <row r="423" spans="1:14" x14ac:dyDescent="0.2">
      <c r="A423" t="s">
        <v>3706</v>
      </c>
      <c r="B423">
        <v>712215</v>
      </c>
      <c r="C423">
        <v>2019</v>
      </c>
      <c r="D423" t="s">
        <v>17</v>
      </c>
      <c r="E423" t="s">
        <v>13</v>
      </c>
      <c r="F423">
        <v>0</v>
      </c>
      <c r="G423">
        <v>2</v>
      </c>
      <c r="H423">
        <v>61.391660970608299</v>
      </c>
      <c r="I423" t="b">
        <v>0</v>
      </c>
      <c r="J423">
        <v>0</v>
      </c>
      <c r="K423" t="s">
        <v>26</v>
      </c>
      <c r="L423">
        <v>0</v>
      </c>
      <c r="M423">
        <v>0</v>
      </c>
      <c r="N423">
        <v>1</v>
      </c>
    </row>
    <row r="424" spans="1:14" x14ac:dyDescent="0.2">
      <c r="A424" t="s">
        <v>3707</v>
      </c>
      <c r="B424">
        <v>712246</v>
      </c>
      <c r="C424">
        <v>2018</v>
      </c>
      <c r="D424" t="s">
        <v>17</v>
      </c>
      <c r="E424" t="s">
        <v>16</v>
      </c>
      <c r="F424">
        <v>0</v>
      </c>
      <c r="G424">
        <v>0</v>
      </c>
      <c r="H424">
        <v>79.245386192754594</v>
      </c>
      <c r="I424" t="b">
        <v>0</v>
      </c>
      <c r="J424">
        <v>0</v>
      </c>
      <c r="K424" t="s">
        <v>14</v>
      </c>
      <c r="L424">
        <v>0</v>
      </c>
      <c r="M424">
        <v>0</v>
      </c>
      <c r="N424">
        <v>1</v>
      </c>
    </row>
    <row r="425" spans="1:14" x14ac:dyDescent="0.2">
      <c r="A425" t="s">
        <v>3708</v>
      </c>
      <c r="B425">
        <v>712247</v>
      </c>
      <c r="C425">
        <v>2019</v>
      </c>
      <c r="D425" t="s">
        <v>21</v>
      </c>
      <c r="E425" t="s">
        <v>13</v>
      </c>
      <c r="F425">
        <v>0</v>
      </c>
      <c r="G425">
        <v>1</v>
      </c>
      <c r="H425">
        <v>68.664388243335594</v>
      </c>
      <c r="I425" t="b">
        <v>0</v>
      </c>
      <c r="J425">
        <v>0</v>
      </c>
      <c r="K425" t="s">
        <v>26</v>
      </c>
      <c r="L425">
        <v>0</v>
      </c>
      <c r="M425">
        <v>0</v>
      </c>
      <c r="N425">
        <v>1</v>
      </c>
    </row>
    <row r="426" spans="1:14" x14ac:dyDescent="0.2">
      <c r="A426" t="s">
        <v>3709</v>
      </c>
      <c r="B426">
        <v>712249</v>
      </c>
      <c r="C426">
        <v>2019</v>
      </c>
      <c r="D426" t="s">
        <v>20</v>
      </c>
      <c r="E426" t="s">
        <v>13</v>
      </c>
      <c r="F426">
        <v>0</v>
      </c>
      <c r="G426">
        <v>6</v>
      </c>
      <c r="H426">
        <v>70.657552973342405</v>
      </c>
      <c r="I426" t="b">
        <v>1</v>
      </c>
      <c r="J426">
        <v>0</v>
      </c>
      <c r="K426" t="s">
        <v>26</v>
      </c>
      <c r="L426">
        <v>0</v>
      </c>
      <c r="M426">
        <v>0</v>
      </c>
      <c r="N426">
        <v>1</v>
      </c>
    </row>
    <row r="427" spans="1:14" x14ac:dyDescent="0.2">
      <c r="A427" t="s">
        <v>3710</v>
      </c>
      <c r="B427">
        <v>712250</v>
      </c>
      <c r="C427">
        <v>2019</v>
      </c>
      <c r="D427" t="s">
        <v>24</v>
      </c>
      <c r="E427" t="s">
        <v>16</v>
      </c>
      <c r="F427">
        <v>0</v>
      </c>
      <c r="G427">
        <v>2</v>
      </c>
      <c r="H427">
        <v>61.167464114832498</v>
      </c>
      <c r="I427" t="b">
        <v>0</v>
      </c>
      <c r="J427">
        <v>0</v>
      </c>
      <c r="K427" t="s">
        <v>26</v>
      </c>
      <c r="L427">
        <v>0</v>
      </c>
      <c r="M427">
        <v>0</v>
      </c>
      <c r="N427">
        <v>0</v>
      </c>
    </row>
    <row r="428" spans="1:14" x14ac:dyDescent="0.2">
      <c r="A428" t="s">
        <v>3711</v>
      </c>
      <c r="B428">
        <v>712311</v>
      </c>
      <c r="C428">
        <v>2019</v>
      </c>
      <c r="D428" t="s">
        <v>21</v>
      </c>
      <c r="E428" t="s">
        <v>13</v>
      </c>
      <c r="F428">
        <v>0</v>
      </c>
      <c r="G428">
        <v>0</v>
      </c>
      <c r="H428">
        <v>75.269993164729996</v>
      </c>
      <c r="I428" t="b">
        <v>0</v>
      </c>
      <c r="J428">
        <v>1</v>
      </c>
      <c r="K428" t="s">
        <v>26</v>
      </c>
      <c r="L428">
        <v>0</v>
      </c>
      <c r="M428">
        <v>0</v>
      </c>
      <c r="N428">
        <v>0</v>
      </c>
    </row>
    <row r="429" spans="1:14" x14ac:dyDescent="0.2">
      <c r="A429" t="s">
        <v>3712</v>
      </c>
      <c r="B429">
        <v>712407</v>
      </c>
      <c r="C429">
        <v>2019</v>
      </c>
      <c r="D429" t="s">
        <v>23</v>
      </c>
      <c r="E429" t="s">
        <v>13</v>
      </c>
      <c r="F429">
        <v>0</v>
      </c>
      <c r="G429">
        <v>0</v>
      </c>
      <c r="H429">
        <v>63.420369104579599</v>
      </c>
      <c r="I429" t="b">
        <v>0</v>
      </c>
      <c r="J429">
        <v>0</v>
      </c>
      <c r="K429" t="s">
        <v>26</v>
      </c>
      <c r="L429">
        <v>1</v>
      </c>
      <c r="M429">
        <v>0</v>
      </c>
      <c r="N429">
        <v>0</v>
      </c>
    </row>
    <row r="430" spans="1:14" x14ac:dyDescent="0.2">
      <c r="A430" t="s">
        <v>3713</v>
      </c>
      <c r="B430">
        <v>712425</v>
      </c>
      <c r="C430">
        <v>2019</v>
      </c>
      <c r="D430" t="s">
        <v>12</v>
      </c>
      <c r="E430" t="s">
        <v>13</v>
      </c>
      <c r="F430">
        <v>0</v>
      </c>
      <c r="G430">
        <v>0</v>
      </c>
      <c r="H430">
        <v>26.805194805194802</v>
      </c>
      <c r="I430" t="b">
        <v>0</v>
      </c>
      <c r="J430">
        <v>0</v>
      </c>
      <c r="K430" t="s">
        <v>26</v>
      </c>
      <c r="L430">
        <v>0</v>
      </c>
      <c r="M430">
        <v>0</v>
      </c>
      <c r="N430">
        <v>0</v>
      </c>
    </row>
    <row r="431" spans="1:14" x14ac:dyDescent="0.2">
      <c r="A431" t="s">
        <v>3714</v>
      </c>
      <c r="B431">
        <v>712426</v>
      </c>
      <c r="C431">
        <v>2019</v>
      </c>
      <c r="D431" t="s">
        <v>12</v>
      </c>
      <c r="E431" t="s">
        <v>13</v>
      </c>
      <c r="F431">
        <v>0</v>
      </c>
      <c r="G431">
        <v>0</v>
      </c>
      <c r="H431">
        <v>36.404647983595403</v>
      </c>
      <c r="I431" t="b">
        <v>1</v>
      </c>
      <c r="J431">
        <v>0</v>
      </c>
      <c r="K431" t="s">
        <v>26</v>
      </c>
      <c r="L431">
        <v>0</v>
      </c>
      <c r="M431">
        <v>0</v>
      </c>
      <c r="N431">
        <v>0</v>
      </c>
    </row>
    <row r="432" spans="1:14" x14ac:dyDescent="0.2">
      <c r="A432" t="s">
        <v>3715</v>
      </c>
      <c r="B432">
        <v>712431</v>
      </c>
      <c r="C432">
        <v>2019</v>
      </c>
      <c r="D432" t="s">
        <v>21</v>
      </c>
      <c r="E432" t="s">
        <v>13</v>
      </c>
      <c r="F432">
        <v>0</v>
      </c>
      <c r="G432">
        <v>8</v>
      </c>
      <c r="H432">
        <v>63.663704716336298</v>
      </c>
      <c r="I432" t="b">
        <v>0</v>
      </c>
      <c r="J432">
        <v>0</v>
      </c>
      <c r="K432" t="s">
        <v>14</v>
      </c>
      <c r="L432">
        <v>0</v>
      </c>
      <c r="M432">
        <v>0</v>
      </c>
      <c r="N432">
        <v>0</v>
      </c>
    </row>
    <row r="433" spans="1:14" x14ac:dyDescent="0.2">
      <c r="A433" t="s">
        <v>3716</v>
      </c>
      <c r="B433">
        <v>712585</v>
      </c>
      <c r="C433">
        <v>2018</v>
      </c>
      <c r="D433" t="s">
        <v>12</v>
      </c>
      <c r="E433" t="s">
        <v>13</v>
      </c>
      <c r="F433">
        <v>0</v>
      </c>
      <c r="G433">
        <v>3</v>
      </c>
      <c r="H433">
        <v>61.654135338345903</v>
      </c>
      <c r="I433" t="b">
        <v>1</v>
      </c>
      <c r="J433">
        <v>0</v>
      </c>
      <c r="K433" t="s">
        <v>26</v>
      </c>
      <c r="L433">
        <v>1</v>
      </c>
      <c r="M433">
        <v>0</v>
      </c>
      <c r="N433">
        <v>0</v>
      </c>
    </row>
    <row r="434" spans="1:14" x14ac:dyDescent="0.2">
      <c r="A434" t="s">
        <v>3717</v>
      </c>
      <c r="B434">
        <v>712663</v>
      </c>
      <c r="C434">
        <v>2019</v>
      </c>
      <c r="D434" t="s">
        <v>12</v>
      </c>
      <c r="E434" t="s">
        <v>13</v>
      </c>
      <c r="F434">
        <v>0</v>
      </c>
      <c r="G434">
        <v>3</v>
      </c>
      <c r="H434">
        <v>89.654135338345895</v>
      </c>
      <c r="I434" t="b">
        <v>1</v>
      </c>
      <c r="J434">
        <v>1</v>
      </c>
      <c r="K434" t="s">
        <v>26</v>
      </c>
      <c r="L434">
        <v>0</v>
      </c>
      <c r="M434">
        <v>1</v>
      </c>
      <c r="N434">
        <v>0</v>
      </c>
    </row>
    <row r="435" spans="1:14" x14ac:dyDescent="0.2">
      <c r="A435" t="s">
        <v>3718</v>
      </c>
      <c r="B435">
        <v>712679</v>
      </c>
      <c r="C435">
        <v>2019</v>
      </c>
      <c r="D435" t="s">
        <v>12</v>
      </c>
      <c r="E435" t="s">
        <v>13</v>
      </c>
      <c r="F435">
        <v>0</v>
      </c>
      <c r="G435">
        <v>3</v>
      </c>
      <c r="H435">
        <v>76.434723171565295</v>
      </c>
      <c r="I435" t="b">
        <v>0</v>
      </c>
      <c r="J435">
        <v>0</v>
      </c>
      <c r="K435" t="s">
        <v>26</v>
      </c>
      <c r="L435">
        <v>0</v>
      </c>
      <c r="M435">
        <v>0</v>
      </c>
      <c r="N435">
        <v>0</v>
      </c>
    </row>
    <row r="436" spans="1:14" x14ac:dyDescent="0.2">
      <c r="A436" t="s">
        <v>3719</v>
      </c>
      <c r="B436">
        <v>712695</v>
      </c>
      <c r="C436">
        <v>2019</v>
      </c>
      <c r="D436" t="s">
        <v>17</v>
      </c>
      <c r="E436" t="s">
        <v>13</v>
      </c>
      <c r="F436">
        <v>0</v>
      </c>
      <c r="G436">
        <v>2</v>
      </c>
      <c r="H436">
        <v>77.224880382775098</v>
      </c>
      <c r="I436" t="b">
        <v>0</v>
      </c>
      <c r="J436">
        <v>0</v>
      </c>
      <c r="K436" t="s">
        <v>26</v>
      </c>
      <c r="L436">
        <v>1</v>
      </c>
      <c r="M436">
        <v>1</v>
      </c>
      <c r="N436">
        <v>0</v>
      </c>
    </row>
    <row r="437" spans="1:14" x14ac:dyDescent="0.2">
      <c r="A437" t="s">
        <v>3720</v>
      </c>
      <c r="B437">
        <v>712814</v>
      </c>
      <c r="C437">
        <v>2018</v>
      </c>
      <c r="D437" t="s">
        <v>12</v>
      </c>
      <c r="E437" t="s">
        <v>13</v>
      </c>
      <c r="F437">
        <v>0</v>
      </c>
      <c r="G437">
        <v>0</v>
      </c>
      <c r="H437">
        <v>85.298701298701303</v>
      </c>
      <c r="I437" t="b">
        <v>1</v>
      </c>
      <c r="J437">
        <v>0</v>
      </c>
      <c r="K437" t="s">
        <v>14</v>
      </c>
      <c r="L437">
        <v>0</v>
      </c>
      <c r="M437">
        <v>0</v>
      </c>
      <c r="N437">
        <v>0</v>
      </c>
    </row>
    <row r="438" spans="1:14" x14ac:dyDescent="0.2">
      <c r="A438" t="s">
        <v>3721</v>
      </c>
      <c r="B438">
        <v>712829</v>
      </c>
      <c r="C438">
        <v>2019</v>
      </c>
      <c r="D438" t="s">
        <v>12</v>
      </c>
      <c r="E438" t="s">
        <v>13</v>
      </c>
      <c r="F438">
        <v>0</v>
      </c>
      <c r="G438">
        <v>7</v>
      </c>
      <c r="H438">
        <v>77.585782638414202</v>
      </c>
      <c r="I438" t="b">
        <v>0</v>
      </c>
      <c r="J438">
        <v>0</v>
      </c>
      <c r="K438" t="s">
        <v>26</v>
      </c>
      <c r="L438">
        <v>1</v>
      </c>
      <c r="M438">
        <v>0</v>
      </c>
      <c r="N438">
        <v>1</v>
      </c>
    </row>
    <row r="439" spans="1:14" x14ac:dyDescent="0.2">
      <c r="A439" t="s">
        <v>3722</v>
      </c>
      <c r="B439">
        <v>712985</v>
      </c>
      <c r="C439">
        <v>2019</v>
      </c>
      <c r="D439" t="s">
        <v>24</v>
      </c>
      <c r="E439" t="s">
        <v>13</v>
      </c>
      <c r="F439">
        <v>0</v>
      </c>
      <c r="G439">
        <v>3</v>
      </c>
      <c r="H439">
        <v>84.451127819548901</v>
      </c>
      <c r="I439" t="b">
        <v>0</v>
      </c>
      <c r="J439">
        <v>0</v>
      </c>
      <c r="K439" t="s">
        <v>26</v>
      </c>
      <c r="L439">
        <v>1</v>
      </c>
      <c r="M439">
        <v>0</v>
      </c>
      <c r="N439">
        <v>0</v>
      </c>
    </row>
    <row r="440" spans="1:14" x14ac:dyDescent="0.2">
      <c r="A440" t="s">
        <v>3723</v>
      </c>
      <c r="B440">
        <v>713054</v>
      </c>
      <c r="C440">
        <v>2019</v>
      </c>
      <c r="D440" t="s">
        <v>12</v>
      </c>
      <c r="E440" t="s">
        <v>13</v>
      </c>
      <c r="F440">
        <v>0</v>
      </c>
      <c r="G440">
        <v>4</v>
      </c>
      <c r="H440">
        <v>73.640464798359503</v>
      </c>
      <c r="I440" t="b">
        <v>0</v>
      </c>
      <c r="J440">
        <v>0</v>
      </c>
      <c r="K440" t="s">
        <v>26</v>
      </c>
      <c r="L440">
        <v>0</v>
      </c>
      <c r="M440">
        <v>0</v>
      </c>
      <c r="N440">
        <v>1</v>
      </c>
    </row>
    <row r="441" spans="1:14" x14ac:dyDescent="0.2">
      <c r="A441" t="s">
        <v>3724</v>
      </c>
      <c r="B441">
        <v>713126</v>
      </c>
      <c r="C441">
        <v>2019</v>
      </c>
      <c r="D441" t="s">
        <v>12</v>
      </c>
      <c r="E441" t="s">
        <v>16</v>
      </c>
      <c r="F441">
        <v>0</v>
      </c>
      <c r="G441">
        <v>2</v>
      </c>
      <c r="H441">
        <v>86.736842105263193</v>
      </c>
      <c r="I441" t="b">
        <v>0</v>
      </c>
      <c r="J441">
        <v>0</v>
      </c>
      <c r="K441" t="s">
        <v>26</v>
      </c>
      <c r="L441">
        <v>1</v>
      </c>
      <c r="M441">
        <v>0</v>
      </c>
      <c r="N441">
        <v>0</v>
      </c>
    </row>
    <row r="442" spans="1:14" x14ac:dyDescent="0.2">
      <c r="A442" t="s">
        <v>3725</v>
      </c>
      <c r="B442">
        <v>713268</v>
      </c>
      <c r="C442">
        <v>2019</v>
      </c>
      <c r="D442" t="s">
        <v>20</v>
      </c>
      <c r="E442" t="s">
        <v>13</v>
      </c>
      <c r="F442">
        <v>0</v>
      </c>
      <c r="G442">
        <v>0</v>
      </c>
      <c r="H442">
        <v>27.4258373205742</v>
      </c>
      <c r="I442" t="b">
        <v>0</v>
      </c>
      <c r="J442">
        <v>1</v>
      </c>
      <c r="K442" t="s">
        <v>26</v>
      </c>
      <c r="L442">
        <v>0</v>
      </c>
      <c r="M442">
        <v>0</v>
      </c>
      <c r="N442">
        <v>1</v>
      </c>
    </row>
    <row r="443" spans="1:14" x14ac:dyDescent="0.2">
      <c r="A443" t="s">
        <v>3726</v>
      </c>
      <c r="B443">
        <v>713278</v>
      </c>
      <c r="C443">
        <v>2019</v>
      </c>
      <c r="D443" t="s">
        <v>20</v>
      </c>
      <c r="E443" t="s">
        <v>13</v>
      </c>
      <c r="F443">
        <v>0</v>
      </c>
      <c r="G443">
        <v>0</v>
      </c>
      <c r="H443">
        <v>87.505126452494906</v>
      </c>
      <c r="I443" t="b">
        <v>0</v>
      </c>
      <c r="J443">
        <v>0</v>
      </c>
      <c r="K443" t="s">
        <v>26</v>
      </c>
      <c r="L443">
        <v>1</v>
      </c>
      <c r="M443">
        <v>0</v>
      </c>
      <c r="N443">
        <v>0</v>
      </c>
    </row>
    <row r="444" spans="1:14" x14ac:dyDescent="0.2">
      <c r="A444" t="s">
        <v>3727</v>
      </c>
      <c r="B444">
        <v>713283</v>
      </c>
      <c r="C444">
        <v>2019</v>
      </c>
      <c r="D444" t="s">
        <v>24</v>
      </c>
      <c r="E444" t="s">
        <v>13</v>
      </c>
      <c r="F444">
        <v>0</v>
      </c>
      <c r="G444">
        <v>5</v>
      </c>
      <c r="H444">
        <v>77.681476418318496</v>
      </c>
      <c r="I444" t="b">
        <v>0</v>
      </c>
      <c r="J444">
        <v>0</v>
      </c>
      <c r="K444" t="s">
        <v>26</v>
      </c>
      <c r="L444">
        <v>1</v>
      </c>
      <c r="M444">
        <v>0</v>
      </c>
      <c r="N444">
        <v>0</v>
      </c>
    </row>
    <row r="445" spans="1:14" x14ac:dyDescent="0.2">
      <c r="A445" t="s">
        <v>3728</v>
      </c>
      <c r="B445">
        <v>713286</v>
      </c>
      <c r="C445">
        <v>2019</v>
      </c>
      <c r="D445" t="s">
        <v>23</v>
      </c>
      <c r="E445" t="s">
        <v>13</v>
      </c>
      <c r="F445">
        <v>0</v>
      </c>
      <c r="G445">
        <v>1</v>
      </c>
      <c r="H445">
        <v>93.525632262474403</v>
      </c>
      <c r="I445" t="b">
        <v>1</v>
      </c>
      <c r="J445">
        <v>0</v>
      </c>
      <c r="K445" t="s">
        <v>26</v>
      </c>
      <c r="L445">
        <v>0</v>
      </c>
      <c r="M445">
        <v>0</v>
      </c>
      <c r="N445">
        <v>0</v>
      </c>
    </row>
    <row r="446" spans="1:14" x14ac:dyDescent="0.2">
      <c r="A446" t="s">
        <v>3729</v>
      </c>
      <c r="B446">
        <v>713295</v>
      </c>
      <c r="C446">
        <v>2019</v>
      </c>
      <c r="D446" t="s">
        <v>17</v>
      </c>
      <c r="E446" t="s">
        <v>13</v>
      </c>
      <c r="F446">
        <v>0</v>
      </c>
      <c r="G446">
        <v>0</v>
      </c>
      <c r="H446">
        <v>90.870813397129197</v>
      </c>
      <c r="I446" t="b">
        <v>0</v>
      </c>
      <c r="J446">
        <v>0</v>
      </c>
      <c r="K446" t="s">
        <v>26</v>
      </c>
      <c r="L446">
        <v>0</v>
      </c>
      <c r="M446">
        <v>0</v>
      </c>
      <c r="N446">
        <v>0</v>
      </c>
    </row>
    <row r="447" spans="1:14" x14ac:dyDescent="0.2">
      <c r="A447" t="s">
        <v>3730</v>
      </c>
      <c r="B447">
        <v>713310</v>
      </c>
      <c r="C447">
        <v>2019</v>
      </c>
      <c r="D447" t="s">
        <v>12</v>
      </c>
      <c r="E447" t="s">
        <v>16</v>
      </c>
      <c r="F447">
        <v>0</v>
      </c>
      <c r="G447">
        <v>0</v>
      </c>
      <c r="H447">
        <v>90.835269993164701</v>
      </c>
      <c r="I447" t="b">
        <v>0</v>
      </c>
      <c r="J447">
        <v>0</v>
      </c>
      <c r="K447" t="s">
        <v>26</v>
      </c>
      <c r="L447">
        <v>1</v>
      </c>
      <c r="M447">
        <v>0</v>
      </c>
      <c r="N447">
        <v>1</v>
      </c>
    </row>
    <row r="448" spans="1:14" x14ac:dyDescent="0.2">
      <c r="A448" t="s">
        <v>3731</v>
      </c>
      <c r="B448">
        <v>713352</v>
      </c>
      <c r="C448">
        <v>2019</v>
      </c>
      <c r="D448" t="s">
        <v>12</v>
      </c>
      <c r="E448" t="s">
        <v>13</v>
      </c>
      <c r="F448">
        <v>0</v>
      </c>
      <c r="G448">
        <v>4</v>
      </c>
      <c r="H448">
        <v>65.719753930280206</v>
      </c>
      <c r="I448" t="b">
        <v>0</v>
      </c>
      <c r="J448">
        <v>0</v>
      </c>
      <c r="K448" t="s">
        <v>26</v>
      </c>
      <c r="L448">
        <v>0</v>
      </c>
      <c r="M448">
        <v>0</v>
      </c>
      <c r="N448">
        <v>0</v>
      </c>
    </row>
    <row r="449" spans="1:14" x14ac:dyDescent="0.2">
      <c r="A449" t="s">
        <v>3732</v>
      </c>
      <c r="B449">
        <v>713384</v>
      </c>
      <c r="C449">
        <v>2019</v>
      </c>
      <c r="D449" t="s">
        <v>17</v>
      </c>
      <c r="E449" t="s">
        <v>13</v>
      </c>
      <c r="F449">
        <v>0</v>
      </c>
      <c r="G449">
        <v>2</v>
      </c>
      <c r="H449">
        <v>73.000683526999296</v>
      </c>
      <c r="I449" t="b">
        <v>0</v>
      </c>
      <c r="J449">
        <v>0</v>
      </c>
      <c r="K449" t="s">
        <v>26</v>
      </c>
      <c r="L449">
        <v>0</v>
      </c>
      <c r="M449">
        <v>0</v>
      </c>
      <c r="N449">
        <v>1</v>
      </c>
    </row>
    <row r="450" spans="1:14" x14ac:dyDescent="0.2">
      <c r="A450" t="s">
        <v>3733</v>
      </c>
      <c r="B450">
        <v>713438</v>
      </c>
      <c r="C450">
        <v>2019</v>
      </c>
      <c r="D450" t="s">
        <v>12</v>
      </c>
      <c r="E450" t="s">
        <v>16</v>
      </c>
      <c r="F450" t="s">
        <v>18</v>
      </c>
      <c r="G450" t="s">
        <v>18</v>
      </c>
      <c r="H450">
        <v>78.477101845522895</v>
      </c>
      <c r="I450" t="b">
        <v>0</v>
      </c>
      <c r="J450">
        <v>0</v>
      </c>
      <c r="K450" t="s">
        <v>26</v>
      </c>
      <c r="L450" t="s">
        <v>18</v>
      </c>
      <c r="M450" t="s">
        <v>18</v>
      </c>
      <c r="N450" t="s">
        <v>18</v>
      </c>
    </row>
    <row r="451" spans="1:14" x14ac:dyDescent="0.2">
      <c r="A451" t="s">
        <v>3734</v>
      </c>
      <c r="B451">
        <v>713522</v>
      </c>
      <c r="C451">
        <v>2019</v>
      </c>
      <c r="D451" t="s">
        <v>12</v>
      </c>
      <c r="E451" t="s">
        <v>13</v>
      </c>
      <c r="F451">
        <v>0</v>
      </c>
      <c r="G451">
        <v>7</v>
      </c>
      <c r="H451">
        <v>70.2693096377307</v>
      </c>
      <c r="I451" t="b">
        <v>0</v>
      </c>
      <c r="J451">
        <v>0</v>
      </c>
      <c r="K451" t="s">
        <v>26</v>
      </c>
      <c r="L451">
        <v>0</v>
      </c>
      <c r="M451">
        <v>0</v>
      </c>
      <c r="N451">
        <v>0</v>
      </c>
    </row>
    <row r="452" spans="1:14" x14ac:dyDescent="0.2">
      <c r="A452" t="s">
        <v>3735</v>
      </c>
      <c r="B452">
        <v>713546</v>
      </c>
      <c r="C452">
        <v>2019</v>
      </c>
      <c r="D452" t="s">
        <v>17</v>
      </c>
      <c r="E452" t="s">
        <v>13</v>
      </c>
      <c r="F452">
        <v>0</v>
      </c>
      <c r="G452">
        <v>2</v>
      </c>
      <c r="H452">
        <v>65.525632262474403</v>
      </c>
      <c r="I452" t="b">
        <v>0</v>
      </c>
      <c r="J452">
        <v>0</v>
      </c>
      <c r="K452" t="s">
        <v>26</v>
      </c>
      <c r="L452">
        <v>0</v>
      </c>
      <c r="M452">
        <v>0</v>
      </c>
      <c r="N452">
        <v>1</v>
      </c>
    </row>
    <row r="453" spans="1:14" x14ac:dyDescent="0.2">
      <c r="A453" t="s">
        <v>3736</v>
      </c>
      <c r="B453">
        <v>713547</v>
      </c>
      <c r="C453">
        <v>2019</v>
      </c>
      <c r="D453" t="s">
        <v>21</v>
      </c>
      <c r="E453" t="s">
        <v>13</v>
      </c>
      <c r="F453">
        <v>0</v>
      </c>
      <c r="G453">
        <v>2</v>
      </c>
      <c r="H453">
        <v>83.781271360218696</v>
      </c>
      <c r="I453" t="b">
        <v>0</v>
      </c>
      <c r="J453">
        <v>0</v>
      </c>
      <c r="K453" t="s">
        <v>26</v>
      </c>
      <c r="L453">
        <v>0</v>
      </c>
      <c r="M453">
        <v>0</v>
      </c>
      <c r="N453">
        <v>1</v>
      </c>
    </row>
    <row r="454" spans="1:14" x14ac:dyDescent="0.2">
      <c r="A454" t="s">
        <v>3737</v>
      </c>
      <c r="B454">
        <v>713629</v>
      </c>
      <c r="C454">
        <v>2019</v>
      </c>
      <c r="D454" t="s">
        <v>12</v>
      </c>
      <c r="E454" t="s">
        <v>13</v>
      </c>
      <c r="F454">
        <v>0</v>
      </c>
      <c r="G454">
        <v>5</v>
      </c>
      <c r="H454">
        <v>62.728639781271397</v>
      </c>
      <c r="I454" t="b">
        <v>0</v>
      </c>
      <c r="J454">
        <v>0</v>
      </c>
      <c r="K454" t="s">
        <v>26</v>
      </c>
      <c r="L454">
        <v>0</v>
      </c>
      <c r="M454">
        <v>0</v>
      </c>
      <c r="N454">
        <v>1</v>
      </c>
    </row>
    <row r="455" spans="1:14" x14ac:dyDescent="0.2">
      <c r="A455" t="s">
        <v>3738</v>
      </c>
      <c r="B455">
        <v>713891</v>
      </c>
      <c r="C455">
        <v>2019</v>
      </c>
      <c r="D455" t="s">
        <v>12</v>
      </c>
      <c r="E455" t="s">
        <v>13</v>
      </c>
      <c r="F455">
        <v>0</v>
      </c>
      <c r="G455">
        <v>1</v>
      </c>
      <c r="H455">
        <v>70.534518113465495</v>
      </c>
      <c r="I455" t="b">
        <v>0</v>
      </c>
      <c r="J455">
        <v>0</v>
      </c>
      <c r="K455" t="s">
        <v>26</v>
      </c>
      <c r="L455">
        <v>0</v>
      </c>
      <c r="M455">
        <v>0</v>
      </c>
      <c r="N455">
        <v>1</v>
      </c>
    </row>
    <row r="456" spans="1:14" x14ac:dyDescent="0.2">
      <c r="A456" t="s">
        <v>3739</v>
      </c>
      <c r="B456">
        <v>713898</v>
      </c>
      <c r="C456">
        <v>2019</v>
      </c>
      <c r="D456" t="s">
        <v>20</v>
      </c>
      <c r="E456" t="s">
        <v>16</v>
      </c>
      <c r="F456">
        <v>1</v>
      </c>
      <c r="G456">
        <v>10</v>
      </c>
      <c r="H456">
        <v>66.332194121667797</v>
      </c>
      <c r="I456" t="b">
        <v>0</v>
      </c>
      <c r="J456">
        <v>0</v>
      </c>
      <c r="K456" t="s">
        <v>26</v>
      </c>
      <c r="L456">
        <v>0</v>
      </c>
      <c r="M456">
        <v>0</v>
      </c>
      <c r="N456">
        <v>0</v>
      </c>
    </row>
    <row r="457" spans="1:14" x14ac:dyDescent="0.2">
      <c r="A457" t="s">
        <v>3740</v>
      </c>
      <c r="B457">
        <v>713916</v>
      </c>
      <c r="C457">
        <v>2019</v>
      </c>
      <c r="D457" t="s">
        <v>20</v>
      </c>
      <c r="E457" t="s">
        <v>13</v>
      </c>
      <c r="F457">
        <v>0</v>
      </c>
      <c r="G457">
        <v>0</v>
      </c>
      <c r="H457">
        <v>31.182501708817501</v>
      </c>
      <c r="I457" t="b">
        <v>0</v>
      </c>
      <c r="J457">
        <v>0</v>
      </c>
      <c r="K457" t="s">
        <v>26</v>
      </c>
      <c r="L457">
        <v>0</v>
      </c>
      <c r="M457">
        <v>0</v>
      </c>
      <c r="N457">
        <v>0</v>
      </c>
    </row>
    <row r="458" spans="1:14" x14ac:dyDescent="0.2">
      <c r="A458" t="s">
        <v>3741</v>
      </c>
      <c r="B458">
        <v>713941</v>
      </c>
      <c r="C458">
        <v>2019</v>
      </c>
      <c r="D458" t="s">
        <v>22</v>
      </c>
      <c r="E458" t="s">
        <v>13</v>
      </c>
      <c r="F458">
        <v>0</v>
      </c>
      <c r="G458">
        <v>2</v>
      </c>
      <c r="H458">
        <v>88.161312371838704</v>
      </c>
      <c r="I458" t="b">
        <v>0</v>
      </c>
      <c r="J458">
        <v>0</v>
      </c>
      <c r="K458" t="s">
        <v>26</v>
      </c>
      <c r="L458">
        <v>1</v>
      </c>
      <c r="M458">
        <v>0</v>
      </c>
      <c r="N458">
        <v>0</v>
      </c>
    </row>
    <row r="459" spans="1:14" x14ac:dyDescent="0.2">
      <c r="A459" t="s">
        <v>3742</v>
      </c>
      <c r="B459">
        <v>713945</v>
      </c>
      <c r="C459">
        <v>2019</v>
      </c>
      <c r="D459" t="s">
        <v>12</v>
      </c>
      <c r="E459" t="s">
        <v>13</v>
      </c>
      <c r="F459">
        <v>0</v>
      </c>
      <c r="G459">
        <v>0</v>
      </c>
      <c r="H459">
        <v>20.251537935748502</v>
      </c>
      <c r="I459" t="b">
        <v>0</v>
      </c>
      <c r="J459">
        <v>0</v>
      </c>
      <c r="K459" t="s">
        <v>14</v>
      </c>
      <c r="L459">
        <v>1</v>
      </c>
      <c r="M459">
        <v>0</v>
      </c>
      <c r="N459">
        <v>0</v>
      </c>
    </row>
    <row r="460" spans="1:14" x14ac:dyDescent="0.2">
      <c r="A460" t="s">
        <v>3743</v>
      </c>
      <c r="B460">
        <v>713947</v>
      </c>
      <c r="C460">
        <v>2019</v>
      </c>
      <c r="D460" t="s">
        <v>12</v>
      </c>
      <c r="E460" t="s">
        <v>16</v>
      </c>
      <c r="F460">
        <v>0</v>
      </c>
      <c r="G460">
        <v>0</v>
      </c>
      <c r="H460">
        <v>74.802460697197503</v>
      </c>
      <c r="I460" t="b">
        <v>0</v>
      </c>
      <c r="J460">
        <v>0</v>
      </c>
      <c r="K460" t="s">
        <v>26</v>
      </c>
      <c r="L460">
        <v>1</v>
      </c>
      <c r="M460">
        <v>0</v>
      </c>
      <c r="N460">
        <v>0</v>
      </c>
    </row>
    <row r="461" spans="1:14" x14ac:dyDescent="0.2">
      <c r="A461" t="s">
        <v>3744</v>
      </c>
      <c r="B461">
        <v>713971</v>
      </c>
      <c r="C461">
        <v>2019</v>
      </c>
      <c r="D461" t="s">
        <v>20</v>
      </c>
      <c r="E461" t="s">
        <v>13</v>
      </c>
      <c r="F461">
        <v>0</v>
      </c>
      <c r="G461">
        <v>1</v>
      </c>
      <c r="H461">
        <v>76.959671907040303</v>
      </c>
      <c r="I461" t="b">
        <v>0</v>
      </c>
      <c r="J461">
        <v>0</v>
      </c>
      <c r="K461" t="s">
        <v>14</v>
      </c>
      <c r="L461">
        <v>0</v>
      </c>
      <c r="M461">
        <v>0</v>
      </c>
      <c r="N461">
        <v>1</v>
      </c>
    </row>
    <row r="462" spans="1:14" x14ac:dyDescent="0.2">
      <c r="A462" t="s">
        <v>3745</v>
      </c>
      <c r="B462">
        <v>713988</v>
      </c>
      <c r="C462">
        <v>2019</v>
      </c>
      <c r="D462" t="s">
        <v>12</v>
      </c>
      <c r="E462" t="s">
        <v>16</v>
      </c>
      <c r="F462">
        <v>0</v>
      </c>
      <c r="G462">
        <v>2</v>
      </c>
      <c r="H462">
        <v>93.306903622693099</v>
      </c>
      <c r="I462" t="b">
        <v>1</v>
      </c>
      <c r="J462">
        <v>0</v>
      </c>
      <c r="K462" t="s">
        <v>26</v>
      </c>
      <c r="L462">
        <v>0</v>
      </c>
      <c r="M462">
        <v>1</v>
      </c>
      <c r="N462">
        <v>0</v>
      </c>
    </row>
    <row r="463" spans="1:14" x14ac:dyDescent="0.2">
      <c r="A463" t="s">
        <v>3746</v>
      </c>
      <c r="B463">
        <v>713998</v>
      </c>
      <c r="C463">
        <v>2019</v>
      </c>
      <c r="D463" t="s">
        <v>21</v>
      </c>
      <c r="E463" t="s">
        <v>13</v>
      </c>
      <c r="F463">
        <v>0</v>
      </c>
      <c r="G463">
        <v>1</v>
      </c>
      <c r="H463">
        <v>84.749145591250894</v>
      </c>
      <c r="I463" t="b">
        <v>0</v>
      </c>
      <c r="J463">
        <v>0</v>
      </c>
      <c r="K463" t="s">
        <v>26</v>
      </c>
      <c r="L463">
        <v>0</v>
      </c>
      <c r="M463">
        <v>0</v>
      </c>
      <c r="N463">
        <v>0</v>
      </c>
    </row>
    <row r="464" spans="1:14" x14ac:dyDescent="0.2">
      <c r="A464" t="s">
        <v>3747</v>
      </c>
      <c r="B464">
        <v>714011</v>
      </c>
      <c r="C464">
        <v>2019</v>
      </c>
      <c r="D464" t="s">
        <v>12</v>
      </c>
      <c r="E464" t="s">
        <v>13</v>
      </c>
      <c r="F464">
        <v>0</v>
      </c>
      <c r="G464">
        <v>2</v>
      </c>
      <c r="H464">
        <v>50.892686261107301</v>
      </c>
      <c r="I464" t="b">
        <v>0</v>
      </c>
      <c r="J464">
        <v>0</v>
      </c>
      <c r="K464" t="s">
        <v>26</v>
      </c>
      <c r="L464">
        <v>1</v>
      </c>
      <c r="M464">
        <v>0</v>
      </c>
      <c r="N464">
        <v>0</v>
      </c>
    </row>
    <row r="465" spans="1:14" x14ac:dyDescent="0.2">
      <c r="A465" t="s">
        <v>3748</v>
      </c>
      <c r="B465">
        <v>714052</v>
      </c>
      <c r="C465">
        <v>2019</v>
      </c>
      <c r="D465" t="s">
        <v>12</v>
      </c>
      <c r="E465" t="s">
        <v>13</v>
      </c>
      <c r="F465">
        <v>0</v>
      </c>
      <c r="G465">
        <v>3</v>
      </c>
      <c r="H465">
        <v>84.806561859193394</v>
      </c>
      <c r="I465" t="b">
        <v>1</v>
      </c>
      <c r="J465">
        <v>0</v>
      </c>
      <c r="K465" t="s">
        <v>26</v>
      </c>
      <c r="L465">
        <v>1</v>
      </c>
      <c r="M465">
        <v>0</v>
      </c>
      <c r="N465">
        <v>0</v>
      </c>
    </row>
    <row r="466" spans="1:14" x14ac:dyDescent="0.2">
      <c r="A466" t="s">
        <v>3749</v>
      </c>
      <c r="B466">
        <v>714066</v>
      </c>
      <c r="C466">
        <v>2019</v>
      </c>
      <c r="D466" t="s">
        <v>21</v>
      </c>
      <c r="E466" t="s">
        <v>13</v>
      </c>
      <c r="F466">
        <v>0</v>
      </c>
      <c r="G466">
        <v>3</v>
      </c>
      <c r="H466">
        <v>73.203007518796994</v>
      </c>
      <c r="I466" t="b">
        <v>0</v>
      </c>
      <c r="J466">
        <v>1</v>
      </c>
      <c r="K466" t="s">
        <v>26</v>
      </c>
      <c r="L466">
        <v>0</v>
      </c>
      <c r="M466">
        <v>0</v>
      </c>
      <c r="N466">
        <v>0</v>
      </c>
    </row>
    <row r="467" spans="1:14" x14ac:dyDescent="0.2">
      <c r="A467" t="s">
        <v>3750</v>
      </c>
      <c r="B467">
        <v>714130</v>
      </c>
      <c r="C467">
        <v>2019</v>
      </c>
      <c r="D467" t="s">
        <v>12</v>
      </c>
      <c r="E467" t="s">
        <v>13</v>
      </c>
      <c r="F467">
        <v>0</v>
      </c>
      <c r="G467">
        <v>0</v>
      </c>
      <c r="H467">
        <v>74.794258373205693</v>
      </c>
      <c r="I467" t="b">
        <v>0</v>
      </c>
      <c r="J467">
        <v>0</v>
      </c>
      <c r="K467" t="s">
        <v>26</v>
      </c>
      <c r="L467">
        <v>0</v>
      </c>
      <c r="M467">
        <v>0</v>
      </c>
      <c r="N467">
        <v>1</v>
      </c>
    </row>
    <row r="468" spans="1:14" x14ac:dyDescent="0.2">
      <c r="A468" t="s">
        <v>3751</v>
      </c>
      <c r="B468">
        <v>714135</v>
      </c>
      <c r="C468">
        <v>2019</v>
      </c>
      <c r="D468" t="s">
        <v>20</v>
      </c>
      <c r="E468" t="s">
        <v>13</v>
      </c>
      <c r="F468">
        <v>0</v>
      </c>
      <c r="G468">
        <v>8</v>
      </c>
      <c r="H468">
        <v>71.100478468899496</v>
      </c>
      <c r="I468" t="b">
        <v>1</v>
      </c>
      <c r="J468">
        <v>1</v>
      </c>
      <c r="K468" t="s">
        <v>26</v>
      </c>
      <c r="L468">
        <v>1</v>
      </c>
      <c r="M468">
        <v>0</v>
      </c>
      <c r="N468">
        <v>0</v>
      </c>
    </row>
    <row r="469" spans="1:14" x14ac:dyDescent="0.2">
      <c r="A469" t="s">
        <v>3752</v>
      </c>
      <c r="B469">
        <v>714136</v>
      </c>
      <c r="C469">
        <v>2019</v>
      </c>
      <c r="D469" t="s">
        <v>15</v>
      </c>
      <c r="E469" t="s">
        <v>13</v>
      </c>
      <c r="F469">
        <v>0</v>
      </c>
      <c r="G469">
        <v>6</v>
      </c>
      <c r="H469">
        <v>65.323308270676705</v>
      </c>
      <c r="I469" t="b">
        <v>0</v>
      </c>
      <c r="J469">
        <v>1</v>
      </c>
      <c r="K469" t="s">
        <v>26</v>
      </c>
      <c r="L469">
        <v>0</v>
      </c>
      <c r="M469">
        <v>0</v>
      </c>
      <c r="N469">
        <v>0</v>
      </c>
    </row>
    <row r="470" spans="1:14" x14ac:dyDescent="0.2">
      <c r="A470" t="s">
        <v>3753</v>
      </c>
      <c r="B470">
        <v>714139</v>
      </c>
      <c r="C470">
        <v>2019</v>
      </c>
      <c r="D470" t="s">
        <v>12</v>
      </c>
      <c r="E470" t="s">
        <v>13</v>
      </c>
      <c r="F470">
        <v>0</v>
      </c>
      <c r="G470">
        <v>1</v>
      </c>
      <c r="H470">
        <v>68.792891319207101</v>
      </c>
      <c r="I470" t="b">
        <v>0</v>
      </c>
      <c r="J470">
        <v>0</v>
      </c>
      <c r="K470" t="s">
        <v>26</v>
      </c>
      <c r="L470">
        <v>0</v>
      </c>
      <c r="M470">
        <v>0</v>
      </c>
      <c r="N470">
        <v>0</v>
      </c>
    </row>
    <row r="471" spans="1:14" x14ac:dyDescent="0.2">
      <c r="A471" t="s">
        <v>3754</v>
      </c>
      <c r="B471">
        <v>714142</v>
      </c>
      <c r="C471">
        <v>2019</v>
      </c>
      <c r="D471" t="s">
        <v>12</v>
      </c>
      <c r="E471" t="s">
        <v>13</v>
      </c>
      <c r="F471">
        <v>0</v>
      </c>
      <c r="G471">
        <v>6</v>
      </c>
      <c r="H471">
        <v>68.970608339029397</v>
      </c>
      <c r="I471" t="b">
        <v>0</v>
      </c>
      <c r="J471">
        <v>0</v>
      </c>
      <c r="K471" t="s">
        <v>26</v>
      </c>
      <c r="L471">
        <v>0</v>
      </c>
      <c r="M471">
        <v>0</v>
      </c>
      <c r="N471">
        <v>0</v>
      </c>
    </row>
    <row r="472" spans="1:14" x14ac:dyDescent="0.2">
      <c r="A472" t="s">
        <v>3755</v>
      </c>
      <c r="B472">
        <v>714148</v>
      </c>
      <c r="C472">
        <v>2019</v>
      </c>
      <c r="D472" t="s">
        <v>15</v>
      </c>
      <c r="E472" t="s">
        <v>13</v>
      </c>
      <c r="F472">
        <v>0</v>
      </c>
      <c r="G472">
        <v>0</v>
      </c>
      <c r="H472">
        <v>53.793574846206397</v>
      </c>
      <c r="I472" t="b">
        <v>0</v>
      </c>
      <c r="J472">
        <v>1</v>
      </c>
      <c r="K472" t="s">
        <v>26</v>
      </c>
      <c r="L472">
        <v>0</v>
      </c>
      <c r="M472">
        <v>0</v>
      </c>
      <c r="N472">
        <v>0</v>
      </c>
    </row>
    <row r="473" spans="1:14" x14ac:dyDescent="0.2">
      <c r="A473" t="s">
        <v>3756</v>
      </c>
      <c r="B473">
        <v>714384</v>
      </c>
      <c r="C473">
        <v>2019</v>
      </c>
      <c r="D473" t="s">
        <v>21</v>
      </c>
      <c r="E473" t="s">
        <v>13</v>
      </c>
      <c r="F473">
        <v>0</v>
      </c>
      <c r="G473">
        <v>2</v>
      </c>
      <c r="H473">
        <v>70.739576213260406</v>
      </c>
      <c r="I473" t="b">
        <v>1</v>
      </c>
      <c r="J473">
        <v>1</v>
      </c>
      <c r="K473" t="s">
        <v>26</v>
      </c>
      <c r="L473">
        <v>0</v>
      </c>
      <c r="M473">
        <v>0</v>
      </c>
      <c r="N473">
        <v>1</v>
      </c>
    </row>
    <row r="474" spans="1:14" x14ac:dyDescent="0.2">
      <c r="A474" t="s">
        <v>3757</v>
      </c>
      <c r="B474">
        <v>714402</v>
      </c>
      <c r="C474">
        <v>2019</v>
      </c>
      <c r="D474" t="s">
        <v>12</v>
      </c>
      <c r="E474" t="s">
        <v>13</v>
      </c>
      <c r="F474">
        <v>0</v>
      </c>
      <c r="G474">
        <v>7</v>
      </c>
      <c r="H474">
        <v>73.870129870129901</v>
      </c>
      <c r="I474" t="b">
        <v>1</v>
      </c>
      <c r="J474">
        <v>0</v>
      </c>
      <c r="K474" t="s">
        <v>26</v>
      </c>
      <c r="L474">
        <v>0</v>
      </c>
      <c r="M474">
        <v>0</v>
      </c>
      <c r="N474">
        <v>0</v>
      </c>
    </row>
    <row r="475" spans="1:14" x14ac:dyDescent="0.2">
      <c r="A475" t="s">
        <v>3758</v>
      </c>
      <c r="B475">
        <v>714407</v>
      </c>
      <c r="C475">
        <v>2019</v>
      </c>
      <c r="D475" t="s">
        <v>21</v>
      </c>
      <c r="E475" t="s">
        <v>13</v>
      </c>
      <c r="F475">
        <v>0</v>
      </c>
      <c r="G475">
        <v>2</v>
      </c>
      <c r="H475">
        <v>77.665071770334904</v>
      </c>
      <c r="I475" t="b">
        <v>0</v>
      </c>
      <c r="J475">
        <v>0</v>
      </c>
      <c r="K475" t="s">
        <v>26</v>
      </c>
      <c r="L475">
        <v>0</v>
      </c>
      <c r="M475">
        <v>0</v>
      </c>
      <c r="N475">
        <v>1</v>
      </c>
    </row>
    <row r="476" spans="1:14" x14ac:dyDescent="0.2">
      <c r="A476" t="s">
        <v>3759</v>
      </c>
      <c r="B476">
        <v>714441</v>
      </c>
      <c r="C476">
        <v>2019</v>
      </c>
      <c r="D476" t="s">
        <v>12</v>
      </c>
      <c r="E476" t="s">
        <v>13</v>
      </c>
      <c r="F476">
        <v>0</v>
      </c>
      <c r="G476">
        <v>1</v>
      </c>
      <c r="H476">
        <v>65.807245386192804</v>
      </c>
      <c r="I476" t="b">
        <v>0</v>
      </c>
      <c r="J476">
        <v>0</v>
      </c>
      <c r="K476" t="s">
        <v>26</v>
      </c>
      <c r="L476">
        <v>0</v>
      </c>
      <c r="M476">
        <v>0</v>
      </c>
      <c r="N476">
        <v>0</v>
      </c>
    </row>
    <row r="477" spans="1:14" x14ac:dyDescent="0.2">
      <c r="A477" t="s">
        <v>3760</v>
      </c>
      <c r="B477">
        <v>714478</v>
      </c>
      <c r="C477">
        <v>2019</v>
      </c>
      <c r="D477" t="s">
        <v>12</v>
      </c>
      <c r="E477" t="s">
        <v>13</v>
      </c>
      <c r="F477">
        <v>0</v>
      </c>
      <c r="G477">
        <v>8</v>
      </c>
      <c r="H477">
        <v>70.351332877648701</v>
      </c>
      <c r="I477" t="b">
        <v>1</v>
      </c>
      <c r="J477">
        <v>0</v>
      </c>
      <c r="K477" t="s">
        <v>26</v>
      </c>
      <c r="L477">
        <v>1</v>
      </c>
      <c r="M477">
        <v>1</v>
      </c>
      <c r="N477">
        <v>0</v>
      </c>
    </row>
    <row r="478" spans="1:14" x14ac:dyDescent="0.2">
      <c r="A478" t="s">
        <v>3761</v>
      </c>
      <c r="B478">
        <v>714525</v>
      </c>
      <c r="C478">
        <v>2019</v>
      </c>
      <c r="D478" t="s">
        <v>12</v>
      </c>
      <c r="E478" t="s">
        <v>16</v>
      </c>
      <c r="F478">
        <v>0</v>
      </c>
      <c r="G478">
        <v>4</v>
      </c>
      <c r="H478">
        <v>73.394395078605598</v>
      </c>
      <c r="I478" t="b">
        <v>0</v>
      </c>
      <c r="J478">
        <v>0</v>
      </c>
      <c r="K478" t="s">
        <v>26</v>
      </c>
      <c r="L478">
        <v>1</v>
      </c>
      <c r="M478">
        <v>0</v>
      </c>
      <c r="N478">
        <v>0</v>
      </c>
    </row>
    <row r="479" spans="1:14" x14ac:dyDescent="0.2">
      <c r="A479" t="s">
        <v>3762</v>
      </c>
      <c r="B479">
        <v>714544</v>
      </c>
      <c r="C479">
        <v>2019</v>
      </c>
      <c r="D479" t="s">
        <v>21</v>
      </c>
      <c r="E479" t="s">
        <v>13</v>
      </c>
      <c r="F479">
        <v>0</v>
      </c>
      <c r="G479">
        <v>4</v>
      </c>
      <c r="H479">
        <v>76.587833219412204</v>
      </c>
      <c r="I479" t="b">
        <v>0</v>
      </c>
      <c r="J479">
        <v>1</v>
      </c>
      <c r="K479" t="s">
        <v>26</v>
      </c>
      <c r="L479">
        <v>0</v>
      </c>
      <c r="M479">
        <v>0</v>
      </c>
      <c r="N479">
        <v>0</v>
      </c>
    </row>
    <row r="480" spans="1:14" x14ac:dyDescent="0.2">
      <c r="A480" t="s">
        <v>3763</v>
      </c>
      <c r="B480">
        <v>714545</v>
      </c>
      <c r="C480">
        <v>2019</v>
      </c>
      <c r="D480" t="s">
        <v>20</v>
      </c>
      <c r="E480" t="s">
        <v>13</v>
      </c>
      <c r="F480">
        <v>0</v>
      </c>
      <c r="G480">
        <v>1</v>
      </c>
      <c r="H480">
        <v>94.408749145591301</v>
      </c>
      <c r="I480" t="b">
        <v>0</v>
      </c>
      <c r="J480">
        <v>0</v>
      </c>
      <c r="K480" t="s">
        <v>26</v>
      </c>
      <c r="L480">
        <v>0</v>
      </c>
      <c r="M480">
        <v>0</v>
      </c>
      <c r="N480">
        <v>1</v>
      </c>
    </row>
    <row r="481" spans="1:14" x14ac:dyDescent="0.2">
      <c r="A481" t="s">
        <v>3764</v>
      </c>
      <c r="B481">
        <v>714576</v>
      </c>
      <c r="C481">
        <v>2019</v>
      </c>
      <c r="D481" t="s">
        <v>15</v>
      </c>
      <c r="E481" t="s">
        <v>16</v>
      </c>
      <c r="F481">
        <v>0</v>
      </c>
      <c r="G481">
        <v>0</v>
      </c>
      <c r="H481">
        <v>68.965140123034899</v>
      </c>
      <c r="I481" t="b">
        <v>0</v>
      </c>
      <c r="J481">
        <v>0</v>
      </c>
      <c r="K481" t="s">
        <v>26</v>
      </c>
      <c r="L481">
        <v>0</v>
      </c>
      <c r="M481">
        <v>0</v>
      </c>
      <c r="N481">
        <v>0</v>
      </c>
    </row>
    <row r="482" spans="1:14" x14ac:dyDescent="0.2">
      <c r="A482" t="s">
        <v>3765</v>
      </c>
      <c r="B482">
        <v>714589</v>
      </c>
      <c r="C482">
        <v>2019</v>
      </c>
      <c r="D482" t="s">
        <v>21</v>
      </c>
      <c r="E482" t="s">
        <v>13</v>
      </c>
      <c r="F482">
        <v>0</v>
      </c>
      <c r="G482">
        <v>2</v>
      </c>
      <c r="H482">
        <v>77.593984962405997</v>
      </c>
      <c r="I482" t="b">
        <v>0</v>
      </c>
      <c r="J482">
        <v>0</v>
      </c>
      <c r="K482" t="s">
        <v>26</v>
      </c>
      <c r="L482">
        <v>1</v>
      </c>
      <c r="M482">
        <v>0</v>
      </c>
      <c r="N482">
        <v>0</v>
      </c>
    </row>
    <row r="483" spans="1:14" x14ac:dyDescent="0.2">
      <c r="A483" t="s">
        <v>3766</v>
      </c>
      <c r="B483">
        <v>714590</v>
      </c>
      <c r="C483">
        <v>2019</v>
      </c>
      <c r="D483" t="s">
        <v>12</v>
      </c>
      <c r="E483" t="s">
        <v>13</v>
      </c>
      <c r="F483">
        <v>0</v>
      </c>
      <c r="G483">
        <v>2</v>
      </c>
      <c r="H483">
        <v>79.797676008202302</v>
      </c>
      <c r="I483" t="b">
        <v>0</v>
      </c>
      <c r="J483">
        <v>0</v>
      </c>
      <c r="K483" t="s">
        <v>26</v>
      </c>
      <c r="L483">
        <v>0</v>
      </c>
      <c r="M483">
        <v>0</v>
      </c>
      <c r="N483">
        <v>0</v>
      </c>
    </row>
    <row r="484" spans="1:14" x14ac:dyDescent="0.2">
      <c r="A484" t="s">
        <v>3767</v>
      </c>
      <c r="B484">
        <v>714606</v>
      </c>
      <c r="C484">
        <v>2019</v>
      </c>
      <c r="D484" t="s">
        <v>12</v>
      </c>
      <c r="E484" t="s">
        <v>13</v>
      </c>
      <c r="F484">
        <v>0</v>
      </c>
      <c r="G484">
        <v>1</v>
      </c>
      <c r="H484">
        <v>38.632946001367102</v>
      </c>
      <c r="I484" t="b">
        <v>0</v>
      </c>
      <c r="J484">
        <v>0</v>
      </c>
      <c r="K484" t="s">
        <v>26</v>
      </c>
      <c r="L484">
        <v>1</v>
      </c>
      <c r="M484">
        <v>0</v>
      </c>
      <c r="N484">
        <v>0</v>
      </c>
    </row>
    <row r="485" spans="1:14" x14ac:dyDescent="0.2">
      <c r="A485" t="s">
        <v>3768</v>
      </c>
      <c r="B485">
        <v>714611</v>
      </c>
      <c r="C485">
        <v>2019</v>
      </c>
      <c r="D485" t="s">
        <v>12</v>
      </c>
      <c r="E485" t="s">
        <v>13</v>
      </c>
      <c r="F485">
        <v>0</v>
      </c>
      <c r="G485">
        <v>2</v>
      </c>
      <c r="H485">
        <v>84.869446343130605</v>
      </c>
      <c r="I485" t="b">
        <v>0</v>
      </c>
      <c r="J485">
        <v>0</v>
      </c>
      <c r="K485" t="s">
        <v>26</v>
      </c>
      <c r="L485">
        <v>0</v>
      </c>
      <c r="M485">
        <v>0</v>
      </c>
      <c r="N485">
        <v>0</v>
      </c>
    </row>
    <row r="486" spans="1:14" x14ac:dyDescent="0.2">
      <c r="A486" t="s">
        <v>3769</v>
      </c>
      <c r="B486">
        <v>714618</v>
      </c>
      <c r="C486">
        <v>2019</v>
      </c>
      <c r="D486" t="s">
        <v>21</v>
      </c>
      <c r="E486" t="s">
        <v>16</v>
      </c>
      <c r="F486">
        <v>0</v>
      </c>
      <c r="G486">
        <v>4</v>
      </c>
      <c r="H486">
        <v>85.104579630895401</v>
      </c>
      <c r="I486" t="b">
        <v>0</v>
      </c>
      <c r="J486">
        <v>1</v>
      </c>
      <c r="K486" t="s">
        <v>26</v>
      </c>
      <c r="L486">
        <v>0</v>
      </c>
      <c r="M486">
        <v>0</v>
      </c>
      <c r="N486">
        <v>0</v>
      </c>
    </row>
    <row r="487" spans="1:14" x14ac:dyDescent="0.2">
      <c r="A487" t="s">
        <v>3770</v>
      </c>
      <c r="B487">
        <v>714768</v>
      </c>
      <c r="C487">
        <v>2019</v>
      </c>
      <c r="D487" t="s">
        <v>15</v>
      </c>
      <c r="E487" t="s">
        <v>13</v>
      </c>
      <c r="F487">
        <v>0</v>
      </c>
      <c r="G487">
        <v>2</v>
      </c>
      <c r="H487">
        <v>78.343130553656906</v>
      </c>
      <c r="I487" t="b">
        <v>0</v>
      </c>
      <c r="J487">
        <v>0</v>
      </c>
      <c r="K487" t="s">
        <v>26</v>
      </c>
      <c r="L487">
        <v>0</v>
      </c>
      <c r="M487">
        <v>0</v>
      </c>
      <c r="N487">
        <v>0</v>
      </c>
    </row>
    <row r="488" spans="1:14" x14ac:dyDescent="0.2">
      <c r="A488" t="s">
        <v>3771</v>
      </c>
      <c r="B488">
        <v>714785</v>
      </c>
      <c r="C488">
        <v>2019</v>
      </c>
      <c r="D488" t="s">
        <v>20</v>
      </c>
      <c r="E488" t="s">
        <v>13</v>
      </c>
      <c r="F488">
        <v>0</v>
      </c>
      <c r="G488">
        <v>3</v>
      </c>
      <c r="H488">
        <v>82.695830485304199</v>
      </c>
      <c r="I488" t="b">
        <v>0</v>
      </c>
      <c r="J488">
        <v>0</v>
      </c>
      <c r="K488" t="s">
        <v>26</v>
      </c>
      <c r="L488">
        <v>0</v>
      </c>
      <c r="M488">
        <v>0</v>
      </c>
      <c r="N488">
        <v>1</v>
      </c>
    </row>
    <row r="489" spans="1:14" x14ac:dyDescent="0.2">
      <c r="A489" t="s">
        <v>3772</v>
      </c>
      <c r="B489">
        <v>714799</v>
      </c>
      <c r="C489">
        <v>2019</v>
      </c>
      <c r="D489" t="s">
        <v>12</v>
      </c>
      <c r="E489" t="s">
        <v>16</v>
      </c>
      <c r="F489">
        <v>0</v>
      </c>
      <c r="G489">
        <v>5</v>
      </c>
      <c r="H489">
        <v>72.749145591250894</v>
      </c>
      <c r="I489" t="b">
        <v>0</v>
      </c>
      <c r="J489">
        <v>0</v>
      </c>
      <c r="K489" t="s">
        <v>26</v>
      </c>
      <c r="L489">
        <v>1</v>
      </c>
      <c r="M489">
        <v>0</v>
      </c>
      <c r="N489">
        <v>0</v>
      </c>
    </row>
    <row r="490" spans="1:14" x14ac:dyDescent="0.2">
      <c r="A490" t="s">
        <v>3773</v>
      </c>
      <c r="B490">
        <v>714821</v>
      </c>
      <c r="C490">
        <v>2019</v>
      </c>
      <c r="D490" t="s">
        <v>17</v>
      </c>
      <c r="E490" t="s">
        <v>13</v>
      </c>
      <c r="F490">
        <v>1</v>
      </c>
      <c r="G490">
        <v>2</v>
      </c>
      <c r="H490">
        <v>76.065618591934395</v>
      </c>
      <c r="I490" t="b">
        <v>0</v>
      </c>
      <c r="J490">
        <v>0</v>
      </c>
      <c r="K490" t="s">
        <v>26</v>
      </c>
      <c r="L490">
        <v>1</v>
      </c>
      <c r="M490">
        <v>0</v>
      </c>
      <c r="N490">
        <v>0</v>
      </c>
    </row>
    <row r="491" spans="1:14" x14ac:dyDescent="0.2">
      <c r="A491" t="s">
        <v>3774</v>
      </c>
      <c r="B491">
        <v>714847</v>
      </c>
      <c r="C491">
        <v>2019</v>
      </c>
      <c r="D491" t="s">
        <v>20</v>
      </c>
      <c r="E491" t="s">
        <v>16</v>
      </c>
      <c r="F491">
        <v>1</v>
      </c>
      <c r="G491">
        <v>10</v>
      </c>
      <c r="H491">
        <v>66.370471633629506</v>
      </c>
      <c r="I491" t="b">
        <v>0</v>
      </c>
      <c r="J491">
        <v>0</v>
      </c>
      <c r="K491" t="s">
        <v>26</v>
      </c>
      <c r="L491">
        <v>0</v>
      </c>
      <c r="M491">
        <v>0</v>
      </c>
      <c r="N491">
        <v>0</v>
      </c>
    </row>
    <row r="492" spans="1:14" x14ac:dyDescent="0.2">
      <c r="A492" t="s">
        <v>3775</v>
      </c>
      <c r="B492">
        <v>714853</v>
      </c>
      <c r="C492">
        <v>2019</v>
      </c>
      <c r="D492" t="s">
        <v>17</v>
      </c>
      <c r="E492" t="s">
        <v>16</v>
      </c>
      <c r="F492">
        <v>0</v>
      </c>
      <c r="G492">
        <v>1</v>
      </c>
      <c r="H492">
        <v>77.457279562542695</v>
      </c>
      <c r="I492" t="b">
        <v>0</v>
      </c>
      <c r="J492">
        <v>0</v>
      </c>
      <c r="K492" t="s">
        <v>26</v>
      </c>
      <c r="L492">
        <v>0</v>
      </c>
      <c r="M492">
        <v>0</v>
      </c>
      <c r="N492">
        <v>0</v>
      </c>
    </row>
    <row r="493" spans="1:14" x14ac:dyDescent="0.2">
      <c r="A493" t="s">
        <v>3776</v>
      </c>
      <c r="B493">
        <v>714904</v>
      </c>
      <c r="C493">
        <v>2019</v>
      </c>
      <c r="D493" t="s">
        <v>22</v>
      </c>
      <c r="E493" t="s">
        <v>13</v>
      </c>
      <c r="F493">
        <v>0</v>
      </c>
      <c r="G493">
        <v>2</v>
      </c>
      <c r="H493">
        <v>72.877648667122301</v>
      </c>
      <c r="I493" t="b">
        <v>0</v>
      </c>
      <c r="J493">
        <v>0</v>
      </c>
      <c r="K493" t="s">
        <v>26</v>
      </c>
      <c r="L493">
        <v>1</v>
      </c>
      <c r="M493">
        <v>0</v>
      </c>
      <c r="N493">
        <v>0</v>
      </c>
    </row>
    <row r="494" spans="1:14" x14ac:dyDescent="0.2">
      <c r="A494" t="s">
        <v>3777</v>
      </c>
      <c r="B494">
        <v>714911</v>
      </c>
      <c r="C494">
        <v>2019</v>
      </c>
      <c r="D494" t="s">
        <v>20</v>
      </c>
      <c r="E494" t="s">
        <v>13</v>
      </c>
      <c r="F494">
        <v>0</v>
      </c>
      <c r="G494">
        <v>2</v>
      </c>
      <c r="H494">
        <v>55.5324675324675</v>
      </c>
      <c r="I494" t="b">
        <v>0</v>
      </c>
      <c r="J494">
        <v>0</v>
      </c>
      <c r="K494" t="s">
        <v>26</v>
      </c>
      <c r="L494">
        <v>1</v>
      </c>
      <c r="M494">
        <v>0</v>
      </c>
      <c r="N494">
        <v>0</v>
      </c>
    </row>
    <row r="495" spans="1:14" x14ac:dyDescent="0.2">
      <c r="A495" t="s">
        <v>3778</v>
      </c>
      <c r="B495">
        <v>714954</v>
      </c>
      <c r="C495">
        <v>2019</v>
      </c>
      <c r="D495" t="s">
        <v>12</v>
      </c>
      <c r="E495" t="s">
        <v>16</v>
      </c>
      <c r="F495">
        <v>0</v>
      </c>
      <c r="G495">
        <v>3</v>
      </c>
      <c r="H495">
        <v>91.034859876965101</v>
      </c>
      <c r="I495" t="b">
        <v>0</v>
      </c>
      <c r="J495">
        <v>0</v>
      </c>
      <c r="K495" t="s">
        <v>26</v>
      </c>
      <c r="L495">
        <v>0</v>
      </c>
      <c r="M495">
        <v>1</v>
      </c>
      <c r="N495">
        <v>0</v>
      </c>
    </row>
    <row r="496" spans="1:14" x14ac:dyDescent="0.2">
      <c r="A496" t="s">
        <v>3779</v>
      </c>
      <c r="B496">
        <v>714955</v>
      </c>
      <c r="C496">
        <v>2019</v>
      </c>
      <c r="D496" t="s">
        <v>12</v>
      </c>
      <c r="E496" t="s">
        <v>13</v>
      </c>
      <c r="F496">
        <v>0</v>
      </c>
      <c r="G496">
        <v>2</v>
      </c>
      <c r="H496">
        <v>60.716336295283703</v>
      </c>
      <c r="I496" t="b">
        <v>1</v>
      </c>
      <c r="J496">
        <v>0</v>
      </c>
      <c r="K496" t="s">
        <v>26</v>
      </c>
      <c r="L496">
        <v>1</v>
      </c>
      <c r="M496">
        <v>0</v>
      </c>
      <c r="N496">
        <v>1</v>
      </c>
    </row>
    <row r="497" spans="1:14" x14ac:dyDescent="0.2">
      <c r="A497" t="s">
        <v>3780</v>
      </c>
      <c r="B497">
        <v>714966</v>
      </c>
      <c r="C497">
        <v>2019</v>
      </c>
      <c r="D497" t="s">
        <v>12</v>
      </c>
      <c r="E497" t="s">
        <v>16</v>
      </c>
      <c r="F497">
        <v>1</v>
      </c>
      <c r="G497">
        <v>2</v>
      </c>
      <c r="H497">
        <v>68.902255639097703</v>
      </c>
      <c r="I497" t="b">
        <v>0</v>
      </c>
      <c r="J497">
        <v>0</v>
      </c>
      <c r="K497" t="s">
        <v>26</v>
      </c>
      <c r="L497">
        <v>0</v>
      </c>
      <c r="M497">
        <v>0</v>
      </c>
      <c r="N497">
        <v>0</v>
      </c>
    </row>
    <row r="498" spans="1:14" x14ac:dyDescent="0.2">
      <c r="A498" t="s">
        <v>3781</v>
      </c>
      <c r="B498">
        <v>715013</v>
      </c>
      <c r="C498">
        <v>2019</v>
      </c>
      <c r="D498" t="s">
        <v>12</v>
      </c>
      <c r="E498" t="s">
        <v>13</v>
      </c>
      <c r="F498">
        <v>0</v>
      </c>
      <c r="G498">
        <v>1</v>
      </c>
      <c r="H498">
        <v>85.719753930280206</v>
      </c>
      <c r="I498" t="b">
        <v>0</v>
      </c>
      <c r="J498">
        <v>0</v>
      </c>
      <c r="K498" t="s">
        <v>26</v>
      </c>
      <c r="L498">
        <v>0</v>
      </c>
      <c r="M498">
        <v>0</v>
      </c>
      <c r="N498">
        <v>1</v>
      </c>
    </row>
    <row r="499" spans="1:14" x14ac:dyDescent="0.2">
      <c r="A499" t="s">
        <v>3782</v>
      </c>
      <c r="B499">
        <v>715066</v>
      </c>
      <c r="C499">
        <v>2019</v>
      </c>
      <c r="D499" t="s">
        <v>17</v>
      </c>
      <c r="E499" t="s">
        <v>13</v>
      </c>
      <c r="F499">
        <v>0</v>
      </c>
      <c r="G499">
        <v>4</v>
      </c>
      <c r="H499">
        <v>85.156527682843503</v>
      </c>
      <c r="I499" t="b">
        <v>0</v>
      </c>
      <c r="J499">
        <v>1</v>
      </c>
      <c r="K499" t="s">
        <v>26</v>
      </c>
      <c r="L499">
        <v>1</v>
      </c>
      <c r="M499">
        <v>0</v>
      </c>
      <c r="N499">
        <v>0</v>
      </c>
    </row>
    <row r="500" spans="1:14" x14ac:dyDescent="0.2">
      <c r="A500" t="s">
        <v>3783</v>
      </c>
      <c r="B500">
        <v>715070</v>
      </c>
      <c r="C500">
        <v>2019</v>
      </c>
      <c r="D500" t="s">
        <v>12</v>
      </c>
      <c r="E500" t="s">
        <v>16</v>
      </c>
      <c r="F500">
        <v>0</v>
      </c>
      <c r="G500">
        <v>1</v>
      </c>
      <c r="H500">
        <v>43.887901572112099</v>
      </c>
      <c r="I500" t="b">
        <v>1</v>
      </c>
      <c r="J500">
        <v>0</v>
      </c>
      <c r="K500" t="s">
        <v>26</v>
      </c>
      <c r="L500">
        <v>1</v>
      </c>
      <c r="M500">
        <v>0</v>
      </c>
      <c r="N500">
        <v>0</v>
      </c>
    </row>
    <row r="501" spans="1:14" x14ac:dyDescent="0.2">
      <c r="A501" t="s">
        <v>3784</v>
      </c>
      <c r="B501">
        <v>715095</v>
      </c>
      <c r="C501">
        <v>2019</v>
      </c>
      <c r="D501" t="s">
        <v>17</v>
      </c>
      <c r="E501" t="s">
        <v>13</v>
      </c>
      <c r="F501">
        <v>0</v>
      </c>
      <c r="G501">
        <v>3</v>
      </c>
      <c r="H501">
        <v>77.2768284347232</v>
      </c>
      <c r="I501" t="b">
        <v>0</v>
      </c>
      <c r="J501">
        <v>0</v>
      </c>
      <c r="K501" t="s">
        <v>26</v>
      </c>
      <c r="L501">
        <v>1</v>
      </c>
      <c r="M501">
        <v>0</v>
      </c>
      <c r="N501">
        <v>0</v>
      </c>
    </row>
    <row r="502" spans="1:14" x14ac:dyDescent="0.2">
      <c r="A502" t="s">
        <v>3785</v>
      </c>
      <c r="B502">
        <v>715159</v>
      </c>
      <c r="C502">
        <v>2019</v>
      </c>
      <c r="D502" t="s">
        <v>23</v>
      </c>
      <c r="E502" t="s">
        <v>13</v>
      </c>
      <c r="F502">
        <v>0</v>
      </c>
      <c r="G502">
        <v>1</v>
      </c>
      <c r="H502">
        <v>79.133287764866694</v>
      </c>
      <c r="I502" t="b">
        <v>1</v>
      </c>
      <c r="J502">
        <v>0</v>
      </c>
      <c r="K502" t="s">
        <v>26</v>
      </c>
      <c r="L502">
        <v>0</v>
      </c>
      <c r="M502">
        <v>0</v>
      </c>
      <c r="N502">
        <v>0</v>
      </c>
    </row>
    <row r="503" spans="1:14" x14ac:dyDescent="0.2">
      <c r="A503" t="s">
        <v>3786</v>
      </c>
      <c r="B503">
        <v>715193</v>
      </c>
      <c r="C503">
        <v>2019</v>
      </c>
      <c r="D503" t="s">
        <v>20</v>
      </c>
      <c r="E503" t="s">
        <v>13</v>
      </c>
      <c r="F503">
        <v>0</v>
      </c>
      <c r="G503">
        <v>2</v>
      </c>
      <c r="H503">
        <v>78.613807245386198</v>
      </c>
      <c r="I503" t="b">
        <v>0</v>
      </c>
      <c r="J503">
        <v>0</v>
      </c>
      <c r="K503" t="s">
        <v>26</v>
      </c>
      <c r="L503">
        <v>0</v>
      </c>
      <c r="M503">
        <v>0</v>
      </c>
      <c r="N503">
        <v>0</v>
      </c>
    </row>
    <row r="504" spans="1:14" x14ac:dyDescent="0.2">
      <c r="A504" t="s">
        <v>3787</v>
      </c>
      <c r="B504">
        <v>715201</v>
      </c>
      <c r="C504">
        <v>2019</v>
      </c>
      <c r="D504" t="s">
        <v>21</v>
      </c>
      <c r="E504" t="s">
        <v>13</v>
      </c>
      <c r="F504">
        <v>0</v>
      </c>
      <c r="G504">
        <v>2</v>
      </c>
      <c r="H504">
        <v>84.437457279562594</v>
      </c>
      <c r="I504" t="b">
        <v>0</v>
      </c>
      <c r="J504">
        <v>0</v>
      </c>
      <c r="K504" t="s">
        <v>26</v>
      </c>
      <c r="L504">
        <v>0</v>
      </c>
      <c r="M504">
        <v>0</v>
      </c>
      <c r="N504">
        <v>0</v>
      </c>
    </row>
    <row r="505" spans="1:14" x14ac:dyDescent="0.2">
      <c r="A505" t="s">
        <v>3788</v>
      </c>
      <c r="B505">
        <v>715211</v>
      </c>
      <c r="C505">
        <v>2019</v>
      </c>
      <c r="D505" t="s">
        <v>12</v>
      </c>
      <c r="E505" t="s">
        <v>13</v>
      </c>
      <c r="F505">
        <v>0</v>
      </c>
      <c r="G505">
        <v>3</v>
      </c>
      <c r="H505">
        <v>60.257006151742999</v>
      </c>
      <c r="I505" t="b">
        <v>0</v>
      </c>
      <c r="J505">
        <v>0</v>
      </c>
      <c r="K505" t="s">
        <v>26</v>
      </c>
      <c r="L505">
        <v>0</v>
      </c>
      <c r="M505">
        <v>0</v>
      </c>
      <c r="N505">
        <v>0</v>
      </c>
    </row>
    <row r="506" spans="1:14" x14ac:dyDescent="0.2">
      <c r="A506" t="s">
        <v>3789</v>
      </c>
      <c r="B506">
        <v>715247</v>
      </c>
      <c r="C506">
        <v>2019</v>
      </c>
      <c r="D506" t="s">
        <v>12</v>
      </c>
      <c r="E506" t="s">
        <v>13</v>
      </c>
      <c r="F506">
        <v>0</v>
      </c>
      <c r="G506">
        <v>3</v>
      </c>
      <c r="H506">
        <v>55.526999316473002</v>
      </c>
      <c r="I506" t="b">
        <v>0</v>
      </c>
      <c r="J506">
        <v>0</v>
      </c>
      <c r="K506" t="s">
        <v>26</v>
      </c>
      <c r="L506">
        <v>1</v>
      </c>
      <c r="M506">
        <v>0</v>
      </c>
      <c r="N506">
        <v>0</v>
      </c>
    </row>
    <row r="507" spans="1:14" x14ac:dyDescent="0.2">
      <c r="A507" t="s">
        <v>3790</v>
      </c>
      <c r="B507">
        <v>715250</v>
      </c>
      <c r="C507">
        <v>2019</v>
      </c>
      <c r="D507" t="s">
        <v>19</v>
      </c>
      <c r="E507" t="s">
        <v>13</v>
      </c>
      <c r="F507">
        <v>0</v>
      </c>
      <c r="G507">
        <v>0</v>
      </c>
      <c r="H507">
        <v>23.308270676691698</v>
      </c>
      <c r="I507" t="b">
        <v>0</v>
      </c>
      <c r="J507">
        <v>0</v>
      </c>
      <c r="K507" t="s">
        <v>26</v>
      </c>
      <c r="L507">
        <v>1</v>
      </c>
      <c r="M507">
        <v>0</v>
      </c>
      <c r="N507">
        <v>0</v>
      </c>
    </row>
    <row r="508" spans="1:14" x14ac:dyDescent="0.2">
      <c r="A508" t="s">
        <v>3791</v>
      </c>
      <c r="B508">
        <v>715254</v>
      </c>
      <c r="C508">
        <v>2019</v>
      </c>
      <c r="D508" t="s">
        <v>22</v>
      </c>
      <c r="E508" t="s">
        <v>13</v>
      </c>
      <c r="F508">
        <v>1</v>
      </c>
      <c r="G508">
        <v>3</v>
      </c>
      <c r="H508">
        <v>72.576896787423095</v>
      </c>
      <c r="I508" t="b">
        <v>0</v>
      </c>
      <c r="J508">
        <v>0</v>
      </c>
      <c r="K508" t="s">
        <v>14</v>
      </c>
      <c r="L508">
        <v>0</v>
      </c>
      <c r="M508">
        <v>0</v>
      </c>
      <c r="N508">
        <v>0</v>
      </c>
    </row>
    <row r="509" spans="1:14" x14ac:dyDescent="0.2">
      <c r="A509" t="s">
        <v>3792</v>
      </c>
      <c r="B509">
        <v>715297</v>
      </c>
      <c r="C509">
        <v>2019</v>
      </c>
      <c r="D509" t="s">
        <v>17</v>
      </c>
      <c r="E509" t="s">
        <v>13</v>
      </c>
      <c r="F509">
        <v>0</v>
      </c>
      <c r="G509">
        <v>3</v>
      </c>
      <c r="H509">
        <v>80.926862611073105</v>
      </c>
      <c r="I509" t="b">
        <v>0</v>
      </c>
      <c r="J509">
        <v>0</v>
      </c>
      <c r="K509" t="s">
        <v>26</v>
      </c>
      <c r="L509">
        <v>0</v>
      </c>
      <c r="M509">
        <v>0</v>
      </c>
      <c r="N509">
        <v>1</v>
      </c>
    </row>
    <row r="510" spans="1:14" x14ac:dyDescent="0.2">
      <c r="A510" t="s">
        <v>3793</v>
      </c>
      <c r="B510">
        <v>715350</v>
      </c>
      <c r="C510">
        <v>2019</v>
      </c>
      <c r="D510" t="s">
        <v>19</v>
      </c>
      <c r="E510" t="s">
        <v>13</v>
      </c>
      <c r="F510">
        <v>0</v>
      </c>
      <c r="G510">
        <v>4</v>
      </c>
      <c r="H510">
        <v>90.991114149008894</v>
      </c>
      <c r="I510" t="b">
        <v>0</v>
      </c>
      <c r="J510">
        <v>0</v>
      </c>
      <c r="K510" t="s">
        <v>26</v>
      </c>
      <c r="L510">
        <v>0</v>
      </c>
      <c r="M510">
        <v>0</v>
      </c>
      <c r="N510">
        <v>1</v>
      </c>
    </row>
    <row r="511" spans="1:14" x14ac:dyDescent="0.2">
      <c r="A511" t="s">
        <v>3794</v>
      </c>
      <c r="B511">
        <v>715392</v>
      </c>
      <c r="C511">
        <v>2019</v>
      </c>
      <c r="D511" t="s">
        <v>17</v>
      </c>
      <c r="E511" t="s">
        <v>13</v>
      </c>
      <c r="F511">
        <v>0</v>
      </c>
      <c r="G511">
        <v>0</v>
      </c>
      <c r="H511">
        <v>71.239917976760097</v>
      </c>
      <c r="I511" t="b">
        <v>0</v>
      </c>
      <c r="J511" t="s">
        <v>18</v>
      </c>
      <c r="K511" t="s">
        <v>26</v>
      </c>
      <c r="L511">
        <v>0</v>
      </c>
      <c r="M511">
        <v>0</v>
      </c>
      <c r="N511">
        <v>0</v>
      </c>
    </row>
    <row r="512" spans="1:14" x14ac:dyDescent="0.2">
      <c r="A512" t="s">
        <v>3795</v>
      </c>
      <c r="B512">
        <v>715420</v>
      </c>
      <c r="C512">
        <v>2019</v>
      </c>
      <c r="D512" t="s">
        <v>21</v>
      </c>
      <c r="E512" t="s">
        <v>13</v>
      </c>
      <c r="F512">
        <v>0</v>
      </c>
      <c r="G512">
        <v>2</v>
      </c>
      <c r="H512">
        <v>86.917293233082702</v>
      </c>
      <c r="I512" t="b">
        <v>0</v>
      </c>
      <c r="J512">
        <v>0</v>
      </c>
      <c r="K512" t="s">
        <v>26</v>
      </c>
      <c r="L512">
        <v>0</v>
      </c>
      <c r="M512">
        <v>0</v>
      </c>
      <c r="N512">
        <v>1</v>
      </c>
    </row>
    <row r="513" spans="1:14" x14ac:dyDescent="0.2">
      <c r="A513" t="s">
        <v>3796</v>
      </c>
      <c r="B513">
        <v>715441</v>
      </c>
      <c r="C513">
        <v>2019</v>
      </c>
      <c r="D513" t="s">
        <v>12</v>
      </c>
      <c r="E513" t="s">
        <v>13</v>
      </c>
      <c r="F513">
        <v>0</v>
      </c>
      <c r="G513">
        <v>2</v>
      </c>
      <c r="H513">
        <v>74.135338345864696</v>
      </c>
      <c r="I513" t="b">
        <v>0</v>
      </c>
      <c r="J513">
        <v>0</v>
      </c>
      <c r="K513" t="s">
        <v>26</v>
      </c>
      <c r="L513">
        <v>1</v>
      </c>
      <c r="M513">
        <v>0</v>
      </c>
      <c r="N513">
        <v>0</v>
      </c>
    </row>
    <row r="514" spans="1:14" x14ac:dyDescent="0.2">
      <c r="A514" t="s">
        <v>3797</v>
      </c>
      <c r="B514">
        <v>715445</v>
      </c>
      <c r="C514">
        <v>2019</v>
      </c>
      <c r="D514" t="s">
        <v>12</v>
      </c>
      <c r="E514" t="s">
        <v>13</v>
      </c>
      <c r="F514">
        <v>0</v>
      </c>
      <c r="G514">
        <v>3</v>
      </c>
      <c r="H514">
        <v>77.454545454545496</v>
      </c>
      <c r="I514" t="b">
        <v>1</v>
      </c>
      <c r="J514">
        <v>0</v>
      </c>
      <c r="K514" t="s">
        <v>26</v>
      </c>
      <c r="L514">
        <v>1</v>
      </c>
      <c r="M514">
        <v>0</v>
      </c>
      <c r="N514">
        <v>1</v>
      </c>
    </row>
    <row r="515" spans="1:14" x14ac:dyDescent="0.2">
      <c r="A515" t="s">
        <v>3798</v>
      </c>
      <c r="B515">
        <v>716154</v>
      </c>
      <c r="C515">
        <v>2019</v>
      </c>
      <c r="D515" t="s">
        <v>21</v>
      </c>
      <c r="E515" t="s">
        <v>13</v>
      </c>
      <c r="F515">
        <v>0</v>
      </c>
      <c r="G515">
        <v>1</v>
      </c>
      <c r="H515">
        <v>86.966507177033506</v>
      </c>
      <c r="I515" t="b">
        <v>0</v>
      </c>
      <c r="J515">
        <v>0</v>
      </c>
      <c r="K515" t="s">
        <v>26</v>
      </c>
      <c r="L515">
        <v>0</v>
      </c>
      <c r="M515">
        <v>0</v>
      </c>
      <c r="N515">
        <v>0</v>
      </c>
    </row>
    <row r="516" spans="1:14" x14ac:dyDescent="0.2">
      <c r="A516" t="s">
        <v>3799</v>
      </c>
      <c r="B516">
        <v>716173</v>
      </c>
      <c r="C516">
        <v>2019</v>
      </c>
      <c r="D516" t="s">
        <v>12</v>
      </c>
      <c r="E516" t="s">
        <v>16</v>
      </c>
      <c r="F516">
        <v>0</v>
      </c>
      <c r="G516">
        <v>1</v>
      </c>
      <c r="H516">
        <v>78.436090225563902</v>
      </c>
      <c r="I516" t="b">
        <v>0</v>
      </c>
      <c r="J516">
        <v>0</v>
      </c>
      <c r="K516" t="s">
        <v>26</v>
      </c>
      <c r="L516">
        <v>0</v>
      </c>
      <c r="M516">
        <v>0</v>
      </c>
      <c r="N516">
        <v>0</v>
      </c>
    </row>
    <row r="517" spans="1:14" x14ac:dyDescent="0.2">
      <c r="A517" t="s">
        <v>3800</v>
      </c>
      <c r="B517">
        <v>716234</v>
      </c>
      <c r="C517">
        <v>2019</v>
      </c>
      <c r="D517" t="s">
        <v>17</v>
      </c>
      <c r="E517" t="s">
        <v>16</v>
      </c>
      <c r="F517">
        <v>0</v>
      </c>
      <c r="G517">
        <v>3</v>
      </c>
      <c r="H517">
        <v>80.899521531100504</v>
      </c>
      <c r="I517" t="b">
        <v>0</v>
      </c>
      <c r="J517">
        <v>0</v>
      </c>
      <c r="K517" t="s">
        <v>26</v>
      </c>
      <c r="L517">
        <v>0</v>
      </c>
      <c r="M517">
        <v>1</v>
      </c>
      <c r="N517">
        <v>0</v>
      </c>
    </row>
    <row r="518" spans="1:14" x14ac:dyDescent="0.2">
      <c r="A518" t="s">
        <v>3801</v>
      </c>
      <c r="B518">
        <v>716250</v>
      </c>
      <c r="C518">
        <v>2019</v>
      </c>
      <c r="D518" t="s">
        <v>17</v>
      </c>
      <c r="E518" t="s">
        <v>13</v>
      </c>
      <c r="F518">
        <v>0</v>
      </c>
      <c r="G518">
        <v>3</v>
      </c>
      <c r="H518">
        <v>73.9002050580998</v>
      </c>
      <c r="I518" t="b">
        <v>0</v>
      </c>
      <c r="J518">
        <v>0</v>
      </c>
      <c r="K518" t="s">
        <v>14</v>
      </c>
      <c r="L518">
        <v>0</v>
      </c>
      <c r="M518">
        <v>0</v>
      </c>
      <c r="N518">
        <v>1</v>
      </c>
    </row>
    <row r="519" spans="1:14" x14ac:dyDescent="0.2">
      <c r="A519" t="s">
        <v>3802</v>
      </c>
      <c r="B519">
        <v>716259</v>
      </c>
      <c r="C519">
        <v>2019</v>
      </c>
      <c r="D519" t="s">
        <v>12</v>
      </c>
      <c r="E519" t="s">
        <v>13</v>
      </c>
      <c r="F519">
        <v>0</v>
      </c>
      <c r="G519">
        <v>2</v>
      </c>
      <c r="H519">
        <v>86.714969241285004</v>
      </c>
      <c r="I519" t="b">
        <v>0</v>
      </c>
      <c r="J519">
        <v>1</v>
      </c>
      <c r="K519" t="s">
        <v>26</v>
      </c>
      <c r="L519">
        <v>0</v>
      </c>
      <c r="M519">
        <v>0</v>
      </c>
      <c r="N519">
        <v>0</v>
      </c>
    </row>
    <row r="520" spans="1:14" x14ac:dyDescent="0.2">
      <c r="A520" t="s">
        <v>3803</v>
      </c>
      <c r="B520">
        <v>716274</v>
      </c>
      <c r="C520">
        <v>2019</v>
      </c>
      <c r="D520" t="s">
        <v>21</v>
      </c>
      <c r="E520" t="s">
        <v>16</v>
      </c>
      <c r="F520">
        <v>0</v>
      </c>
      <c r="G520">
        <v>1</v>
      </c>
      <c r="H520">
        <v>69.809979494190003</v>
      </c>
      <c r="I520" t="b">
        <v>0</v>
      </c>
      <c r="J520">
        <v>1</v>
      </c>
      <c r="K520" t="s">
        <v>26</v>
      </c>
      <c r="L520">
        <v>0</v>
      </c>
      <c r="M520">
        <v>0</v>
      </c>
      <c r="N520">
        <v>0</v>
      </c>
    </row>
    <row r="521" spans="1:14" x14ac:dyDescent="0.2">
      <c r="A521" t="s">
        <v>3804</v>
      </c>
      <c r="B521">
        <v>716301</v>
      </c>
      <c r="C521">
        <v>2019</v>
      </c>
      <c r="D521" t="s">
        <v>20</v>
      </c>
      <c r="E521" t="s">
        <v>16</v>
      </c>
      <c r="F521">
        <v>0</v>
      </c>
      <c r="G521">
        <v>2</v>
      </c>
      <c r="H521">
        <v>83.794941900205103</v>
      </c>
      <c r="I521" t="b">
        <v>0</v>
      </c>
      <c r="J521">
        <v>0</v>
      </c>
      <c r="K521" t="s">
        <v>26</v>
      </c>
      <c r="L521">
        <v>1</v>
      </c>
      <c r="M521">
        <v>0</v>
      </c>
      <c r="N521">
        <v>0</v>
      </c>
    </row>
    <row r="522" spans="1:14" x14ac:dyDescent="0.2">
      <c r="A522" t="s">
        <v>3805</v>
      </c>
      <c r="B522">
        <v>716585</v>
      </c>
      <c r="C522">
        <v>2019</v>
      </c>
      <c r="D522" t="s">
        <v>12</v>
      </c>
      <c r="E522" t="s">
        <v>13</v>
      </c>
      <c r="F522">
        <v>0</v>
      </c>
      <c r="G522">
        <v>0</v>
      </c>
      <c r="H522">
        <v>87.893369788106597</v>
      </c>
      <c r="I522" t="b">
        <v>0</v>
      </c>
      <c r="J522">
        <v>0</v>
      </c>
      <c r="K522" t="s">
        <v>26</v>
      </c>
      <c r="L522">
        <v>0</v>
      </c>
      <c r="M522">
        <v>0</v>
      </c>
      <c r="N522">
        <v>0</v>
      </c>
    </row>
    <row r="523" spans="1:14" x14ac:dyDescent="0.2">
      <c r="A523" t="s">
        <v>3806</v>
      </c>
      <c r="B523">
        <v>716587</v>
      </c>
      <c r="C523">
        <v>2019</v>
      </c>
      <c r="D523" t="s">
        <v>17</v>
      </c>
      <c r="E523" t="s">
        <v>13</v>
      </c>
      <c r="F523">
        <v>0</v>
      </c>
      <c r="G523">
        <v>4</v>
      </c>
      <c r="H523">
        <v>93.170198222829796</v>
      </c>
      <c r="I523" t="b">
        <v>0</v>
      </c>
      <c r="J523">
        <v>0</v>
      </c>
      <c r="K523" t="s">
        <v>26</v>
      </c>
      <c r="L523">
        <v>0</v>
      </c>
      <c r="M523">
        <v>0</v>
      </c>
      <c r="N523">
        <v>0</v>
      </c>
    </row>
    <row r="524" spans="1:14" x14ac:dyDescent="0.2">
      <c r="A524" t="s">
        <v>3807</v>
      </c>
      <c r="B524">
        <v>716626</v>
      </c>
      <c r="C524">
        <v>2019</v>
      </c>
      <c r="D524" t="s">
        <v>12</v>
      </c>
      <c r="E524" t="s">
        <v>16</v>
      </c>
      <c r="F524">
        <v>0</v>
      </c>
      <c r="G524">
        <v>2</v>
      </c>
      <c r="H524">
        <v>92.896787423103206</v>
      </c>
      <c r="I524" t="b">
        <v>0</v>
      </c>
      <c r="J524">
        <v>0</v>
      </c>
      <c r="K524" t="s">
        <v>26</v>
      </c>
      <c r="L524">
        <v>0</v>
      </c>
      <c r="M524">
        <v>0</v>
      </c>
      <c r="N524">
        <v>0</v>
      </c>
    </row>
    <row r="525" spans="1:14" x14ac:dyDescent="0.2">
      <c r="A525" t="s">
        <v>3808</v>
      </c>
      <c r="B525">
        <v>716674</v>
      </c>
      <c r="C525">
        <v>2019</v>
      </c>
      <c r="D525" t="s">
        <v>12</v>
      </c>
      <c r="E525" t="s">
        <v>16</v>
      </c>
      <c r="F525">
        <v>1</v>
      </c>
      <c r="G525">
        <v>3</v>
      </c>
      <c r="H525">
        <v>58.578263841421702</v>
      </c>
      <c r="I525" t="b">
        <v>0</v>
      </c>
      <c r="J525">
        <v>0</v>
      </c>
      <c r="K525" t="s">
        <v>26</v>
      </c>
      <c r="L525">
        <v>1</v>
      </c>
      <c r="M525">
        <v>0</v>
      </c>
      <c r="N525">
        <v>0</v>
      </c>
    </row>
    <row r="526" spans="1:14" x14ac:dyDescent="0.2">
      <c r="A526" t="s">
        <v>3809</v>
      </c>
      <c r="B526">
        <v>716675</v>
      </c>
      <c r="C526">
        <v>2019</v>
      </c>
      <c r="D526" t="s">
        <v>12</v>
      </c>
      <c r="E526" t="s">
        <v>13</v>
      </c>
      <c r="F526">
        <v>0</v>
      </c>
      <c r="G526">
        <v>3</v>
      </c>
      <c r="H526">
        <v>85.892002734108004</v>
      </c>
      <c r="I526" t="b">
        <v>0</v>
      </c>
      <c r="J526">
        <v>0</v>
      </c>
      <c r="K526" t="s">
        <v>26</v>
      </c>
      <c r="L526">
        <v>0</v>
      </c>
      <c r="M526">
        <v>0</v>
      </c>
      <c r="N526">
        <v>0</v>
      </c>
    </row>
    <row r="527" spans="1:14" x14ac:dyDescent="0.2">
      <c r="A527" t="s">
        <v>3810</v>
      </c>
      <c r="B527">
        <v>716702</v>
      </c>
      <c r="C527">
        <v>2019</v>
      </c>
      <c r="D527" t="s">
        <v>12</v>
      </c>
      <c r="E527" t="s">
        <v>13</v>
      </c>
      <c r="F527">
        <v>0</v>
      </c>
      <c r="G527">
        <v>8</v>
      </c>
      <c r="H527">
        <v>62.862611073137401</v>
      </c>
      <c r="I527" t="b">
        <v>0</v>
      </c>
      <c r="J527">
        <v>0</v>
      </c>
      <c r="K527" t="s">
        <v>26</v>
      </c>
      <c r="L527">
        <v>1</v>
      </c>
      <c r="M527">
        <v>0</v>
      </c>
      <c r="N527">
        <v>0</v>
      </c>
    </row>
    <row r="528" spans="1:14" x14ac:dyDescent="0.2">
      <c r="A528" t="s">
        <v>3811</v>
      </c>
      <c r="B528">
        <v>716779</v>
      </c>
      <c r="C528">
        <v>2019</v>
      </c>
      <c r="D528" t="s">
        <v>21</v>
      </c>
      <c r="E528" t="s">
        <v>16</v>
      </c>
      <c r="F528">
        <v>0</v>
      </c>
      <c r="G528">
        <v>2</v>
      </c>
      <c r="H528">
        <v>92.240601503759393</v>
      </c>
      <c r="I528" t="b">
        <v>0</v>
      </c>
      <c r="J528">
        <v>0</v>
      </c>
      <c r="K528" t="s">
        <v>26</v>
      </c>
      <c r="L528">
        <v>0</v>
      </c>
      <c r="M528">
        <v>0</v>
      </c>
      <c r="N528">
        <v>0</v>
      </c>
    </row>
    <row r="529" spans="1:14" x14ac:dyDescent="0.2">
      <c r="A529" t="s">
        <v>3812</v>
      </c>
      <c r="B529">
        <v>716781</v>
      </c>
      <c r="C529">
        <v>2019</v>
      </c>
      <c r="D529" t="s">
        <v>17</v>
      </c>
      <c r="E529" t="s">
        <v>13</v>
      </c>
      <c r="F529">
        <v>0</v>
      </c>
      <c r="G529">
        <v>4</v>
      </c>
      <c r="H529">
        <v>80.328092959671906</v>
      </c>
      <c r="I529" t="b">
        <v>0</v>
      </c>
      <c r="J529">
        <v>0</v>
      </c>
      <c r="K529" t="s">
        <v>26</v>
      </c>
      <c r="L529">
        <v>0</v>
      </c>
      <c r="M529">
        <v>0</v>
      </c>
      <c r="N529">
        <v>0</v>
      </c>
    </row>
    <row r="530" spans="1:14" x14ac:dyDescent="0.2">
      <c r="A530" t="s">
        <v>3813</v>
      </c>
      <c r="B530">
        <v>716821</v>
      </c>
      <c r="C530">
        <v>2019</v>
      </c>
      <c r="D530" t="s">
        <v>20</v>
      </c>
      <c r="E530" t="s">
        <v>13</v>
      </c>
      <c r="F530">
        <v>0</v>
      </c>
      <c r="G530">
        <v>0</v>
      </c>
      <c r="H530">
        <v>25.607655502392301</v>
      </c>
      <c r="I530" t="b">
        <v>0</v>
      </c>
      <c r="J530">
        <v>0</v>
      </c>
      <c r="K530" t="s">
        <v>26</v>
      </c>
      <c r="L530">
        <v>0</v>
      </c>
      <c r="M530">
        <v>0</v>
      </c>
      <c r="N530">
        <v>0</v>
      </c>
    </row>
    <row r="531" spans="1:14" x14ac:dyDescent="0.2">
      <c r="A531" t="s">
        <v>3814</v>
      </c>
      <c r="B531">
        <v>716845</v>
      </c>
      <c r="C531">
        <v>2019</v>
      </c>
      <c r="D531" t="s">
        <v>22</v>
      </c>
      <c r="E531" t="s">
        <v>13</v>
      </c>
      <c r="F531">
        <v>0</v>
      </c>
      <c r="G531">
        <v>3</v>
      </c>
      <c r="H531">
        <v>84.016404647983606</v>
      </c>
      <c r="I531" t="b">
        <v>0</v>
      </c>
      <c r="J531">
        <v>0</v>
      </c>
      <c r="K531" t="s">
        <v>26</v>
      </c>
      <c r="L531">
        <v>0</v>
      </c>
      <c r="M531">
        <v>0</v>
      </c>
      <c r="N531">
        <v>0</v>
      </c>
    </row>
    <row r="532" spans="1:14" x14ac:dyDescent="0.2">
      <c r="A532" t="s">
        <v>3815</v>
      </c>
      <c r="B532">
        <v>716847</v>
      </c>
      <c r="C532">
        <v>2019</v>
      </c>
      <c r="D532" t="s">
        <v>12</v>
      </c>
      <c r="E532" t="s">
        <v>13</v>
      </c>
      <c r="F532">
        <v>0</v>
      </c>
      <c r="G532">
        <v>1</v>
      </c>
      <c r="H532">
        <v>78.892686261107301</v>
      </c>
      <c r="I532" t="b">
        <v>0</v>
      </c>
      <c r="J532">
        <v>0</v>
      </c>
      <c r="K532" t="s">
        <v>26</v>
      </c>
      <c r="L532">
        <v>1</v>
      </c>
      <c r="M532">
        <v>0</v>
      </c>
      <c r="N532">
        <v>0</v>
      </c>
    </row>
    <row r="533" spans="1:14" x14ac:dyDescent="0.2">
      <c r="A533" t="s">
        <v>3816</v>
      </c>
      <c r="B533">
        <v>716875</v>
      </c>
      <c r="C533">
        <v>2019</v>
      </c>
      <c r="D533" t="s">
        <v>23</v>
      </c>
      <c r="E533" t="s">
        <v>13</v>
      </c>
      <c r="F533">
        <v>0</v>
      </c>
      <c r="G533">
        <v>0</v>
      </c>
      <c r="H533">
        <v>79.666438824333596</v>
      </c>
      <c r="I533" t="b">
        <v>0</v>
      </c>
      <c r="J533">
        <v>0</v>
      </c>
      <c r="K533" t="s">
        <v>26</v>
      </c>
      <c r="L533">
        <v>0</v>
      </c>
      <c r="M533">
        <v>0</v>
      </c>
      <c r="N533">
        <v>0</v>
      </c>
    </row>
    <row r="534" spans="1:14" x14ac:dyDescent="0.2">
      <c r="A534" t="s">
        <v>3817</v>
      </c>
      <c r="B534">
        <v>716974</v>
      </c>
      <c r="C534">
        <v>2019</v>
      </c>
      <c r="D534" t="s">
        <v>12</v>
      </c>
      <c r="E534" t="s">
        <v>13</v>
      </c>
      <c r="F534">
        <v>0</v>
      </c>
      <c r="G534">
        <v>6</v>
      </c>
      <c r="H534">
        <v>95.734791524265205</v>
      </c>
      <c r="I534" t="b">
        <v>0</v>
      </c>
      <c r="J534">
        <v>0</v>
      </c>
      <c r="K534" t="s">
        <v>26</v>
      </c>
      <c r="L534">
        <v>1</v>
      </c>
      <c r="M534">
        <v>0</v>
      </c>
      <c r="N534">
        <v>1</v>
      </c>
    </row>
    <row r="535" spans="1:14" x14ac:dyDescent="0.2">
      <c r="A535" t="s">
        <v>3818</v>
      </c>
      <c r="B535">
        <v>717002</v>
      </c>
      <c r="C535">
        <v>2019</v>
      </c>
      <c r="D535" t="s">
        <v>22</v>
      </c>
      <c r="E535" t="s">
        <v>16</v>
      </c>
      <c r="F535">
        <v>1</v>
      </c>
      <c r="G535">
        <v>4</v>
      </c>
      <c r="H535">
        <v>79.034859876965101</v>
      </c>
      <c r="I535" t="b">
        <v>0</v>
      </c>
      <c r="J535">
        <v>0</v>
      </c>
      <c r="K535" t="s">
        <v>26</v>
      </c>
      <c r="L535">
        <v>0</v>
      </c>
      <c r="M535">
        <v>0</v>
      </c>
      <c r="N535">
        <v>0</v>
      </c>
    </row>
    <row r="536" spans="1:14" x14ac:dyDescent="0.2">
      <c r="A536" t="s">
        <v>3819</v>
      </c>
      <c r="B536">
        <v>717023</v>
      </c>
      <c r="C536">
        <v>2019</v>
      </c>
      <c r="D536" t="s">
        <v>12</v>
      </c>
      <c r="E536" t="s">
        <v>13</v>
      </c>
      <c r="F536">
        <v>0</v>
      </c>
      <c r="G536">
        <v>3</v>
      </c>
      <c r="H536">
        <v>67.609022556390997</v>
      </c>
      <c r="I536" t="b">
        <v>0</v>
      </c>
      <c r="J536">
        <v>0</v>
      </c>
      <c r="K536" t="s">
        <v>26</v>
      </c>
      <c r="L536">
        <v>0</v>
      </c>
      <c r="M536">
        <v>0</v>
      </c>
      <c r="N536">
        <v>1</v>
      </c>
    </row>
    <row r="537" spans="1:14" x14ac:dyDescent="0.2">
      <c r="A537" t="s">
        <v>3820</v>
      </c>
      <c r="B537">
        <v>717046</v>
      </c>
      <c r="C537">
        <v>2019</v>
      </c>
      <c r="D537" t="s">
        <v>17</v>
      </c>
      <c r="E537" t="s">
        <v>13</v>
      </c>
      <c r="F537">
        <v>0</v>
      </c>
      <c r="G537">
        <v>3</v>
      </c>
      <c r="H537">
        <v>91.0075187969925</v>
      </c>
      <c r="I537" t="b">
        <v>0</v>
      </c>
      <c r="J537">
        <v>0</v>
      </c>
      <c r="K537" t="s">
        <v>26</v>
      </c>
      <c r="L537">
        <v>1</v>
      </c>
      <c r="M537">
        <v>0</v>
      </c>
      <c r="N537">
        <v>1</v>
      </c>
    </row>
    <row r="538" spans="1:14" x14ac:dyDescent="0.2">
      <c r="A538" t="s">
        <v>3821</v>
      </c>
      <c r="B538">
        <v>717055</v>
      </c>
      <c r="C538">
        <v>2019</v>
      </c>
      <c r="D538" t="s">
        <v>12</v>
      </c>
      <c r="E538" t="s">
        <v>16</v>
      </c>
      <c r="F538">
        <v>1</v>
      </c>
      <c r="G538">
        <v>2</v>
      </c>
      <c r="H538">
        <v>81.7881066302119</v>
      </c>
      <c r="I538" t="b">
        <v>0</v>
      </c>
      <c r="J538">
        <v>0</v>
      </c>
      <c r="K538" t="s">
        <v>26</v>
      </c>
      <c r="L538">
        <v>0</v>
      </c>
      <c r="M538">
        <v>0</v>
      </c>
      <c r="N538">
        <v>0</v>
      </c>
    </row>
    <row r="539" spans="1:14" x14ac:dyDescent="0.2">
      <c r="A539" t="s">
        <v>3822</v>
      </c>
      <c r="B539">
        <v>717127</v>
      </c>
      <c r="C539">
        <v>2019</v>
      </c>
      <c r="D539" t="s">
        <v>12</v>
      </c>
      <c r="E539" t="s">
        <v>16</v>
      </c>
      <c r="F539">
        <v>0</v>
      </c>
      <c r="G539">
        <v>2</v>
      </c>
      <c r="H539">
        <v>58.909090909090899</v>
      </c>
      <c r="I539" t="b">
        <v>1</v>
      </c>
      <c r="J539">
        <v>0</v>
      </c>
      <c r="K539" t="s">
        <v>26</v>
      </c>
      <c r="L539">
        <v>1</v>
      </c>
      <c r="M539">
        <v>0</v>
      </c>
      <c r="N539">
        <v>0</v>
      </c>
    </row>
    <row r="540" spans="1:14" x14ac:dyDescent="0.2">
      <c r="A540" t="s">
        <v>3823</v>
      </c>
      <c r="B540">
        <v>717351</v>
      </c>
      <c r="C540">
        <v>2019</v>
      </c>
      <c r="D540" t="s">
        <v>12</v>
      </c>
      <c r="E540" t="s">
        <v>13</v>
      </c>
      <c r="F540">
        <v>0</v>
      </c>
      <c r="G540">
        <v>4</v>
      </c>
      <c r="H540">
        <v>85.353383458646604</v>
      </c>
      <c r="I540" t="b">
        <v>0</v>
      </c>
      <c r="J540">
        <v>0</v>
      </c>
      <c r="K540" t="s">
        <v>26</v>
      </c>
      <c r="L540">
        <v>0</v>
      </c>
      <c r="M540">
        <v>0</v>
      </c>
      <c r="N540">
        <v>0</v>
      </c>
    </row>
    <row r="541" spans="1:14" x14ac:dyDescent="0.2">
      <c r="A541" t="s">
        <v>3824</v>
      </c>
      <c r="B541">
        <v>717363</v>
      </c>
      <c r="C541">
        <v>2019</v>
      </c>
      <c r="D541" t="s">
        <v>20</v>
      </c>
      <c r="E541" t="s">
        <v>13</v>
      </c>
      <c r="F541">
        <v>0</v>
      </c>
      <c r="G541">
        <v>0</v>
      </c>
      <c r="H541">
        <v>37.604921394395099</v>
      </c>
      <c r="I541" t="b">
        <v>0</v>
      </c>
      <c r="J541">
        <v>0</v>
      </c>
      <c r="K541" t="s">
        <v>26</v>
      </c>
      <c r="L541">
        <v>0</v>
      </c>
      <c r="M541">
        <v>0</v>
      </c>
      <c r="N541">
        <v>0</v>
      </c>
    </row>
    <row r="542" spans="1:14" x14ac:dyDescent="0.2">
      <c r="A542" t="s">
        <v>3825</v>
      </c>
      <c r="B542">
        <v>717389</v>
      </c>
      <c r="C542">
        <v>2019</v>
      </c>
      <c r="D542" t="s">
        <v>12</v>
      </c>
      <c r="E542" t="s">
        <v>13</v>
      </c>
      <c r="F542">
        <v>0</v>
      </c>
      <c r="G542">
        <v>0</v>
      </c>
      <c r="H542">
        <v>48.3116883116883</v>
      </c>
      <c r="I542" t="b">
        <v>0</v>
      </c>
      <c r="J542">
        <v>0</v>
      </c>
      <c r="K542" t="s">
        <v>26</v>
      </c>
      <c r="L542">
        <v>0</v>
      </c>
      <c r="M542">
        <v>0</v>
      </c>
      <c r="N542">
        <v>0</v>
      </c>
    </row>
    <row r="543" spans="1:14" x14ac:dyDescent="0.2">
      <c r="A543" t="s">
        <v>3826</v>
      </c>
      <c r="B543">
        <v>717391</v>
      </c>
      <c r="C543">
        <v>2019</v>
      </c>
      <c r="D543" t="s">
        <v>17</v>
      </c>
      <c r="E543" t="s">
        <v>13</v>
      </c>
      <c r="F543">
        <v>0</v>
      </c>
      <c r="G543">
        <v>0</v>
      </c>
      <c r="H543">
        <v>78.020505809979497</v>
      </c>
      <c r="I543" t="b">
        <v>0</v>
      </c>
      <c r="J543">
        <v>0</v>
      </c>
      <c r="K543" t="s">
        <v>26</v>
      </c>
      <c r="L543">
        <v>0</v>
      </c>
      <c r="M543">
        <v>0</v>
      </c>
      <c r="N543">
        <v>0</v>
      </c>
    </row>
    <row r="544" spans="1:14" x14ac:dyDescent="0.2">
      <c r="A544" t="s">
        <v>3827</v>
      </c>
      <c r="B544">
        <v>717441</v>
      </c>
      <c r="C544">
        <v>2019</v>
      </c>
      <c r="D544" t="s">
        <v>12</v>
      </c>
      <c r="E544" t="s">
        <v>16</v>
      </c>
      <c r="F544">
        <v>0</v>
      </c>
      <c r="G544">
        <v>4</v>
      </c>
      <c r="H544">
        <v>86.898154477101897</v>
      </c>
      <c r="I544" t="b">
        <v>0</v>
      </c>
      <c r="J544">
        <v>0</v>
      </c>
      <c r="K544" t="s">
        <v>26</v>
      </c>
      <c r="L544">
        <v>0</v>
      </c>
      <c r="M544">
        <v>0</v>
      </c>
      <c r="N544">
        <v>0</v>
      </c>
    </row>
    <row r="545" spans="1:14" x14ac:dyDescent="0.2">
      <c r="A545" t="s">
        <v>3828</v>
      </c>
      <c r="B545">
        <v>717453</v>
      </c>
      <c r="C545">
        <v>2019</v>
      </c>
      <c r="D545" t="s">
        <v>21</v>
      </c>
      <c r="E545" t="s">
        <v>13</v>
      </c>
      <c r="F545">
        <v>0</v>
      </c>
      <c r="G545">
        <v>1</v>
      </c>
      <c r="H545">
        <v>83.182501708817497</v>
      </c>
      <c r="I545" t="b">
        <v>0</v>
      </c>
      <c r="J545">
        <v>0</v>
      </c>
      <c r="K545" t="s">
        <v>26</v>
      </c>
      <c r="L545">
        <v>1</v>
      </c>
      <c r="M545">
        <v>0</v>
      </c>
      <c r="N545">
        <v>0</v>
      </c>
    </row>
    <row r="546" spans="1:14" x14ac:dyDescent="0.2">
      <c r="A546" t="s">
        <v>3829</v>
      </c>
      <c r="B546">
        <v>717454</v>
      </c>
      <c r="C546">
        <v>2019</v>
      </c>
      <c r="D546" t="s">
        <v>12</v>
      </c>
      <c r="E546" t="s">
        <v>13</v>
      </c>
      <c r="F546">
        <v>0</v>
      </c>
      <c r="G546">
        <v>2</v>
      </c>
      <c r="H546">
        <v>73.167464114832498</v>
      </c>
      <c r="I546" t="b">
        <v>0</v>
      </c>
      <c r="J546">
        <v>0</v>
      </c>
      <c r="K546" t="s">
        <v>26</v>
      </c>
      <c r="L546">
        <v>1</v>
      </c>
      <c r="M546">
        <v>0</v>
      </c>
      <c r="N546">
        <v>0</v>
      </c>
    </row>
    <row r="547" spans="1:14" x14ac:dyDescent="0.2">
      <c r="A547" t="s">
        <v>3830</v>
      </c>
      <c r="B547">
        <v>717457</v>
      </c>
      <c r="C547">
        <v>2019</v>
      </c>
      <c r="D547" t="s">
        <v>20</v>
      </c>
      <c r="E547" t="s">
        <v>13</v>
      </c>
      <c r="F547">
        <v>0</v>
      </c>
      <c r="G547">
        <v>4</v>
      </c>
      <c r="H547">
        <v>50.684894053315098</v>
      </c>
      <c r="I547" t="b">
        <v>0</v>
      </c>
      <c r="J547">
        <v>0</v>
      </c>
      <c r="K547" t="s">
        <v>26</v>
      </c>
      <c r="L547">
        <v>0</v>
      </c>
      <c r="M547">
        <v>0</v>
      </c>
      <c r="N547">
        <v>0</v>
      </c>
    </row>
    <row r="548" spans="1:14" x14ac:dyDescent="0.2">
      <c r="A548" t="s">
        <v>3831</v>
      </c>
      <c r="B548">
        <v>717626</v>
      </c>
      <c r="C548">
        <v>2019</v>
      </c>
      <c r="D548" t="s">
        <v>12</v>
      </c>
      <c r="E548" t="s">
        <v>16</v>
      </c>
      <c r="F548">
        <v>0</v>
      </c>
      <c r="G548">
        <v>3</v>
      </c>
      <c r="H548">
        <v>64.585099111414905</v>
      </c>
      <c r="I548" t="b">
        <v>1</v>
      </c>
      <c r="J548">
        <v>0</v>
      </c>
      <c r="K548" t="s">
        <v>26</v>
      </c>
      <c r="L548">
        <v>1</v>
      </c>
      <c r="M548">
        <v>0</v>
      </c>
      <c r="N548">
        <v>0</v>
      </c>
    </row>
    <row r="549" spans="1:14" x14ac:dyDescent="0.2">
      <c r="A549" t="s">
        <v>3832</v>
      </c>
      <c r="B549">
        <v>717634</v>
      </c>
      <c r="C549">
        <v>2019</v>
      </c>
      <c r="D549" t="s">
        <v>20</v>
      </c>
      <c r="E549" t="s">
        <v>16</v>
      </c>
      <c r="F549">
        <v>0</v>
      </c>
      <c r="G549">
        <v>0</v>
      </c>
      <c r="H549">
        <v>56.885850991114097</v>
      </c>
      <c r="I549" t="b">
        <v>0</v>
      </c>
      <c r="J549">
        <v>0</v>
      </c>
      <c r="K549" t="s">
        <v>26</v>
      </c>
      <c r="L549">
        <v>1</v>
      </c>
      <c r="M549">
        <v>0</v>
      </c>
      <c r="N549">
        <v>0</v>
      </c>
    </row>
    <row r="550" spans="1:14" x14ac:dyDescent="0.2">
      <c r="A550" t="s">
        <v>3833</v>
      </c>
      <c r="B550">
        <v>717651</v>
      </c>
      <c r="C550">
        <v>2019</v>
      </c>
      <c r="D550" t="s">
        <v>12</v>
      </c>
      <c r="E550" t="s">
        <v>13</v>
      </c>
      <c r="F550">
        <v>0</v>
      </c>
      <c r="G550">
        <v>6</v>
      </c>
      <c r="H550">
        <v>73.394395078605598</v>
      </c>
      <c r="I550" t="b">
        <v>1</v>
      </c>
      <c r="J550">
        <v>0</v>
      </c>
      <c r="K550" t="s">
        <v>26</v>
      </c>
      <c r="L550">
        <v>1</v>
      </c>
      <c r="M550">
        <v>0</v>
      </c>
      <c r="N550">
        <v>0</v>
      </c>
    </row>
    <row r="551" spans="1:14" x14ac:dyDescent="0.2">
      <c r="A551" t="s">
        <v>3834</v>
      </c>
      <c r="B551">
        <v>717703</v>
      </c>
      <c r="C551">
        <v>2019</v>
      </c>
      <c r="D551" t="s">
        <v>17</v>
      </c>
      <c r="E551" t="s">
        <v>13</v>
      </c>
      <c r="F551">
        <v>1</v>
      </c>
      <c r="G551">
        <v>4</v>
      </c>
      <c r="H551">
        <v>81.055365686944597</v>
      </c>
      <c r="I551" t="b">
        <v>0</v>
      </c>
      <c r="J551">
        <v>0</v>
      </c>
      <c r="K551" t="s">
        <v>26</v>
      </c>
      <c r="L551">
        <v>0</v>
      </c>
      <c r="M551">
        <v>0</v>
      </c>
      <c r="N551">
        <v>0</v>
      </c>
    </row>
    <row r="552" spans="1:14" x14ac:dyDescent="0.2">
      <c r="A552" t="s">
        <v>3835</v>
      </c>
      <c r="B552">
        <v>717837</v>
      </c>
      <c r="C552">
        <v>2019</v>
      </c>
      <c r="D552" t="s">
        <v>21</v>
      </c>
      <c r="E552" t="s">
        <v>13</v>
      </c>
      <c r="F552">
        <v>0</v>
      </c>
      <c r="G552">
        <v>6</v>
      </c>
      <c r="H552">
        <v>79.146958304853001</v>
      </c>
      <c r="I552" t="b">
        <v>0</v>
      </c>
      <c r="J552">
        <v>0</v>
      </c>
      <c r="K552" t="s">
        <v>26</v>
      </c>
      <c r="L552">
        <v>1</v>
      </c>
      <c r="M552">
        <v>0</v>
      </c>
      <c r="N552">
        <v>0</v>
      </c>
    </row>
    <row r="553" spans="1:14" x14ac:dyDescent="0.2">
      <c r="A553" t="s">
        <v>3836</v>
      </c>
      <c r="B553">
        <v>717862</v>
      </c>
      <c r="C553">
        <v>2019</v>
      </c>
      <c r="D553" t="s">
        <v>12</v>
      </c>
      <c r="E553" t="s">
        <v>13</v>
      </c>
      <c r="F553">
        <v>0</v>
      </c>
      <c r="G553">
        <v>2</v>
      </c>
      <c r="H553">
        <v>75.568010936432003</v>
      </c>
      <c r="I553" t="b">
        <v>0</v>
      </c>
      <c r="J553">
        <v>0</v>
      </c>
      <c r="K553" t="s">
        <v>26</v>
      </c>
      <c r="L553">
        <v>0</v>
      </c>
      <c r="M553">
        <v>0</v>
      </c>
      <c r="N553">
        <v>0</v>
      </c>
    </row>
    <row r="554" spans="1:14" x14ac:dyDescent="0.2">
      <c r="A554" t="s">
        <v>3837</v>
      </c>
      <c r="B554">
        <v>717892</v>
      </c>
      <c r="C554">
        <v>2019</v>
      </c>
      <c r="D554" t="s">
        <v>21</v>
      </c>
      <c r="E554" t="s">
        <v>13</v>
      </c>
      <c r="F554">
        <v>0</v>
      </c>
      <c r="G554">
        <v>7</v>
      </c>
      <c r="H554">
        <v>86.0997949419002</v>
      </c>
      <c r="I554" t="b">
        <v>1</v>
      </c>
      <c r="J554">
        <v>1</v>
      </c>
      <c r="K554" t="s">
        <v>26</v>
      </c>
      <c r="L554">
        <v>1</v>
      </c>
      <c r="M554">
        <v>0</v>
      </c>
      <c r="N554">
        <v>0</v>
      </c>
    </row>
    <row r="555" spans="1:14" x14ac:dyDescent="0.2">
      <c r="A555" t="s">
        <v>3838</v>
      </c>
      <c r="B555">
        <v>717902</v>
      </c>
      <c r="C555">
        <v>2019</v>
      </c>
      <c r="D555" t="s">
        <v>12</v>
      </c>
      <c r="E555" t="s">
        <v>13</v>
      </c>
      <c r="F555">
        <v>0</v>
      </c>
      <c r="G555">
        <v>4</v>
      </c>
      <c r="H555">
        <v>91.535201640464805</v>
      </c>
      <c r="I555" t="b">
        <v>0</v>
      </c>
      <c r="J555">
        <v>0</v>
      </c>
      <c r="K555" t="s">
        <v>26</v>
      </c>
      <c r="L555">
        <v>0</v>
      </c>
      <c r="M555">
        <v>1</v>
      </c>
      <c r="N555">
        <v>1</v>
      </c>
    </row>
    <row r="556" spans="1:14" x14ac:dyDescent="0.2">
      <c r="A556" t="s">
        <v>3839</v>
      </c>
      <c r="B556">
        <v>717911</v>
      </c>
      <c r="C556">
        <v>2019</v>
      </c>
      <c r="D556" t="s">
        <v>12</v>
      </c>
      <c r="E556" t="s">
        <v>16</v>
      </c>
      <c r="F556">
        <v>1</v>
      </c>
      <c r="G556">
        <v>5</v>
      </c>
      <c r="H556">
        <v>61.676008202323999</v>
      </c>
      <c r="I556" t="b">
        <v>0</v>
      </c>
      <c r="J556">
        <v>0</v>
      </c>
      <c r="K556" t="s">
        <v>26</v>
      </c>
      <c r="L556">
        <v>0</v>
      </c>
      <c r="M556">
        <v>0</v>
      </c>
      <c r="N556">
        <v>0</v>
      </c>
    </row>
    <row r="557" spans="1:14" x14ac:dyDescent="0.2">
      <c r="A557" t="s">
        <v>3840</v>
      </c>
      <c r="B557">
        <v>717912</v>
      </c>
      <c r="C557">
        <v>2019</v>
      </c>
      <c r="D557" t="s">
        <v>21</v>
      </c>
      <c r="E557" t="s">
        <v>16</v>
      </c>
      <c r="F557">
        <v>0</v>
      </c>
      <c r="G557">
        <v>4</v>
      </c>
      <c r="H557">
        <v>64.697197539302806</v>
      </c>
      <c r="I557" t="b">
        <v>0</v>
      </c>
      <c r="J557">
        <v>1</v>
      </c>
      <c r="K557" t="s">
        <v>14</v>
      </c>
      <c r="L557">
        <v>1</v>
      </c>
      <c r="M557">
        <v>0</v>
      </c>
      <c r="N557">
        <v>0</v>
      </c>
    </row>
    <row r="558" spans="1:14" x14ac:dyDescent="0.2">
      <c r="A558" t="s">
        <v>3841</v>
      </c>
      <c r="B558">
        <v>717923</v>
      </c>
      <c r="C558">
        <v>2019</v>
      </c>
      <c r="D558" t="s">
        <v>22</v>
      </c>
      <c r="E558" t="s">
        <v>13</v>
      </c>
      <c r="F558">
        <v>0</v>
      </c>
      <c r="G558">
        <v>3</v>
      </c>
      <c r="H558">
        <v>83.037593984962399</v>
      </c>
      <c r="I558" t="b">
        <v>0</v>
      </c>
      <c r="J558">
        <v>0</v>
      </c>
      <c r="K558" t="s">
        <v>26</v>
      </c>
      <c r="L558">
        <v>1</v>
      </c>
      <c r="M558">
        <v>0</v>
      </c>
      <c r="N558">
        <v>0</v>
      </c>
    </row>
    <row r="559" spans="1:14" x14ac:dyDescent="0.2">
      <c r="A559" t="s">
        <v>3842</v>
      </c>
      <c r="B559">
        <v>717951</v>
      </c>
      <c r="C559">
        <v>2019</v>
      </c>
      <c r="D559" t="s">
        <v>21</v>
      </c>
      <c r="E559" t="s">
        <v>16</v>
      </c>
      <c r="F559">
        <v>0</v>
      </c>
      <c r="G559">
        <v>3</v>
      </c>
      <c r="H559">
        <v>63.231715652768301</v>
      </c>
      <c r="I559" t="b">
        <v>1</v>
      </c>
      <c r="J559">
        <v>0</v>
      </c>
      <c r="K559" t="s">
        <v>26</v>
      </c>
      <c r="L559">
        <v>0</v>
      </c>
      <c r="M559">
        <v>0</v>
      </c>
      <c r="N559">
        <v>0</v>
      </c>
    </row>
    <row r="560" spans="1:14" x14ac:dyDescent="0.2">
      <c r="A560" t="s">
        <v>3843</v>
      </c>
      <c r="B560">
        <v>717969</v>
      </c>
      <c r="C560">
        <v>2019</v>
      </c>
      <c r="D560" t="s">
        <v>21</v>
      </c>
      <c r="E560" t="s">
        <v>13</v>
      </c>
      <c r="F560">
        <v>0</v>
      </c>
      <c r="G560">
        <v>2</v>
      </c>
      <c r="H560">
        <v>88.032809295967198</v>
      </c>
      <c r="I560" t="b">
        <v>0</v>
      </c>
      <c r="J560">
        <v>1</v>
      </c>
      <c r="K560" t="s">
        <v>26</v>
      </c>
      <c r="L560">
        <v>0</v>
      </c>
      <c r="M560">
        <v>0</v>
      </c>
      <c r="N560">
        <v>1</v>
      </c>
    </row>
    <row r="561" spans="1:14" x14ac:dyDescent="0.2">
      <c r="A561" t="s">
        <v>3844</v>
      </c>
      <c r="B561">
        <v>717997</v>
      </c>
      <c r="C561">
        <v>2019</v>
      </c>
      <c r="D561" t="s">
        <v>20</v>
      </c>
      <c r="E561" t="s">
        <v>13</v>
      </c>
      <c r="F561">
        <v>0</v>
      </c>
      <c r="G561">
        <v>2</v>
      </c>
      <c r="H561">
        <v>76.505809979494202</v>
      </c>
      <c r="I561" t="b">
        <v>1</v>
      </c>
      <c r="J561">
        <v>0</v>
      </c>
      <c r="K561" t="s">
        <v>26</v>
      </c>
      <c r="L561">
        <v>1</v>
      </c>
      <c r="M561">
        <v>0</v>
      </c>
      <c r="N561">
        <v>0</v>
      </c>
    </row>
    <row r="562" spans="1:14" x14ac:dyDescent="0.2">
      <c r="A562" t="s">
        <v>3845</v>
      </c>
      <c r="B562">
        <v>718012</v>
      </c>
      <c r="C562">
        <v>2019</v>
      </c>
      <c r="D562" t="s">
        <v>12</v>
      </c>
      <c r="E562" t="s">
        <v>13</v>
      </c>
      <c r="F562">
        <v>0</v>
      </c>
      <c r="G562">
        <v>2</v>
      </c>
      <c r="H562">
        <v>96.358168147641805</v>
      </c>
      <c r="I562" t="b">
        <v>0</v>
      </c>
      <c r="J562">
        <v>0</v>
      </c>
      <c r="K562" t="s">
        <v>26</v>
      </c>
      <c r="L562">
        <v>0</v>
      </c>
      <c r="M562">
        <v>0</v>
      </c>
      <c r="N562">
        <v>0</v>
      </c>
    </row>
    <row r="563" spans="1:14" x14ac:dyDescent="0.2">
      <c r="A563" t="s">
        <v>3846</v>
      </c>
      <c r="B563">
        <v>718013</v>
      </c>
      <c r="C563">
        <v>2019</v>
      </c>
      <c r="D563" t="s">
        <v>12</v>
      </c>
      <c r="E563" t="s">
        <v>13</v>
      </c>
      <c r="F563">
        <v>0</v>
      </c>
      <c r="G563">
        <v>5</v>
      </c>
      <c r="H563">
        <v>92.161312371838704</v>
      </c>
      <c r="I563" t="b">
        <v>1</v>
      </c>
      <c r="J563">
        <v>0</v>
      </c>
      <c r="K563" t="s">
        <v>26</v>
      </c>
      <c r="L563">
        <v>0</v>
      </c>
      <c r="M563">
        <v>0</v>
      </c>
      <c r="N563">
        <v>0</v>
      </c>
    </row>
    <row r="564" spans="1:14" x14ac:dyDescent="0.2">
      <c r="A564" t="s">
        <v>3847</v>
      </c>
      <c r="B564">
        <v>718026</v>
      </c>
      <c r="C564">
        <v>2019</v>
      </c>
      <c r="D564" t="s">
        <v>17</v>
      </c>
      <c r="E564" t="s">
        <v>13</v>
      </c>
      <c r="F564">
        <v>0</v>
      </c>
      <c r="G564">
        <v>2</v>
      </c>
      <c r="H564">
        <v>82.291182501708803</v>
      </c>
      <c r="I564" t="b">
        <v>0</v>
      </c>
      <c r="J564">
        <v>0</v>
      </c>
      <c r="K564" t="s">
        <v>26</v>
      </c>
      <c r="L564">
        <v>0</v>
      </c>
      <c r="M564">
        <v>0</v>
      </c>
      <c r="N564">
        <v>1</v>
      </c>
    </row>
    <row r="565" spans="1:14" x14ac:dyDescent="0.2">
      <c r="A565" t="s">
        <v>3848</v>
      </c>
      <c r="B565">
        <v>718035</v>
      </c>
      <c r="C565">
        <v>2019</v>
      </c>
      <c r="D565" t="s">
        <v>19</v>
      </c>
      <c r="E565" t="s">
        <v>13</v>
      </c>
      <c r="F565">
        <v>0</v>
      </c>
      <c r="G565">
        <v>2</v>
      </c>
      <c r="H565">
        <v>70.313055365686907</v>
      </c>
      <c r="I565" t="b">
        <v>0</v>
      </c>
      <c r="J565">
        <v>0</v>
      </c>
      <c r="K565" t="s">
        <v>26</v>
      </c>
      <c r="L565">
        <v>1</v>
      </c>
      <c r="M565">
        <v>0</v>
      </c>
      <c r="N565">
        <v>0</v>
      </c>
    </row>
    <row r="566" spans="1:14" x14ac:dyDescent="0.2">
      <c r="A566" t="s">
        <v>3849</v>
      </c>
      <c r="B566">
        <v>718143</v>
      </c>
      <c r="C566">
        <v>2019</v>
      </c>
      <c r="D566" t="s">
        <v>15</v>
      </c>
      <c r="E566" t="s">
        <v>13</v>
      </c>
      <c r="F566">
        <v>0</v>
      </c>
      <c r="G566">
        <v>0</v>
      </c>
      <c r="H566">
        <v>35.125085440874898</v>
      </c>
      <c r="I566" t="b">
        <v>1</v>
      </c>
      <c r="J566">
        <v>0</v>
      </c>
      <c r="K566" t="s">
        <v>26</v>
      </c>
      <c r="L566">
        <v>0</v>
      </c>
      <c r="M566">
        <v>0</v>
      </c>
      <c r="N566">
        <v>0</v>
      </c>
    </row>
    <row r="567" spans="1:14" x14ac:dyDescent="0.2">
      <c r="A567" t="s">
        <v>3850</v>
      </c>
      <c r="B567">
        <v>718161</v>
      </c>
      <c r="C567">
        <v>2019</v>
      </c>
      <c r="D567" t="s">
        <v>12</v>
      </c>
      <c r="E567" t="s">
        <v>13</v>
      </c>
      <c r="F567">
        <v>0</v>
      </c>
      <c r="G567">
        <v>2</v>
      </c>
      <c r="H567">
        <v>90.580997949419</v>
      </c>
      <c r="I567" t="b">
        <v>0</v>
      </c>
      <c r="J567">
        <v>0</v>
      </c>
      <c r="K567" t="s">
        <v>26</v>
      </c>
      <c r="L567">
        <v>0</v>
      </c>
      <c r="M567">
        <v>0</v>
      </c>
      <c r="N567">
        <v>0</v>
      </c>
    </row>
    <row r="568" spans="1:14" x14ac:dyDescent="0.2">
      <c r="A568" t="s">
        <v>3851</v>
      </c>
      <c r="B568">
        <v>718236</v>
      </c>
      <c r="C568">
        <v>2019</v>
      </c>
      <c r="D568" t="s">
        <v>12</v>
      </c>
      <c r="E568" t="s">
        <v>13</v>
      </c>
      <c r="F568">
        <v>0</v>
      </c>
      <c r="G568">
        <v>3</v>
      </c>
      <c r="H568">
        <v>85.643198906356801</v>
      </c>
      <c r="I568" t="b">
        <v>0</v>
      </c>
      <c r="J568">
        <v>0</v>
      </c>
      <c r="K568" t="s">
        <v>26</v>
      </c>
      <c r="L568">
        <v>0</v>
      </c>
      <c r="M568">
        <v>0</v>
      </c>
      <c r="N568">
        <v>0</v>
      </c>
    </row>
    <row r="569" spans="1:14" x14ac:dyDescent="0.2">
      <c r="A569" t="s">
        <v>3852</v>
      </c>
      <c r="B569">
        <v>718256</v>
      </c>
      <c r="C569">
        <v>2019</v>
      </c>
      <c r="D569" t="s">
        <v>21</v>
      </c>
      <c r="E569" t="s">
        <v>16</v>
      </c>
      <c r="F569">
        <v>0</v>
      </c>
      <c r="G569">
        <v>3</v>
      </c>
      <c r="H569">
        <v>77.208475734791506</v>
      </c>
      <c r="I569" t="b">
        <v>0</v>
      </c>
      <c r="J569">
        <v>0</v>
      </c>
      <c r="K569" t="s">
        <v>26</v>
      </c>
      <c r="L569">
        <v>1</v>
      </c>
      <c r="M569">
        <v>1</v>
      </c>
      <c r="N569">
        <v>0</v>
      </c>
    </row>
    <row r="570" spans="1:14" x14ac:dyDescent="0.2">
      <c r="A570" t="s">
        <v>3853</v>
      </c>
      <c r="B570">
        <v>718273</v>
      </c>
      <c r="C570">
        <v>2019</v>
      </c>
      <c r="D570" t="s">
        <v>21</v>
      </c>
      <c r="E570" t="s">
        <v>13</v>
      </c>
      <c r="F570">
        <v>0</v>
      </c>
      <c r="G570">
        <v>6</v>
      </c>
      <c r="H570">
        <v>71.321941216678098</v>
      </c>
      <c r="I570" t="b">
        <v>0</v>
      </c>
      <c r="J570">
        <v>0</v>
      </c>
      <c r="K570" t="s">
        <v>26</v>
      </c>
      <c r="L570">
        <v>0</v>
      </c>
      <c r="M570">
        <v>0</v>
      </c>
      <c r="N570">
        <v>0</v>
      </c>
    </row>
    <row r="571" spans="1:14" x14ac:dyDescent="0.2">
      <c r="A571" t="s">
        <v>3854</v>
      </c>
      <c r="B571">
        <v>718286</v>
      </c>
      <c r="C571">
        <v>2019</v>
      </c>
      <c r="D571" t="s">
        <v>12</v>
      </c>
      <c r="E571" t="s">
        <v>16</v>
      </c>
      <c r="F571">
        <v>0</v>
      </c>
      <c r="G571">
        <v>11</v>
      </c>
      <c r="H571">
        <v>78.556390977443598</v>
      </c>
      <c r="I571" t="b">
        <v>0</v>
      </c>
      <c r="J571">
        <v>0</v>
      </c>
      <c r="K571" t="s">
        <v>26</v>
      </c>
      <c r="L571">
        <v>0</v>
      </c>
      <c r="M571">
        <v>0</v>
      </c>
      <c r="N571">
        <v>0</v>
      </c>
    </row>
    <row r="572" spans="1:14" x14ac:dyDescent="0.2">
      <c r="A572" t="s">
        <v>3855</v>
      </c>
      <c r="B572">
        <v>718312</v>
      </c>
      <c r="C572">
        <v>2019</v>
      </c>
      <c r="D572" t="s">
        <v>12</v>
      </c>
      <c r="E572" t="s">
        <v>13</v>
      </c>
      <c r="F572">
        <v>0</v>
      </c>
      <c r="G572">
        <v>3</v>
      </c>
      <c r="H572">
        <v>92.833902939166094</v>
      </c>
      <c r="I572" t="b">
        <v>0</v>
      </c>
      <c r="J572">
        <v>0</v>
      </c>
      <c r="K572" t="s">
        <v>26</v>
      </c>
      <c r="L572">
        <v>0</v>
      </c>
      <c r="M572">
        <v>0</v>
      </c>
      <c r="N572">
        <v>0</v>
      </c>
    </row>
    <row r="573" spans="1:14" x14ac:dyDescent="0.2">
      <c r="A573" t="s">
        <v>3856</v>
      </c>
      <c r="B573">
        <v>718348</v>
      </c>
      <c r="C573">
        <v>2019</v>
      </c>
      <c r="D573" t="s">
        <v>12</v>
      </c>
      <c r="E573" t="s">
        <v>13</v>
      </c>
      <c r="F573">
        <v>0</v>
      </c>
      <c r="G573">
        <v>2</v>
      </c>
      <c r="H573">
        <v>89.861927546138105</v>
      </c>
      <c r="I573" t="b">
        <v>0</v>
      </c>
      <c r="J573">
        <v>0</v>
      </c>
      <c r="K573" t="s">
        <v>26</v>
      </c>
      <c r="L573">
        <v>0</v>
      </c>
      <c r="M573">
        <v>0</v>
      </c>
      <c r="N573">
        <v>0</v>
      </c>
    </row>
    <row r="574" spans="1:14" x14ac:dyDescent="0.2">
      <c r="A574" t="s">
        <v>3857</v>
      </c>
      <c r="B574">
        <v>718351</v>
      </c>
      <c r="C574">
        <v>2019</v>
      </c>
      <c r="D574" t="s">
        <v>21</v>
      </c>
      <c r="E574" t="s">
        <v>13</v>
      </c>
      <c r="F574">
        <v>0</v>
      </c>
      <c r="G574">
        <v>2</v>
      </c>
      <c r="H574">
        <v>88.792891319207101</v>
      </c>
      <c r="I574" t="b">
        <v>0</v>
      </c>
      <c r="J574">
        <v>0</v>
      </c>
      <c r="K574" t="s">
        <v>26</v>
      </c>
      <c r="L574">
        <v>0</v>
      </c>
      <c r="M574">
        <v>0</v>
      </c>
      <c r="N574">
        <v>1</v>
      </c>
    </row>
    <row r="575" spans="1:14" x14ac:dyDescent="0.2">
      <c r="A575" t="s">
        <v>3858</v>
      </c>
      <c r="B575">
        <v>718358</v>
      </c>
      <c r="C575">
        <v>2019</v>
      </c>
      <c r="D575" t="s">
        <v>12</v>
      </c>
      <c r="E575" t="s">
        <v>13</v>
      </c>
      <c r="F575">
        <v>0</v>
      </c>
      <c r="G575">
        <v>3</v>
      </c>
      <c r="H575">
        <v>69.372522214627494</v>
      </c>
      <c r="I575" t="b">
        <v>0</v>
      </c>
      <c r="J575">
        <v>0</v>
      </c>
      <c r="K575" t="s">
        <v>26</v>
      </c>
      <c r="L575">
        <v>0</v>
      </c>
      <c r="M575">
        <v>0</v>
      </c>
      <c r="N575">
        <v>0</v>
      </c>
    </row>
    <row r="576" spans="1:14" x14ac:dyDescent="0.2">
      <c r="A576" t="s">
        <v>3859</v>
      </c>
      <c r="B576">
        <v>718420</v>
      </c>
      <c r="C576">
        <v>2019</v>
      </c>
      <c r="D576" t="s">
        <v>17</v>
      </c>
      <c r="E576" t="s">
        <v>13</v>
      </c>
      <c r="F576">
        <v>0</v>
      </c>
      <c r="G576">
        <v>3</v>
      </c>
      <c r="H576">
        <v>80.467532467532493</v>
      </c>
      <c r="I576" t="b">
        <v>0</v>
      </c>
      <c r="J576">
        <v>0</v>
      </c>
      <c r="K576" t="s">
        <v>26</v>
      </c>
      <c r="L576">
        <v>0</v>
      </c>
      <c r="M576">
        <v>0</v>
      </c>
      <c r="N576">
        <v>0</v>
      </c>
    </row>
    <row r="577" spans="1:14" x14ac:dyDescent="0.2">
      <c r="A577" t="s">
        <v>3860</v>
      </c>
      <c r="B577">
        <v>718561</v>
      </c>
      <c r="C577">
        <v>2019</v>
      </c>
      <c r="D577" t="s">
        <v>12</v>
      </c>
      <c r="E577" t="s">
        <v>13</v>
      </c>
      <c r="F577">
        <v>1</v>
      </c>
      <c r="G577">
        <v>2</v>
      </c>
      <c r="H577">
        <v>30.138072453861898</v>
      </c>
      <c r="I577" t="b">
        <v>0</v>
      </c>
      <c r="J577">
        <v>0</v>
      </c>
      <c r="K577" t="s">
        <v>26</v>
      </c>
      <c r="L577">
        <v>1</v>
      </c>
      <c r="M577">
        <v>0</v>
      </c>
      <c r="N577">
        <v>1</v>
      </c>
    </row>
    <row r="578" spans="1:14" x14ac:dyDescent="0.2">
      <c r="A578" t="s">
        <v>3861</v>
      </c>
      <c r="B578">
        <v>718601</v>
      </c>
      <c r="C578">
        <v>2019</v>
      </c>
      <c r="D578" t="s">
        <v>12</v>
      </c>
      <c r="E578" t="s">
        <v>16</v>
      </c>
      <c r="F578">
        <v>1</v>
      </c>
      <c r="G578">
        <v>4</v>
      </c>
      <c r="H578">
        <v>66.086124401913906</v>
      </c>
      <c r="I578" t="b">
        <v>1</v>
      </c>
      <c r="J578">
        <v>1</v>
      </c>
      <c r="K578" t="s">
        <v>26</v>
      </c>
      <c r="L578">
        <v>1</v>
      </c>
      <c r="M578">
        <v>0</v>
      </c>
      <c r="N578">
        <v>1</v>
      </c>
    </row>
    <row r="579" spans="1:14" x14ac:dyDescent="0.2">
      <c r="A579" t="s">
        <v>3862</v>
      </c>
      <c r="B579">
        <v>718607</v>
      </c>
      <c r="C579">
        <v>2019</v>
      </c>
      <c r="D579" t="s">
        <v>21</v>
      </c>
      <c r="E579" t="s">
        <v>13</v>
      </c>
      <c r="F579">
        <v>0</v>
      </c>
      <c r="G579">
        <v>2</v>
      </c>
      <c r="H579">
        <v>75.696514012303496</v>
      </c>
      <c r="I579" t="b">
        <v>0</v>
      </c>
      <c r="J579">
        <v>0</v>
      </c>
      <c r="K579" t="s">
        <v>26</v>
      </c>
      <c r="L579">
        <v>1</v>
      </c>
      <c r="M579">
        <v>0</v>
      </c>
      <c r="N579">
        <v>1</v>
      </c>
    </row>
    <row r="580" spans="1:14" x14ac:dyDescent="0.2">
      <c r="A580" t="s">
        <v>3863</v>
      </c>
      <c r="B580">
        <v>718615</v>
      </c>
      <c r="C580">
        <v>2019</v>
      </c>
      <c r="D580" t="s">
        <v>12</v>
      </c>
      <c r="E580" t="s">
        <v>13</v>
      </c>
      <c r="F580">
        <v>0</v>
      </c>
      <c r="G580">
        <v>1</v>
      </c>
      <c r="H580">
        <v>69.760765550239199</v>
      </c>
      <c r="I580" t="b">
        <v>0</v>
      </c>
      <c r="J580">
        <v>0</v>
      </c>
      <c r="K580" t="s">
        <v>26</v>
      </c>
      <c r="L580">
        <v>0</v>
      </c>
      <c r="M580">
        <v>0</v>
      </c>
      <c r="N580">
        <v>0</v>
      </c>
    </row>
    <row r="581" spans="1:14" x14ac:dyDescent="0.2">
      <c r="A581" t="s">
        <v>3864</v>
      </c>
      <c r="B581">
        <v>718656</v>
      </c>
      <c r="C581">
        <v>2019</v>
      </c>
      <c r="D581" t="s">
        <v>12</v>
      </c>
      <c r="E581" t="s">
        <v>13</v>
      </c>
      <c r="F581">
        <v>0</v>
      </c>
      <c r="G581">
        <v>0</v>
      </c>
      <c r="H581">
        <v>84.656185919343798</v>
      </c>
      <c r="I581" t="b">
        <v>0</v>
      </c>
      <c r="J581">
        <v>0</v>
      </c>
      <c r="K581" t="s">
        <v>26</v>
      </c>
      <c r="L581">
        <v>1</v>
      </c>
      <c r="M581">
        <v>0</v>
      </c>
      <c r="N581">
        <v>0</v>
      </c>
    </row>
    <row r="582" spans="1:14" x14ac:dyDescent="0.2">
      <c r="A582" t="s">
        <v>3865</v>
      </c>
      <c r="B582">
        <v>718686</v>
      </c>
      <c r="C582">
        <v>2019</v>
      </c>
      <c r="D582" t="s">
        <v>20</v>
      </c>
      <c r="E582" t="s">
        <v>13</v>
      </c>
      <c r="F582">
        <v>0</v>
      </c>
      <c r="G582">
        <v>3</v>
      </c>
      <c r="H582">
        <v>51.890635680109398</v>
      </c>
      <c r="I582" t="b">
        <v>0</v>
      </c>
      <c r="J582">
        <v>0</v>
      </c>
      <c r="K582" t="s">
        <v>26</v>
      </c>
      <c r="L582">
        <v>1</v>
      </c>
      <c r="M582">
        <v>0</v>
      </c>
      <c r="N582">
        <v>0</v>
      </c>
    </row>
    <row r="583" spans="1:14" x14ac:dyDescent="0.2">
      <c r="A583" t="s">
        <v>3866</v>
      </c>
      <c r="B583">
        <v>718713</v>
      </c>
      <c r="C583">
        <v>2019</v>
      </c>
      <c r="D583" t="s">
        <v>21</v>
      </c>
      <c r="E583" t="s">
        <v>13</v>
      </c>
      <c r="F583">
        <v>1</v>
      </c>
      <c r="G583">
        <v>3</v>
      </c>
      <c r="H583">
        <v>60.385509227614499</v>
      </c>
      <c r="I583" t="b">
        <v>0</v>
      </c>
      <c r="J583">
        <v>0</v>
      </c>
      <c r="K583" t="s">
        <v>26</v>
      </c>
      <c r="L583">
        <v>0</v>
      </c>
      <c r="M583">
        <v>0</v>
      </c>
      <c r="N583">
        <v>0</v>
      </c>
    </row>
    <row r="584" spans="1:14" x14ac:dyDescent="0.2">
      <c r="A584" t="s">
        <v>3867</v>
      </c>
      <c r="B584">
        <v>718722</v>
      </c>
      <c r="C584">
        <v>2019</v>
      </c>
      <c r="D584" t="s">
        <v>17</v>
      </c>
      <c r="E584" t="s">
        <v>13</v>
      </c>
      <c r="F584">
        <v>0</v>
      </c>
      <c r="G584">
        <v>0</v>
      </c>
      <c r="H584">
        <v>69.432672590567293</v>
      </c>
      <c r="I584" t="b">
        <v>0</v>
      </c>
      <c r="J584">
        <v>0</v>
      </c>
      <c r="K584" t="s">
        <v>26</v>
      </c>
      <c r="L584">
        <v>0</v>
      </c>
      <c r="M584">
        <v>0</v>
      </c>
      <c r="N584">
        <v>0</v>
      </c>
    </row>
    <row r="585" spans="1:14" x14ac:dyDescent="0.2">
      <c r="A585" t="s">
        <v>3868</v>
      </c>
      <c r="B585">
        <v>718736</v>
      </c>
      <c r="C585">
        <v>2019</v>
      </c>
      <c r="D585" t="s">
        <v>22</v>
      </c>
      <c r="E585" t="s">
        <v>13</v>
      </c>
      <c r="F585">
        <v>0</v>
      </c>
      <c r="G585">
        <v>2</v>
      </c>
      <c r="H585">
        <v>65.766233766233796</v>
      </c>
      <c r="I585" t="b">
        <v>0</v>
      </c>
      <c r="J585">
        <v>0</v>
      </c>
      <c r="K585" t="s">
        <v>26</v>
      </c>
      <c r="L585">
        <v>0</v>
      </c>
      <c r="M585">
        <v>0</v>
      </c>
      <c r="N585">
        <v>1</v>
      </c>
    </row>
    <row r="586" spans="1:14" x14ac:dyDescent="0.2">
      <c r="A586" t="s">
        <v>3869</v>
      </c>
      <c r="B586">
        <v>718756</v>
      </c>
      <c r="C586">
        <v>2019</v>
      </c>
      <c r="D586" t="s">
        <v>12</v>
      </c>
      <c r="E586" t="s">
        <v>13</v>
      </c>
      <c r="F586">
        <v>0</v>
      </c>
      <c r="G586">
        <v>4</v>
      </c>
      <c r="H586">
        <v>93.479152426520898</v>
      </c>
      <c r="I586" t="b">
        <v>0</v>
      </c>
      <c r="J586">
        <v>0</v>
      </c>
      <c r="K586" t="s">
        <v>26</v>
      </c>
      <c r="L586">
        <v>0</v>
      </c>
      <c r="M586">
        <v>0</v>
      </c>
      <c r="N586">
        <v>0</v>
      </c>
    </row>
    <row r="587" spans="1:14" x14ac:dyDescent="0.2">
      <c r="A587" t="s">
        <v>3870</v>
      </c>
      <c r="B587">
        <v>718794</v>
      </c>
      <c r="C587">
        <v>2019</v>
      </c>
      <c r="D587" t="s">
        <v>20</v>
      </c>
      <c r="E587" t="s">
        <v>16</v>
      </c>
      <c r="F587">
        <v>0</v>
      </c>
      <c r="G587">
        <v>3</v>
      </c>
      <c r="H587">
        <v>86.255639097744407</v>
      </c>
      <c r="I587" t="b">
        <v>1</v>
      </c>
      <c r="J587">
        <v>0</v>
      </c>
      <c r="K587" t="s">
        <v>26</v>
      </c>
      <c r="L587">
        <v>0</v>
      </c>
      <c r="M587">
        <v>0</v>
      </c>
      <c r="N587">
        <v>0</v>
      </c>
    </row>
    <row r="588" spans="1:14" x14ac:dyDescent="0.2">
      <c r="A588" t="s">
        <v>3871</v>
      </c>
      <c r="B588">
        <v>718894</v>
      </c>
      <c r="C588">
        <v>2019</v>
      </c>
      <c r="D588" t="s">
        <v>20</v>
      </c>
      <c r="E588" t="s">
        <v>13</v>
      </c>
      <c r="F588">
        <v>0</v>
      </c>
      <c r="G588">
        <v>1</v>
      </c>
      <c r="H588">
        <v>91.207108680792899</v>
      </c>
      <c r="I588" t="b">
        <v>0</v>
      </c>
      <c r="J588">
        <v>0</v>
      </c>
      <c r="K588" t="s">
        <v>26</v>
      </c>
      <c r="L588">
        <v>1</v>
      </c>
      <c r="M588">
        <v>1</v>
      </c>
      <c r="N588">
        <v>0</v>
      </c>
    </row>
    <row r="589" spans="1:14" x14ac:dyDescent="0.2">
      <c r="A589" t="s">
        <v>3872</v>
      </c>
      <c r="B589">
        <v>718920</v>
      </c>
      <c r="C589">
        <v>2019</v>
      </c>
      <c r="D589" t="s">
        <v>21</v>
      </c>
      <c r="E589" t="s">
        <v>13</v>
      </c>
      <c r="F589">
        <v>0</v>
      </c>
      <c r="G589">
        <v>2</v>
      </c>
      <c r="H589">
        <v>89.974025974026006</v>
      </c>
      <c r="I589" t="b">
        <v>1</v>
      </c>
      <c r="J589">
        <v>1</v>
      </c>
      <c r="K589" t="s">
        <v>26</v>
      </c>
      <c r="L589">
        <v>0</v>
      </c>
      <c r="M589">
        <v>1</v>
      </c>
      <c r="N589">
        <v>1</v>
      </c>
    </row>
    <row r="590" spans="1:14" x14ac:dyDescent="0.2">
      <c r="A590" t="s">
        <v>3873</v>
      </c>
      <c r="B590">
        <v>718933</v>
      </c>
      <c r="C590">
        <v>2019</v>
      </c>
      <c r="D590" t="s">
        <v>17</v>
      </c>
      <c r="E590" t="s">
        <v>13</v>
      </c>
      <c r="F590">
        <v>0</v>
      </c>
      <c r="G590">
        <v>0</v>
      </c>
      <c r="H590">
        <v>79.660970608338999</v>
      </c>
      <c r="I590" t="b">
        <v>0</v>
      </c>
      <c r="J590">
        <v>0</v>
      </c>
      <c r="K590" t="s">
        <v>26</v>
      </c>
      <c r="L590">
        <v>0</v>
      </c>
      <c r="M590">
        <v>0</v>
      </c>
      <c r="N590">
        <v>1</v>
      </c>
    </row>
    <row r="591" spans="1:14" x14ac:dyDescent="0.2">
      <c r="A591" t="s">
        <v>3874</v>
      </c>
      <c r="B591">
        <v>718960</v>
      </c>
      <c r="C591">
        <v>2019</v>
      </c>
      <c r="D591" t="s">
        <v>21</v>
      </c>
      <c r="E591" t="s">
        <v>13</v>
      </c>
      <c r="F591">
        <v>0</v>
      </c>
      <c r="G591">
        <v>1</v>
      </c>
      <c r="H591">
        <v>86.430622009569404</v>
      </c>
      <c r="I591" t="b">
        <v>0</v>
      </c>
      <c r="J591">
        <v>0</v>
      </c>
      <c r="K591" t="s">
        <v>26</v>
      </c>
      <c r="L591">
        <v>0</v>
      </c>
      <c r="M591">
        <v>0</v>
      </c>
      <c r="N591">
        <v>1</v>
      </c>
    </row>
    <row r="592" spans="1:14" x14ac:dyDescent="0.2">
      <c r="A592" t="s">
        <v>3875</v>
      </c>
      <c r="B592">
        <v>718961</v>
      </c>
      <c r="C592">
        <v>2019</v>
      </c>
      <c r="D592" t="s">
        <v>17</v>
      </c>
      <c r="E592" t="s">
        <v>13</v>
      </c>
      <c r="F592">
        <v>0</v>
      </c>
      <c r="G592">
        <v>2</v>
      </c>
      <c r="H592">
        <v>78.559125085440897</v>
      </c>
      <c r="I592" t="b">
        <v>0</v>
      </c>
      <c r="J592">
        <v>0</v>
      </c>
      <c r="K592" t="s">
        <v>26</v>
      </c>
      <c r="L592">
        <v>0</v>
      </c>
      <c r="M592">
        <v>0</v>
      </c>
      <c r="N592">
        <v>1</v>
      </c>
    </row>
    <row r="593" spans="1:14" x14ac:dyDescent="0.2">
      <c r="A593" t="s">
        <v>3876</v>
      </c>
      <c r="B593">
        <v>719020</v>
      </c>
      <c r="C593">
        <v>2019</v>
      </c>
      <c r="D593" t="s">
        <v>17</v>
      </c>
      <c r="E593" t="s">
        <v>13</v>
      </c>
      <c r="F593">
        <v>0</v>
      </c>
      <c r="G593">
        <v>6</v>
      </c>
      <c r="H593">
        <v>43.226247436773697</v>
      </c>
      <c r="I593" t="b">
        <v>0</v>
      </c>
      <c r="J593">
        <v>0</v>
      </c>
      <c r="K593" t="s">
        <v>26</v>
      </c>
      <c r="L593">
        <v>1</v>
      </c>
      <c r="M593">
        <v>0</v>
      </c>
      <c r="N593">
        <v>1</v>
      </c>
    </row>
    <row r="594" spans="1:14" x14ac:dyDescent="0.2">
      <c r="A594" t="s">
        <v>3877</v>
      </c>
      <c r="B594">
        <v>719022</v>
      </c>
      <c r="C594">
        <v>2019</v>
      </c>
      <c r="D594" t="s">
        <v>21</v>
      </c>
      <c r="E594" t="s">
        <v>16</v>
      </c>
      <c r="F594">
        <v>0</v>
      </c>
      <c r="G594">
        <v>3</v>
      </c>
      <c r="H594">
        <v>74.630211893369804</v>
      </c>
      <c r="I594" t="b">
        <v>1</v>
      </c>
      <c r="J594">
        <v>1</v>
      </c>
      <c r="K594" t="s">
        <v>26</v>
      </c>
      <c r="L594">
        <v>1</v>
      </c>
      <c r="M594">
        <v>0</v>
      </c>
      <c r="N594">
        <v>0</v>
      </c>
    </row>
    <row r="595" spans="1:14" x14ac:dyDescent="0.2">
      <c r="A595" t="s">
        <v>3878</v>
      </c>
      <c r="B595">
        <v>719073</v>
      </c>
      <c r="C595">
        <v>2019</v>
      </c>
      <c r="D595" t="s">
        <v>17</v>
      </c>
      <c r="E595" t="s">
        <v>13</v>
      </c>
      <c r="F595">
        <v>0</v>
      </c>
      <c r="G595">
        <v>5</v>
      </c>
      <c r="H595">
        <v>73.189336978810701</v>
      </c>
      <c r="I595" t="b">
        <v>0</v>
      </c>
      <c r="J595">
        <v>1</v>
      </c>
      <c r="K595" t="s">
        <v>26</v>
      </c>
      <c r="L595">
        <v>0</v>
      </c>
      <c r="M595">
        <v>0</v>
      </c>
      <c r="N595">
        <v>0</v>
      </c>
    </row>
    <row r="596" spans="1:14" x14ac:dyDescent="0.2">
      <c r="A596" t="s">
        <v>3879</v>
      </c>
      <c r="B596">
        <v>719306</v>
      </c>
      <c r="C596">
        <v>2019</v>
      </c>
      <c r="D596" t="s">
        <v>22</v>
      </c>
      <c r="E596" t="s">
        <v>13</v>
      </c>
      <c r="F596">
        <v>0</v>
      </c>
      <c r="G596">
        <v>0</v>
      </c>
      <c r="H596">
        <v>83.945317840054699</v>
      </c>
      <c r="I596" t="b">
        <v>0</v>
      </c>
      <c r="J596">
        <v>0</v>
      </c>
      <c r="K596" t="s">
        <v>26</v>
      </c>
      <c r="L596">
        <v>0</v>
      </c>
      <c r="M596">
        <v>0</v>
      </c>
      <c r="N596">
        <v>0</v>
      </c>
    </row>
    <row r="597" spans="1:14" x14ac:dyDescent="0.2">
      <c r="A597" t="s">
        <v>3880</v>
      </c>
      <c r="B597">
        <v>719343</v>
      </c>
      <c r="C597">
        <v>2019</v>
      </c>
      <c r="D597" t="s">
        <v>12</v>
      </c>
      <c r="E597" t="s">
        <v>13</v>
      </c>
      <c r="F597">
        <v>0</v>
      </c>
      <c r="G597">
        <v>0</v>
      </c>
      <c r="H597">
        <v>81.342447026657595</v>
      </c>
      <c r="I597" t="b">
        <v>0</v>
      </c>
      <c r="J597">
        <v>0</v>
      </c>
      <c r="K597" t="s">
        <v>26</v>
      </c>
      <c r="L597">
        <v>0</v>
      </c>
      <c r="M597">
        <v>0</v>
      </c>
      <c r="N597">
        <v>0</v>
      </c>
    </row>
    <row r="598" spans="1:14" x14ac:dyDescent="0.2">
      <c r="A598" t="s">
        <v>3881</v>
      </c>
      <c r="B598">
        <v>719346</v>
      </c>
      <c r="C598">
        <v>2019</v>
      </c>
      <c r="D598" t="s">
        <v>17</v>
      </c>
      <c r="E598" t="s">
        <v>13</v>
      </c>
      <c r="F598">
        <v>0</v>
      </c>
      <c r="G598">
        <v>1</v>
      </c>
      <c r="H598">
        <v>92.489405331510596</v>
      </c>
      <c r="I598" t="b">
        <v>0</v>
      </c>
      <c r="J598">
        <v>0</v>
      </c>
      <c r="K598" t="s">
        <v>26</v>
      </c>
      <c r="L598">
        <v>0</v>
      </c>
      <c r="M598">
        <v>0</v>
      </c>
      <c r="N598">
        <v>0</v>
      </c>
    </row>
    <row r="599" spans="1:14" x14ac:dyDescent="0.2">
      <c r="A599" t="s">
        <v>3882</v>
      </c>
      <c r="B599">
        <v>719374</v>
      </c>
      <c r="C599">
        <v>2019</v>
      </c>
      <c r="D599" t="s">
        <v>21</v>
      </c>
      <c r="E599" t="s">
        <v>16</v>
      </c>
      <c r="F599">
        <v>0</v>
      </c>
      <c r="G599">
        <v>7</v>
      </c>
      <c r="H599">
        <v>75.324675324675297</v>
      </c>
      <c r="I599" t="b">
        <v>0</v>
      </c>
      <c r="J599">
        <v>0</v>
      </c>
      <c r="K599" t="s">
        <v>26</v>
      </c>
      <c r="L599">
        <v>0</v>
      </c>
      <c r="M599">
        <v>0</v>
      </c>
      <c r="N599">
        <v>1</v>
      </c>
    </row>
    <row r="600" spans="1:14" x14ac:dyDescent="0.2">
      <c r="A600" t="s">
        <v>3883</v>
      </c>
      <c r="B600">
        <v>719380</v>
      </c>
      <c r="C600">
        <v>2019</v>
      </c>
      <c r="D600" t="s">
        <v>21</v>
      </c>
      <c r="E600" t="s">
        <v>16</v>
      </c>
      <c r="F600">
        <v>0</v>
      </c>
      <c r="G600">
        <v>2</v>
      </c>
      <c r="H600">
        <v>76.076555023923405</v>
      </c>
      <c r="I600" t="b">
        <v>0</v>
      </c>
      <c r="J600">
        <v>0</v>
      </c>
      <c r="K600" t="s">
        <v>26</v>
      </c>
      <c r="L600">
        <v>0</v>
      </c>
      <c r="M600">
        <v>0</v>
      </c>
      <c r="N600">
        <v>1</v>
      </c>
    </row>
    <row r="601" spans="1:14" x14ac:dyDescent="0.2">
      <c r="A601" t="s">
        <v>3884</v>
      </c>
      <c r="B601">
        <v>719394</v>
      </c>
      <c r="C601">
        <v>2019</v>
      </c>
      <c r="D601" t="s">
        <v>21</v>
      </c>
      <c r="E601" t="s">
        <v>16</v>
      </c>
      <c r="F601">
        <v>0</v>
      </c>
      <c r="G601">
        <v>2</v>
      </c>
      <c r="H601">
        <v>83.483253588516703</v>
      </c>
      <c r="I601" t="b">
        <v>1</v>
      </c>
      <c r="J601">
        <v>1</v>
      </c>
      <c r="K601" t="s">
        <v>26</v>
      </c>
      <c r="L601">
        <v>0</v>
      </c>
      <c r="M601">
        <v>0</v>
      </c>
      <c r="N601">
        <v>0</v>
      </c>
    </row>
    <row r="602" spans="1:14" x14ac:dyDescent="0.2">
      <c r="A602" t="s">
        <v>3885</v>
      </c>
      <c r="B602">
        <v>719408</v>
      </c>
      <c r="C602">
        <v>2019</v>
      </c>
      <c r="D602" t="s">
        <v>17</v>
      </c>
      <c r="E602" t="s">
        <v>13</v>
      </c>
      <c r="F602">
        <v>1</v>
      </c>
      <c r="G602">
        <v>4</v>
      </c>
      <c r="H602">
        <v>84.809295967190707</v>
      </c>
      <c r="I602" t="b">
        <v>0</v>
      </c>
      <c r="J602">
        <v>0</v>
      </c>
      <c r="K602" t="s">
        <v>26</v>
      </c>
      <c r="L602">
        <v>0</v>
      </c>
      <c r="M602">
        <v>0</v>
      </c>
      <c r="N602">
        <v>1</v>
      </c>
    </row>
    <row r="603" spans="1:14" x14ac:dyDescent="0.2">
      <c r="A603" t="s">
        <v>3886</v>
      </c>
      <c r="B603">
        <v>719417</v>
      </c>
      <c r="C603">
        <v>2019</v>
      </c>
      <c r="D603" t="s">
        <v>12</v>
      </c>
      <c r="E603" t="s">
        <v>13</v>
      </c>
      <c r="F603">
        <v>0</v>
      </c>
      <c r="G603">
        <v>2</v>
      </c>
      <c r="H603">
        <v>91.051264524948706</v>
      </c>
      <c r="I603" t="b">
        <v>0</v>
      </c>
      <c r="J603">
        <v>0</v>
      </c>
      <c r="K603" t="s">
        <v>26</v>
      </c>
      <c r="L603">
        <v>0</v>
      </c>
      <c r="M603">
        <v>0</v>
      </c>
      <c r="N603">
        <v>1</v>
      </c>
    </row>
    <row r="604" spans="1:14" x14ac:dyDescent="0.2">
      <c r="A604" t="s">
        <v>3887</v>
      </c>
      <c r="B604">
        <v>719705</v>
      </c>
      <c r="C604">
        <v>2019</v>
      </c>
      <c r="D604" t="s">
        <v>12</v>
      </c>
      <c r="E604" t="s">
        <v>13</v>
      </c>
      <c r="F604">
        <v>0</v>
      </c>
      <c r="G604">
        <v>1</v>
      </c>
      <c r="H604">
        <v>82.602870813397104</v>
      </c>
      <c r="I604" t="b">
        <v>0</v>
      </c>
      <c r="J604">
        <v>0</v>
      </c>
      <c r="K604" t="s">
        <v>26</v>
      </c>
      <c r="L604">
        <v>0</v>
      </c>
      <c r="M604">
        <v>0</v>
      </c>
      <c r="N604">
        <v>1</v>
      </c>
    </row>
    <row r="605" spans="1:14" x14ac:dyDescent="0.2">
      <c r="A605" t="s">
        <v>3888</v>
      </c>
      <c r="B605">
        <v>719712</v>
      </c>
      <c r="C605">
        <v>2018</v>
      </c>
      <c r="D605" t="s">
        <v>21</v>
      </c>
      <c r="E605" t="s">
        <v>16</v>
      </c>
      <c r="F605">
        <v>0</v>
      </c>
      <c r="G605">
        <v>6</v>
      </c>
      <c r="H605">
        <v>84.298017771702007</v>
      </c>
      <c r="I605" t="b">
        <v>0</v>
      </c>
      <c r="J605">
        <v>1</v>
      </c>
      <c r="K605" t="s">
        <v>26</v>
      </c>
      <c r="L605">
        <v>0</v>
      </c>
      <c r="M605">
        <v>0</v>
      </c>
      <c r="N605">
        <v>1</v>
      </c>
    </row>
    <row r="606" spans="1:14" x14ac:dyDescent="0.2">
      <c r="A606" t="s">
        <v>3889</v>
      </c>
      <c r="B606">
        <v>719739</v>
      </c>
      <c r="C606">
        <v>2019</v>
      </c>
      <c r="D606" t="s">
        <v>12</v>
      </c>
      <c r="E606" t="s">
        <v>16</v>
      </c>
      <c r="F606">
        <v>0</v>
      </c>
      <c r="G606">
        <v>0</v>
      </c>
      <c r="H606">
        <v>85.189336978810701</v>
      </c>
      <c r="I606" t="b">
        <v>0</v>
      </c>
      <c r="J606">
        <v>0</v>
      </c>
      <c r="K606" t="s">
        <v>26</v>
      </c>
      <c r="L606">
        <v>0</v>
      </c>
      <c r="M606">
        <v>0</v>
      </c>
      <c r="N606">
        <v>0</v>
      </c>
    </row>
    <row r="607" spans="1:14" x14ac:dyDescent="0.2">
      <c r="A607" t="s">
        <v>3890</v>
      </c>
      <c r="B607">
        <v>719762</v>
      </c>
      <c r="C607">
        <v>2019</v>
      </c>
      <c r="D607" t="s">
        <v>12</v>
      </c>
      <c r="E607" t="s">
        <v>13</v>
      </c>
      <c r="F607">
        <v>0</v>
      </c>
      <c r="G607">
        <v>3</v>
      </c>
      <c r="H607">
        <v>73.599453178400495</v>
      </c>
      <c r="I607" t="b">
        <v>0</v>
      </c>
      <c r="J607">
        <v>0</v>
      </c>
      <c r="K607" t="s">
        <v>26</v>
      </c>
      <c r="L607">
        <v>1</v>
      </c>
      <c r="M607">
        <v>0</v>
      </c>
      <c r="N607">
        <v>0</v>
      </c>
    </row>
    <row r="608" spans="1:14" x14ac:dyDescent="0.2">
      <c r="A608" t="s">
        <v>3891</v>
      </c>
      <c r="B608">
        <v>719772</v>
      </c>
      <c r="C608">
        <v>2019</v>
      </c>
      <c r="D608" t="s">
        <v>20</v>
      </c>
      <c r="E608" t="s">
        <v>13</v>
      </c>
      <c r="F608">
        <v>0</v>
      </c>
      <c r="G608">
        <v>0</v>
      </c>
      <c r="H608">
        <v>76.669856459330106</v>
      </c>
      <c r="I608" t="b">
        <v>0</v>
      </c>
      <c r="J608">
        <v>0</v>
      </c>
      <c r="K608" t="s">
        <v>26</v>
      </c>
      <c r="L608">
        <v>0</v>
      </c>
      <c r="M608">
        <v>0</v>
      </c>
      <c r="N608">
        <v>1</v>
      </c>
    </row>
    <row r="609" spans="1:14" x14ac:dyDescent="0.2">
      <c r="A609" t="s">
        <v>3892</v>
      </c>
      <c r="B609">
        <v>719800</v>
      </c>
      <c r="C609">
        <v>2018</v>
      </c>
      <c r="D609" t="s">
        <v>21</v>
      </c>
      <c r="E609" t="s">
        <v>13</v>
      </c>
      <c r="F609">
        <v>0</v>
      </c>
      <c r="G609">
        <v>0</v>
      </c>
      <c r="H609">
        <v>31.967190704032799</v>
      </c>
      <c r="I609" t="b">
        <v>0</v>
      </c>
      <c r="J609">
        <v>0</v>
      </c>
      <c r="K609" t="s">
        <v>26</v>
      </c>
      <c r="L609">
        <v>0</v>
      </c>
      <c r="M609">
        <v>0</v>
      </c>
      <c r="N609">
        <v>0</v>
      </c>
    </row>
    <row r="610" spans="1:14" x14ac:dyDescent="0.2">
      <c r="A610" t="s">
        <v>3893</v>
      </c>
      <c r="B610">
        <v>719819</v>
      </c>
      <c r="C610">
        <v>2018</v>
      </c>
      <c r="D610" t="s">
        <v>22</v>
      </c>
      <c r="E610" t="s">
        <v>13</v>
      </c>
      <c r="F610">
        <v>0</v>
      </c>
      <c r="G610">
        <v>6</v>
      </c>
      <c r="H610">
        <v>79.502392344497594</v>
      </c>
      <c r="I610" t="b">
        <v>0</v>
      </c>
      <c r="J610">
        <v>1</v>
      </c>
      <c r="K610" t="s">
        <v>26</v>
      </c>
      <c r="L610">
        <v>0</v>
      </c>
      <c r="M610">
        <v>0</v>
      </c>
      <c r="N610">
        <v>0</v>
      </c>
    </row>
    <row r="611" spans="1:14" x14ac:dyDescent="0.2">
      <c r="A611" t="s">
        <v>3894</v>
      </c>
      <c r="B611">
        <v>719831</v>
      </c>
      <c r="C611">
        <v>2018</v>
      </c>
      <c r="D611" t="s">
        <v>21</v>
      </c>
      <c r="E611" t="s">
        <v>16</v>
      </c>
      <c r="F611">
        <v>0</v>
      </c>
      <c r="G611">
        <v>0</v>
      </c>
      <c r="H611">
        <v>45.807245386192797</v>
      </c>
      <c r="I611" t="b">
        <v>0</v>
      </c>
      <c r="J611">
        <v>0</v>
      </c>
      <c r="K611" t="s">
        <v>26</v>
      </c>
      <c r="L611">
        <v>0</v>
      </c>
      <c r="M611">
        <v>0</v>
      </c>
      <c r="N611">
        <v>0</v>
      </c>
    </row>
    <row r="612" spans="1:14" x14ac:dyDescent="0.2">
      <c r="A612" t="s">
        <v>3895</v>
      </c>
      <c r="B612">
        <v>719833</v>
      </c>
      <c r="C612">
        <v>2018</v>
      </c>
      <c r="D612" t="s">
        <v>28</v>
      </c>
      <c r="E612" t="s">
        <v>13</v>
      </c>
      <c r="F612">
        <v>0</v>
      </c>
      <c r="G612">
        <v>1</v>
      </c>
      <c r="H612">
        <v>78.682159945317807</v>
      </c>
      <c r="I612" t="b">
        <v>0</v>
      </c>
      <c r="J612">
        <v>0</v>
      </c>
      <c r="K612" t="s">
        <v>26</v>
      </c>
      <c r="L612">
        <v>0</v>
      </c>
      <c r="M612">
        <v>0</v>
      </c>
      <c r="N612">
        <v>0</v>
      </c>
    </row>
    <row r="613" spans="1:14" x14ac:dyDescent="0.2">
      <c r="A613" t="s">
        <v>3896</v>
      </c>
      <c r="B613">
        <v>719843</v>
      </c>
      <c r="C613">
        <v>2018</v>
      </c>
      <c r="D613" t="s">
        <v>12</v>
      </c>
      <c r="E613" t="s">
        <v>16</v>
      </c>
      <c r="F613">
        <v>0</v>
      </c>
      <c r="G613">
        <v>3</v>
      </c>
      <c r="H613">
        <v>69.033492822966494</v>
      </c>
      <c r="I613" t="b">
        <v>0</v>
      </c>
      <c r="J613">
        <v>0</v>
      </c>
      <c r="K613" t="s">
        <v>26</v>
      </c>
      <c r="L613">
        <v>0</v>
      </c>
      <c r="M613">
        <v>0</v>
      </c>
      <c r="N613">
        <v>0</v>
      </c>
    </row>
    <row r="614" spans="1:14" x14ac:dyDescent="0.2">
      <c r="A614" t="s">
        <v>3897</v>
      </c>
      <c r="B614">
        <v>719846</v>
      </c>
      <c r="C614">
        <v>2018</v>
      </c>
      <c r="D614" t="s">
        <v>28</v>
      </c>
      <c r="E614" t="s">
        <v>13</v>
      </c>
      <c r="F614">
        <v>0</v>
      </c>
      <c r="G614">
        <v>0</v>
      </c>
      <c r="H614">
        <v>77.142857142857096</v>
      </c>
      <c r="I614" t="b">
        <v>0</v>
      </c>
      <c r="J614">
        <v>1</v>
      </c>
      <c r="K614" t="s">
        <v>26</v>
      </c>
      <c r="L614">
        <v>0</v>
      </c>
      <c r="M614">
        <v>0</v>
      </c>
      <c r="N614">
        <v>0</v>
      </c>
    </row>
    <row r="615" spans="1:14" x14ac:dyDescent="0.2">
      <c r="A615" t="s">
        <v>3898</v>
      </c>
      <c r="B615">
        <v>719857</v>
      </c>
      <c r="C615">
        <v>2018</v>
      </c>
      <c r="D615" t="s">
        <v>12</v>
      </c>
      <c r="E615" t="s">
        <v>13</v>
      </c>
      <c r="F615">
        <v>0</v>
      </c>
      <c r="G615">
        <v>0</v>
      </c>
      <c r="H615">
        <v>86.2693096377307</v>
      </c>
      <c r="I615" t="b">
        <v>0</v>
      </c>
      <c r="J615">
        <v>0</v>
      </c>
      <c r="K615" t="s">
        <v>26</v>
      </c>
      <c r="L615">
        <v>0</v>
      </c>
      <c r="M615">
        <v>0</v>
      </c>
      <c r="N615">
        <v>0</v>
      </c>
    </row>
    <row r="616" spans="1:14" x14ac:dyDescent="0.2">
      <c r="A616" t="s">
        <v>3899</v>
      </c>
      <c r="B616">
        <v>719860</v>
      </c>
      <c r="C616">
        <v>2018</v>
      </c>
      <c r="D616" t="s">
        <v>12</v>
      </c>
      <c r="E616" t="s">
        <v>13</v>
      </c>
      <c r="F616">
        <v>0</v>
      </c>
      <c r="G616">
        <v>0</v>
      </c>
      <c r="H616">
        <v>45.952153110047803</v>
      </c>
      <c r="I616" t="b">
        <v>0</v>
      </c>
      <c r="J616">
        <v>0</v>
      </c>
      <c r="K616" t="s">
        <v>26</v>
      </c>
      <c r="L616">
        <v>0</v>
      </c>
      <c r="M616">
        <v>0</v>
      </c>
      <c r="N616">
        <v>0</v>
      </c>
    </row>
    <row r="617" spans="1:14" x14ac:dyDescent="0.2">
      <c r="A617" t="s">
        <v>3900</v>
      </c>
      <c r="B617">
        <v>719863</v>
      </c>
      <c r="C617">
        <v>2018</v>
      </c>
      <c r="D617" t="s">
        <v>12</v>
      </c>
      <c r="E617" t="s">
        <v>16</v>
      </c>
      <c r="F617">
        <v>0</v>
      </c>
      <c r="G617">
        <v>2</v>
      </c>
      <c r="H617">
        <v>63.595352016404597</v>
      </c>
      <c r="I617" t="b">
        <v>0</v>
      </c>
      <c r="J617">
        <v>0</v>
      </c>
      <c r="K617" t="s">
        <v>26</v>
      </c>
      <c r="L617">
        <v>0</v>
      </c>
      <c r="M617">
        <v>0</v>
      </c>
      <c r="N617">
        <v>0</v>
      </c>
    </row>
    <row r="618" spans="1:14" x14ac:dyDescent="0.2">
      <c r="A618" t="s">
        <v>3901</v>
      </c>
      <c r="B618">
        <v>719866</v>
      </c>
      <c r="C618">
        <v>2018</v>
      </c>
      <c r="D618" t="s">
        <v>17</v>
      </c>
      <c r="E618" t="s">
        <v>13</v>
      </c>
      <c r="F618">
        <v>0</v>
      </c>
      <c r="G618">
        <v>6</v>
      </c>
      <c r="H618">
        <v>86.745044429255003</v>
      </c>
      <c r="I618" t="b">
        <v>0</v>
      </c>
      <c r="J618">
        <v>0</v>
      </c>
      <c r="K618" t="s">
        <v>26</v>
      </c>
      <c r="L618">
        <v>0</v>
      </c>
      <c r="M618">
        <v>0</v>
      </c>
      <c r="N618">
        <v>1</v>
      </c>
    </row>
    <row r="619" spans="1:14" x14ac:dyDescent="0.2">
      <c r="A619" t="s">
        <v>3902</v>
      </c>
      <c r="B619">
        <v>719867</v>
      </c>
      <c r="C619">
        <v>2018</v>
      </c>
      <c r="D619" t="s">
        <v>12</v>
      </c>
      <c r="E619" t="s">
        <v>13</v>
      </c>
      <c r="F619">
        <v>0</v>
      </c>
      <c r="G619">
        <v>2</v>
      </c>
      <c r="H619">
        <v>63.666438824333603</v>
      </c>
      <c r="I619" t="b">
        <v>0</v>
      </c>
      <c r="J619">
        <v>0</v>
      </c>
      <c r="K619" t="s">
        <v>26</v>
      </c>
      <c r="L619">
        <v>0</v>
      </c>
      <c r="M619">
        <v>0</v>
      </c>
      <c r="N619" t="s">
        <v>18</v>
      </c>
    </row>
    <row r="620" spans="1:14" x14ac:dyDescent="0.2">
      <c r="A620" t="s">
        <v>3903</v>
      </c>
      <c r="B620">
        <v>719870</v>
      </c>
      <c r="C620">
        <v>2018</v>
      </c>
      <c r="D620" t="s">
        <v>12</v>
      </c>
      <c r="E620" t="s">
        <v>16</v>
      </c>
      <c r="F620">
        <v>1</v>
      </c>
      <c r="G620">
        <v>6</v>
      </c>
      <c r="H620">
        <v>50.329460013670499</v>
      </c>
      <c r="I620" t="b">
        <v>0</v>
      </c>
      <c r="J620">
        <v>0</v>
      </c>
      <c r="K620" t="s">
        <v>26</v>
      </c>
      <c r="L620">
        <v>0</v>
      </c>
      <c r="M620">
        <v>0</v>
      </c>
      <c r="N620">
        <v>0</v>
      </c>
    </row>
    <row r="621" spans="1:14" x14ac:dyDescent="0.2">
      <c r="A621" t="s">
        <v>3904</v>
      </c>
      <c r="B621">
        <v>719872</v>
      </c>
      <c r="C621">
        <v>2018</v>
      </c>
      <c r="D621" t="s">
        <v>22</v>
      </c>
      <c r="E621" t="s">
        <v>13</v>
      </c>
      <c r="F621">
        <v>0</v>
      </c>
      <c r="G621">
        <v>1</v>
      </c>
      <c r="H621">
        <v>78.550922761449101</v>
      </c>
      <c r="I621" t="b">
        <v>0</v>
      </c>
      <c r="J621">
        <v>0</v>
      </c>
      <c r="K621" t="s">
        <v>26</v>
      </c>
      <c r="L621">
        <v>0</v>
      </c>
      <c r="M621">
        <v>0</v>
      </c>
      <c r="N621">
        <v>0</v>
      </c>
    </row>
    <row r="622" spans="1:14" x14ac:dyDescent="0.2">
      <c r="A622" t="s">
        <v>3905</v>
      </c>
      <c r="B622">
        <v>719876</v>
      </c>
      <c r="C622">
        <v>2018</v>
      </c>
      <c r="D622" t="s">
        <v>12</v>
      </c>
      <c r="E622" t="s">
        <v>13</v>
      </c>
      <c r="F622">
        <v>0</v>
      </c>
      <c r="G622">
        <v>2</v>
      </c>
      <c r="H622">
        <v>62.4251537935749</v>
      </c>
      <c r="I622" t="b">
        <v>0</v>
      </c>
      <c r="J622">
        <v>0</v>
      </c>
      <c r="K622" t="s">
        <v>26</v>
      </c>
      <c r="L622">
        <v>0</v>
      </c>
      <c r="M622">
        <v>0</v>
      </c>
      <c r="N622">
        <v>1</v>
      </c>
    </row>
    <row r="623" spans="1:14" x14ac:dyDescent="0.2">
      <c r="A623" t="s">
        <v>3906</v>
      </c>
      <c r="B623">
        <v>719892</v>
      </c>
      <c r="C623">
        <v>2018</v>
      </c>
      <c r="D623" t="s">
        <v>20</v>
      </c>
      <c r="E623" t="s">
        <v>13</v>
      </c>
      <c r="F623">
        <v>0</v>
      </c>
      <c r="G623">
        <v>0</v>
      </c>
      <c r="H623">
        <v>28.6179084073821</v>
      </c>
      <c r="I623" t="b">
        <v>1</v>
      </c>
      <c r="J623">
        <v>0</v>
      </c>
      <c r="K623" t="s">
        <v>26</v>
      </c>
      <c r="L623">
        <v>0</v>
      </c>
      <c r="M623">
        <v>0</v>
      </c>
      <c r="N623">
        <v>1</v>
      </c>
    </row>
    <row r="624" spans="1:14" x14ac:dyDescent="0.2">
      <c r="A624" t="s">
        <v>3907</v>
      </c>
      <c r="B624">
        <v>719895</v>
      </c>
      <c r="C624">
        <v>2018</v>
      </c>
      <c r="D624" t="s">
        <v>12</v>
      </c>
      <c r="E624" t="s">
        <v>13</v>
      </c>
      <c r="F624">
        <v>0</v>
      </c>
      <c r="G624">
        <v>0</v>
      </c>
      <c r="H624">
        <v>67.784005468215994</v>
      </c>
      <c r="I624" t="b">
        <v>0</v>
      </c>
      <c r="J624">
        <v>0</v>
      </c>
      <c r="K624" t="s">
        <v>26</v>
      </c>
      <c r="L624">
        <v>0</v>
      </c>
      <c r="M624">
        <v>0</v>
      </c>
      <c r="N624">
        <v>1</v>
      </c>
    </row>
    <row r="625" spans="1:14" x14ac:dyDescent="0.2">
      <c r="A625" t="s">
        <v>3908</v>
      </c>
      <c r="B625">
        <v>719925</v>
      </c>
      <c r="C625">
        <v>2018</v>
      </c>
      <c r="D625" t="s">
        <v>17</v>
      </c>
      <c r="E625" t="s">
        <v>13</v>
      </c>
      <c r="F625">
        <v>1</v>
      </c>
      <c r="G625">
        <v>2</v>
      </c>
      <c r="H625">
        <v>66.236500341763502</v>
      </c>
      <c r="I625" t="b">
        <v>0</v>
      </c>
      <c r="J625">
        <v>0</v>
      </c>
      <c r="K625" t="s">
        <v>26</v>
      </c>
      <c r="L625">
        <v>0</v>
      </c>
      <c r="M625">
        <v>0</v>
      </c>
      <c r="N625" t="s">
        <v>18</v>
      </c>
    </row>
    <row r="626" spans="1:14" x14ac:dyDescent="0.2">
      <c r="A626" t="s">
        <v>3909</v>
      </c>
      <c r="B626">
        <v>719964</v>
      </c>
      <c r="C626">
        <v>2018</v>
      </c>
      <c r="D626" t="s">
        <v>12</v>
      </c>
      <c r="E626" t="s">
        <v>16</v>
      </c>
      <c r="F626">
        <v>0</v>
      </c>
      <c r="G626">
        <v>2</v>
      </c>
      <c r="H626">
        <v>38.2966507177034</v>
      </c>
      <c r="I626" t="b">
        <v>0</v>
      </c>
      <c r="J626">
        <v>0</v>
      </c>
      <c r="K626" t="s">
        <v>26</v>
      </c>
      <c r="L626">
        <v>0</v>
      </c>
      <c r="M626">
        <v>0</v>
      </c>
      <c r="N626">
        <v>1</v>
      </c>
    </row>
    <row r="627" spans="1:14" x14ac:dyDescent="0.2">
      <c r="A627" t="s">
        <v>3910</v>
      </c>
      <c r="B627">
        <v>719994</v>
      </c>
      <c r="C627">
        <v>2018</v>
      </c>
      <c r="D627" t="s">
        <v>20</v>
      </c>
      <c r="E627" t="s">
        <v>13</v>
      </c>
      <c r="F627">
        <v>0</v>
      </c>
      <c r="G627">
        <v>2</v>
      </c>
      <c r="H627">
        <v>58.641148325358799</v>
      </c>
      <c r="I627" t="b">
        <v>0</v>
      </c>
      <c r="J627">
        <v>0</v>
      </c>
      <c r="K627" t="s">
        <v>26</v>
      </c>
      <c r="L627">
        <v>0</v>
      </c>
      <c r="M627">
        <v>0</v>
      </c>
      <c r="N627">
        <v>0</v>
      </c>
    </row>
    <row r="628" spans="1:14" x14ac:dyDescent="0.2">
      <c r="A628" t="s">
        <v>3911</v>
      </c>
      <c r="B628">
        <v>719996</v>
      </c>
      <c r="C628">
        <v>2018</v>
      </c>
      <c r="D628" t="s">
        <v>12</v>
      </c>
      <c r="E628" t="s">
        <v>13</v>
      </c>
      <c r="F628">
        <v>0</v>
      </c>
      <c r="G628">
        <v>6</v>
      </c>
      <c r="H628">
        <v>53.626794258373202</v>
      </c>
      <c r="I628" t="b">
        <v>0</v>
      </c>
      <c r="J628">
        <v>0</v>
      </c>
      <c r="K628" t="s">
        <v>26</v>
      </c>
      <c r="L628">
        <v>0</v>
      </c>
      <c r="M628">
        <v>0</v>
      </c>
      <c r="N628">
        <v>0</v>
      </c>
    </row>
    <row r="629" spans="1:14" x14ac:dyDescent="0.2">
      <c r="A629" t="s">
        <v>3912</v>
      </c>
      <c r="B629">
        <v>719999</v>
      </c>
      <c r="C629">
        <v>2018</v>
      </c>
      <c r="D629" t="s">
        <v>12</v>
      </c>
      <c r="E629" t="s">
        <v>13</v>
      </c>
      <c r="F629">
        <v>0</v>
      </c>
      <c r="G629">
        <v>0</v>
      </c>
      <c r="H629">
        <v>82.887218045112803</v>
      </c>
      <c r="I629" t="b">
        <v>1</v>
      </c>
      <c r="J629">
        <v>0</v>
      </c>
      <c r="K629" t="s">
        <v>26</v>
      </c>
      <c r="L629">
        <v>1</v>
      </c>
      <c r="M629">
        <v>0</v>
      </c>
      <c r="N629">
        <v>0</v>
      </c>
    </row>
    <row r="630" spans="1:14" x14ac:dyDescent="0.2">
      <c r="A630" t="s">
        <v>3913</v>
      </c>
      <c r="B630">
        <v>720003</v>
      </c>
      <c r="C630">
        <v>2018</v>
      </c>
      <c r="D630" t="s">
        <v>20</v>
      </c>
      <c r="E630" t="s">
        <v>13</v>
      </c>
      <c r="F630">
        <v>1</v>
      </c>
      <c r="G630">
        <v>2</v>
      </c>
      <c r="H630">
        <v>46.895420369104599</v>
      </c>
      <c r="I630" t="b">
        <v>0</v>
      </c>
      <c r="J630">
        <v>0</v>
      </c>
      <c r="K630" t="s">
        <v>26</v>
      </c>
      <c r="L630">
        <v>0</v>
      </c>
      <c r="M630">
        <v>0</v>
      </c>
      <c r="N630">
        <v>1</v>
      </c>
    </row>
    <row r="631" spans="1:14" x14ac:dyDescent="0.2">
      <c r="A631" t="s">
        <v>3914</v>
      </c>
      <c r="B631">
        <v>720012</v>
      </c>
      <c r="C631">
        <v>2018</v>
      </c>
      <c r="D631" t="s">
        <v>12</v>
      </c>
      <c r="E631" t="s">
        <v>13</v>
      </c>
      <c r="F631" t="s">
        <v>18</v>
      </c>
      <c r="G631">
        <v>0</v>
      </c>
      <c r="H631">
        <v>75.674641148325406</v>
      </c>
      <c r="I631" t="b">
        <v>0</v>
      </c>
      <c r="J631">
        <v>0</v>
      </c>
      <c r="K631" t="s">
        <v>26</v>
      </c>
      <c r="L631">
        <v>0</v>
      </c>
      <c r="M631">
        <v>0</v>
      </c>
      <c r="N631" t="s">
        <v>18</v>
      </c>
    </row>
    <row r="632" spans="1:14" x14ac:dyDescent="0.2">
      <c r="A632" t="s">
        <v>3915</v>
      </c>
      <c r="B632">
        <v>720016</v>
      </c>
      <c r="C632">
        <v>2019</v>
      </c>
      <c r="D632" t="s">
        <v>21</v>
      </c>
      <c r="E632" t="s">
        <v>13</v>
      </c>
      <c r="F632">
        <v>0</v>
      </c>
      <c r="G632">
        <v>2</v>
      </c>
      <c r="H632">
        <v>94.575529733424503</v>
      </c>
      <c r="I632" t="b">
        <v>0</v>
      </c>
      <c r="J632">
        <v>0</v>
      </c>
      <c r="K632" t="s">
        <v>26</v>
      </c>
      <c r="L632">
        <v>0</v>
      </c>
      <c r="M632">
        <v>0</v>
      </c>
      <c r="N632">
        <v>0</v>
      </c>
    </row>
    <row r="633" spans="1:14" x14ac:dyDescent="0.2">
      <c r="A633" t="s">
        <v>3916</v>
      </c>
      <c r="B633">
        <v>720024</v>
      </c>
      <c r="C633">
        <v>2019</v>
      </c>
      <c r="D633" t="s">
        <v>12</v>
      </c>
      <c r="E633" t="s">
        <v>16</v>
      </c>
      <c r="F633">
        <v>0</v>
      </c>
      <c r="G633">
        <v>7</v>
      </c>
      <c r="H633">
        <v>75.551606288448397</v>
      </c>
      <c r="I633" t="b">
        <v>0</v>
      </c>
      <c r="J633">
        <v>0</v>
      </c>
      <c r="K633" t="s">
        <v>26</v>
      </c>
      <c r="L633">
        <v>0</v>
      </c>
      <c r="M633">
        <v>0</v>
      </c>
      <c r="N633">
        <v>0</v>
      </c>
    </row>
    <row r="634" spans="1:14" x14ac:dyDescent="0.2">
      <c r="A634" t="s">
        <v>3917</v>
      </c>
      <c r="B634">
        <v>720030</v>
      </c>
      <c r="C634">
        <v>2019</v>
      </c>
      <c r="D634" t="s">
        <v>12</v>
      </c>
      <c r="E634" t="s">
        <v>16</v>
      </c>
      <c r="F634">
        <v>0</v>
      </c>
      <c r="G634">
        <v>3</v>
      </c>
      <c r="H634">
        <v>75.6883116883117</v>
      </c>
      <c r="I634" t="b">
        <v>0</v>
      </c>
      <c r="J634">
        <v>0</v>
      </c>
      <c r="K634" t="s">
        <v>26</v>
      </c>
      <c r="L634">
        <v>1</v>
      </c>
      <c r="M634">
        <v>1</v>
      </c>
      <c r="N634">
        <v>0</v>
      </c>
    </row>
    <row r="635" spans="1:14" x14ac:dyDescent="0.2">
      <c r="A635" t="s">
        <v>3918</v>
      </c>
      <c r="B635">
        <v>720033</v>
      </c>
      <c r="C635">
        <v>2018</v>
      </c>
      <c r="D635" t="s">
        <v>21</v>
      </c>
      <c r="E635" t="s">
        <v>13</v>
      </c>
      <c r="F635">
        <v>0</v>
      </c>
      <c r="G635">
        <v>1</v>
      </c>
      <c r="H635">
        <v>79.379357484620598</v>
      </c>
      <c r="I635" t="b">
        <v>0</v>
      </c>
      <c r="J635">
        <v>1</v>
      </c>
      <c r="K635" t="s">
        <v>26</v>
      </c>
      <c r="L635">
        <v>0</v>
      </c>
      <c r="M635">
        <v>0</v>
      </c>
      <c r="N635">
        <v>0</v>
      </c>
    </row>
    <row r="636" spans="1:14" x14ac:dyDescent="0.2">
      <c r="A636" t="s">
        <v>3919</v>
      </c>
      <c r="B636">
        <v>720053</v>
      </c>
      <c r="C636">
        <v>2018</v>
      </c>
      <c r="D636" t="s">
        <v>12</v>
      </c>
      <c r="E636" t="s">
        <v>13</v>
      </c>
      <c r="F636">
        <v>0</v>
      </c>
      <c r="G636">
        <v>0</v>
      </c>
      <c r="H636">
        <v>52.087491455912499</v>
      </c>
      <c r="I636" t="b">
        <v>0</v>
      </c>
      <c r="J636">
        <v>0</v>
      </c>
      <c r="K636" t="s">
        <v>26</v>
      </c>
      <c r="L636">
        <v>0</v>
      </c>
      <c r="M636">
        <v>0</v>
      </c>
      <c r="N636">
        <v>1</v>
      </c>
    </row>
    <row r="637" spans="1:14" x14ac:dyDescent="0.2">
      <c r="A637" t="s">
        <v>3920</v>
      </c>
      <c r="B637">
        <v>720072</v>
      </c>
      <c r="C637">
        <v>2018</v>
      </c>
      <c r="D637" t="s">
        <v>12</v>
      </c>
      <c r="E637" t="s">
        <v>13</v>
      </c>
      <c r="F637" t="s">
        <v>18</v>
      </c>
      <c r="G637">
        <v>0</v>
      </c>
      <c r="H637">
        <v>91.909774436090203</v>
      </c>
      <c r="I637" t="b">
        <v>0</v>
      </c>
      <c r="J637">
        <v>0</v>
      </c>
      <c r="K637" t="s">
        <v>26</v>
      </c>
      <c r="L637">
        <v>0</v>
      </c>
      <c r="M637">
        <v>0</v>
      </c>
      <c r="N637" t="s">
        <v>18</v>
      </c>
    </row>
    <row r="638" spans="1:14" x14ac:dyDescent="0.2">
      <c r="A638" t="s">
        <v>3921</v>
      </c>
      <c r="B638">
        <v>720079</v>
      </c>
      <c r="C638">
        <v>2019</v>
      </c>
      <c r="D638" t="s">
        <v>12</v>
      </c>
      <c r="E638" t="s">
        <v>13</v>
      </c>
      <c r="F638">
        <v>0</v>
      </c>
      <c r="G638">
        <v>1</v>
      </c>
      <c r="H638">
        <v>80.716336295283696</v>
      </c>
      <c r="I638" t="b">
        <v>0</v>
      </c>
      <c r="J638">
        <v>0</v>
      </c>
      <c r="K638" t="s">
        <v>26</v>
      </c>
      <c r="L638">
        <v>0</v>
      </c>
      <c r="M638">
        <v>0</v>
      </c>
      <c r="N638">
        <v>1</v>
      </c>
    </row>
    <row r="639" spans="1:14" x14ac:dyDescent="0.2">
      <c r="A639" t="s">
        <v>3922</v>
      </c>
      <c r="B639">
        <v>720086</v>
      </c>
      <c r="C639">
        <v>2019</v>
      </c>
      <c r="D639" t="s">
        <v>20</v>
      </c>
      <c r="E639" t="s">
        <v>13</v>
      </c>
      <c r="F639">
        <v>0</v>
      </c>
      <c r="G639">
        <v>2</v>
      </c>
      <c r="H639">
        <v>82.362269309637696</v>
      </c>
      <c r="I639" t="b">
        <v>1</v>
      </c>
      <c r="J639">
        <v>0</v>
      </c>
      <c r="K639" t="s">
        <v>26</v>
      </c>
      <c r="L639">
        <v>1</v>
      </c>
      <c r="M639">
        <v>0</v>
      </c>
      <c r="N639">
        <v>1</v>
      </c>
    </row>
    <row r="640" spans="1:14" x14ac:dyDescent="0.2">
      <c r="A640" t="s">
        <v>3923</v>
      </c>
      <c r="B640">
        <v>720100</v>
      </c>
      <c r="C640">
        <v>2018</v>
      </c>
      <c r="D640" t="s">
        <v>21</v>
      </c>
      <c r="E640" t="s">
        <v>13</v>
      </c>
      <c r="F640">
        <v>0</v>
      </c>
      <c r="G640">
        <v>4</v>
      </c>
      <c r="H640">
        <v>98.102529049897498</v>
      </c>
      <c r="I640" t="b">
        <v>0</v>
      </c>
      <c r="J640">
        <v>0</v>
      </c>
      <c r="K640" t="s">
        <v>26</v>
      </c>
      <c r="L640">
        <v>0</v>
      </c>
      <c r="M640">
        <v>0</v>
      </c>
      <c r="N640">
        <v>1</v>
      </c>
    </row>
    <row r="641" spans="1:14" x14ac:dyDescent="0.2">
      <c r="A641" t="s">
        <v>3924</v>
      </c>
      <c r="B641">
        <v>720104</v>
      </c>
      <c r="C641">
        <v>2018</v>
      </c>
      <c r="D641" t="s">
        <v>17</v>
      </c>
      <c r="E641" t="s">
        <v>13</v>
      </c>
      <c r="F641">
        <v>0</v>
      </c>
      <c r="G641">
        <v>0</v>
      </c>
      <c r="H641">
        <v>45.514695830485302</v>
      </c>
      <c r="I641" t="b">
        <v>0</v>
      </c>
      <c r="J641">
        <v>0</v>
      </c>
      <c r="K641" t="s">
        <v>26</v>
      </c>
      <c r="L641">
        <v>0</v>
      </c>
      <c r="M641">
        <v>0</v>
      </c>
      <c r="N641" t="s">
        <v>18</v>
      </c>
    </row>
    <row r="642" spans="1:14" x14ac:dyDescent="0.2">
      <c r="A642" t="s">
        <v>3925</v>
      </c>
      <c r="B642">
        <v>720107</v>
      </c>
      <c r="C642">
        <v>2019</v>
      </c>
      <c r="D642" t="s">
        <v>12</v>
      </c>
      <c r="E642" t="s">
        <v>13</v>
      </c>
      <c r="F642">
        <v>0</v>
      </c>
      <c r="G642">
        <v>0</v>
      </c>
      <c r="H642">
        <v>83.595352016404604</v>
      </c>
      <c r="I642" t="b">
        <v>0</v>
      </c>
      <c r="J642">
        <v>0</v>
      </c>
      <c r="K642" t="s">
        <v>26</v>
      </c>
      <c r="L642">
        <v>1</v>
      </c>
      <c r="M642">
        <v>0</v>
      </c>
      <c r="N642">
        <v>1</v>
      </c>
    </row>
    <row r="643" spans="1:14" x14ac:dyDescent="0.2">
      <c r="A643" t="s">
        <v>3926</v>
      </c>
      <c r="B643">
        <v>720122</v>
      </c>
      <c r="C643">
        <v>2018</v>
      </c>
      <c r="D643" t="s">
        <v>12</v>
      </c>
      <c r="E643" t="s">
        <v>13</v>
      </c>
      <c r="F643">
        <v>0</v>
      </c>
      <c r="G643">
        <v>0</v>
      </c>
      <c r="H643">
        <v>19.491455912508499</v>
      </c>
      <c r="I643" t="b">
        <v>0</v>
      </c>
      <c r="J643">
        <v>0</v>
      </c>
      <c r="K643" t="s">
        <v>26</v>
      </c>
      <c r="L643">
        <v>0</v>
      </c>
      <c r="M643">
        <v>0</v>
      </c>
      <c r="N643">
        <v>0</v>
      </c>
    </row>
    <row r="644" spans="1:14" x14ac:dyDescent="0.2">
      <c r="A644" t="s">
        <v>3927</v>
      </c>
      <c r="B644">
        <v>720131</v>
      </c>
      <c r="C644">
        <v>2019</v>
      </c>
      <c r="D644" t="s">
        <v>12</v>
      </c>
      <c r="E644" t="s">
        <v>16</v>
      </c>
      <c r="F644">
        <v>0</v>
      </c>
      <c r="G644">
        <v>2</v>
      </c>
      <c r="H644">
        <v>73.484620642515395</v>
      </c>
      <c r="I644" t="b">
        <v>0</v>
      </c>
      <c r="J644">
        <v>0</v>
      </c>
      <c r="K644" t="s">
        <v>26</v>
      </c>
      <c r="L644">
        <v>0</v>
      </c>
      <c r="M644">
        <v>0</v>
      </c>
      <c r="N644">
        <v>0</v>
      </c>
    </row>
    <row r="645" spans="1:14" x14ac:dyDescent="0.2">
      <c r="A645" t="s">
        <v>3928</v>
      </c>
      <c r="B645">
        <v>720135</v>
      </c>
      <c r="C645">
        <v>2018</v>
      </c>
      <c r="D645" t="s">
        <v>12</v>
      </c>
      <c r="E645" t="s">
        <v>13</v>
      </c>
      <c r="F645">
        <v>0</v>
      </c>
      <c r="G645">
        <v>4</v>
      </c>
      <c r="H645">
        <v>90.537252221462793</v>
      </c>
      <c r="I645" t="b">
        <v>1</v>
      </c>
      <c r="J645">
        <v>0</v>
      </c>
      <c r="K645" t="s">
        <v>26</v>
      </c>
      <c r="L645">
        <v>0</v>
      </c>
      <c r="M645">
        <v>0</v>
      </c>
      <c r="N645">
        <v>0</v>
      </c>
    </row>
    <row r="646" spans="1:14" x14ac:dyDescent="0.2">
      <c r="A646" t="s">
        <v>3929</v>
      </c>
      <c r="B646">
        <v>720154</v>
      </c>
      <c r="C646">
        <v>2018</v>
      </c>
      <c r="D646" t="s">
        <v>12</v>
      </c>
      <c r="E646" t="s">
        <v>13</v>
      </c>
      <c r="F646">
        <v>0</v>
      </c>
      <c r="G646">
        <v>1</v>
      </c>
      <c r="H646">
        <v>90.329460013670499</v>
      </c>
      <c r="I646" t="b">
        <v>0</v>
      </c>
      <c r="J646" t="s">
        <v>18</v>
      </c>
      <c r="K646" t="s">
        <v>26</v>
      </c>
      <c r="L646">
        <v>0</v>
      </c>
      <c r="M646">
        <v>0</v>
      </c>
      <c r="N646">
        <v>0</v>
      </c>
    </row>
    <row r="647" spans="1:14" x14ac:dyDescent="0.2">
      <c r="A647" t="s">
        <v>3930</v>
      </c>
      <c r="B647">
        <v>720177</v>
      </c>
      <c r="C647">
        <v>2018</v>
      </c>
      <c r="D647" t="s">
        <v>12</v>
      </c>
      <c r="E647" t="s">
        <v>13</v>
      </c>
      <c r="F647" t="s">
        <v>18</v>
      </c>
      <c r="G647" t="s">
        <v>18</v>
      </c>
      <c r="H647">
        <v>75.275461380724494</v>
      </c>
      <c r="I647" t="b">
        <v>0</v>
      </c>
      <c r="J647">
        <v>0</v>
      </c>
      <c r="K647" t="s">
        <v>26</v>
      </c>
      <c r="L647" t="s">
        <v>18</v>
      </c>
      <c r="M647" t="s">
        <v>18</v>
      </c>
      <c r="N647" t="s">
        <v>18</v>
      </c>
    </row>
    <row r="648" spans="1:14" x14ac:dyDescent="0.2">
      <c r="A648" t="s">
        <v>3931</v>
      </c>
      <c r="B648">
        <v>720178</v>
      </c>
      <c r="C648">
        <v>2019</v>
      </c>
      <c r="D648" t="s">
        <v>17</v>
      </c>
      <c r="E648" t="s">
        <v>16</v>
      </c>
      <c r="F648">
        <v>0</v>
      </c>
      <c r="G648">
        <v>2</v>
      </c>
      <c r="H648">
        <v>66.693096377306901</v>
      </c>
      <c r="I648" t="b">
        <v>0</v>
      </c>
      <c r="J648">
        <v>0</v>
      </c>
      <c r="K648" t="s">
        <v>26</v>
      </c>
      <c r="L648">
        <v>1</v>
      </c>
      <c r="M648">
        <v>0</v>
      </c>
      <c r="N648">
        <v>0</v>
      </c>
    </row>
    <row r="649" spans="1:14" x14ac:dyDescent="0.2">
      <c r="A649" t="s">
        <v>3932</v>
      </c>
      <c r="B649">
        <v>720186</v>
      </c>
      <c r="C649">
        <v>2018</v>
      </c>
      <c r="D649" t="s">
        <v>21</v>
      </c>
      <c r="E649" t="s">
        <v>13</v>
      </c>
      <c r="F649">
        <v>0</v>
      </c>
      <c r="G649">
        <v>1</v>
      </c>
      <c r="H649">
        <v>76.503075871496904</v>
      </c>
      <c r="I649" t="b">
        <v>0</v>
      </c>
      <c r="J649">
        <v>0</v>
      </c>
      <c r="K649" t="s">
        <v>14</v>
      </c>
      <c r="L649">
        <v>1</v>
      </c>
      <c r="M649">
        <v>0</v>
      </c>
      <c r="N649">
        <v>0</v>
      </c>
    </row>
    <row r="650" spans="1:14" x14ac:dyDescent="0.2">
      <c r="A650" t="s">
        <v>3933</v>
      </c>
      <c r="B650">
        <v>720197</v>
      </c>
      <c r="C650">
        <v>2019</v>
      </c>
      <c r="D650" t="s">
        <v>12</v>
      </c>
      <c r="E650" t="s">
        <v>13</v>
      </c>
      <c r="F650">
        <v>0</v>
      </c>
      <c r="G650">
        <v>1</v>
      </c>
      <c r="H650">
        <v>85.777170198222805</v>
      </c>
      <c r="I650" t="b">
        <v>0</v>
      </c>
      <c r="J650">
        <v>0</v>
      </c>
      <c r="K650" t="s">
        <v>26</v>
      </c>
      <c r="L650">
        <v>0</v>
      </c>
      <c r="M650">
        <v>0</v>
      </c>
      <c r="N650">
        <v>1</v>
      </c>
    </row>
    <row r="651" spans="1:14" x14ac:dyDescent="0.2">
      <c r="A651" t="s">
        <v>3934</v>
      </c>
      <c r="B651">
        <v>720212</v>
      </c>
      <c r="C651">
        <v>2018</v>
      </c>
      <c r="D651" t="s">
        <v>21</v>
      </c>
      <c r="E651" t="s">
        <v>13</v>
      </c>
      <c r="F651" t="s">
        <v>18</v>
      </c>
      <c r="G651">
        <v>2</v>
      </c>
      <c r="H651">
        <v>58.285714285714299</v>
      </c>
      <c r="I651" t="b">
        <v>0</v>
      </c>
      <c r="J651">
        <v>0</v>
      </c>
      <c r="K651" t="s">
        <v>26</v>
      </c>
      <c r="L651">
        <v>0</v>
      </c>
      <c r="M651">
        <v>0</v>
      </c>
      <c r="N651">
        <v>1</v>
      </c>
    </row>
    <row r="652" spans="1:14" x14ac:dyDescent="0.2">
      <c r="A652" t="s">
        <v>3935</v>
      </c>
      <c r="B652">
        <v>720214</v>
      </c>
      <c r="C652">
        <v>2018</v>
      </c>
      <c r="D652" t="s">
        <v>21</v>
      </c>
      <c r="E652" t="s">
        <v>16</v>
      </c>
      <c r="F652">
        <v>0</v>
      </c>
      <c r="G652">
        <v>4</v>
      </c>
      <c r="H652">
        <v>72.041011619958994</v>
      </c>
      <c r="I652" t="b">
        <v>0</v>
      </c>
      <c r="J652">
        <v>0</v>
      </c>
      <c r="K652" t="s">
        <v>26</v>
      </c>
      <c r="L652">
        <v>0</v>
      </c>
      <c r="M652">
        <v>0</v>
      </c>
      <c r="N652" t="s">
        <v>18</v>
      </c>
    </row>
    <row r="653" spans="1:14" x14ac:dyDescent="0.2">
      <c r="A653" t="s">
        <v>3936</v>
      </c>
      <c r="B653">
        <v>720214</v>
      </c>
      <c r="C653">
        <v>2019</v>
      </c>
      <c r="D653" t="s">
        <v>21</v>
      </c>
      <c r="E653" t="s">
        <v>13</v>
      </c>
      <c r="F653">
        <v>0</v>
      </c>
      <c r="G653">
        <v>3</v>
      </c>
      <c r="H653">
        <v>90.734107997265895</v>
      </c>
      <c r="I653" t="b">
        <v>0</v>
      </c>
      <c r="J653">
        <v>0</v>
      </c>
      <c r="K653" t="s">
        <v>26</v>
      </c>
      <c r="L653">
        <v>0</v>
      </c>
      <c r="M653">
        <v>0</v>
      </c>
      <c r="N653">
        <v>1</v>
      </c>
    </row>
    <row r="654" spans="1:14" x14ac:dyDescent="0.2">
      <c r="A654" t="s">
        <v>3937</v>
      </c>
      <c r="B654">
        <v>720232</v>
      </c>
      <c r="C654">
        <v>2018</v>
      </c>
      <c r="D654" t="s">
        <v>12</v>
      </c>
      <c r="E654" t="s">
        <v>13</v>
      </c>
      <c r="F654">
        <v>0</v>
      </c>
      <c r="G654">
        <v>2</v>
      </c>
      <c r="H654">
        <v>77.159261790840702</v>
      </c>
      <c r="I654" t="b">
        <v>0</v>
      </c>
      <c r="J654">
        <v>0</v>
      </c>
      <c r="K654" t="s">
        <v>26</v>
      </c>
      <c r="L654">
        <v>0</v>
      </c>
      <c r="M654">
        <v>0</v>
      </c>
      <c r="N654">
        <v>0</v>
      </c>
    </row>
    <row r="655" spans="1:14" x14ac:dyDescent="0.2">
      <c r="A655" t="s">
        <v>3938</v>
      </c>
      <c r="B655">
        <v>720233</v>
      </c>
      <c r="C655">
        <v>2018</v>
      </c>
      <c r="D655" t="s">
        <v>12</v>
      </c>
      <c r="E655" t="s">
        <v>13</v>
      </c>
      <c r="F655">
        <v>0</v>
      </c>
      <c r="G655">
        <v>0</v>
      </c>
      <c r="H655">
        <v>28.1066302118934</v>
      </c>
      <c r="I655" t="b">
        <v>1</v>
      </c>
      <c r="J655">
        <v>0</v>
      </c>
      <c r="K655" t="s">
        <v>26</v>
      </c>
      <c r="L655">
        <v>0</v>
      </c>
      <c r="M655">
        <v>0</v>
      </c>
      <c r="N655">
        <v>1</v>
      </c>
    </row>
    <row r="656" spans="1:14" x14ac:dyDescent="0.2">
      <c r="A656" t="s">
        <v>3939</v>
      </c>
      <c r="B656">
        <v>720237</v>
      </c>
      <c r="C656">
        <v>2018</v>
      </c>
      <c r="D656" t="s">
        <v>15</v>
      </c>
      <c r="E656" t="s">
        <v>16</v>
      </c>
      <c r="F656">
        <v>0</v>
      </c>
      <c r="G656">
        <v>0</v>
      </c>
      <c r="H656">
        <v>71.868762816131195</v>
      </c>
      <c r="I656" t="b">
        <v>0</v>
      </c>
      <c r="J656">
        <v>0</v>
      </c>
      <c r="K656" t="s">
        <v>26</v>
      </c>
      <c r="L656">
        <v>0</v>
      </c>
      <c r="M656">
        <v>0</v>
      </c>
      <c r="N656">
        <v>0</v>
      </c>
    </row>
    <row r="657" spans="1:14" x14ac:dyDescent="0.2">
      <c r="A657" t="s">
        <v>3940</v>
      </c>
      <c r="B657">
        <v>720239</v>
      </c>
      <c r="C657">
        <v>2018</v>
      </c>
      <c r="D657" t="s">
        <v>12</v>
      </c>
      <c r="E657" t="s">
        <v>13</v>
      </c>
      <c r="F657">
        <v>0</v>
      </c>
      <c r="G657">
        <v>0</v>
      </c>
      <c r="H657">
        <v>83.393028024607005</v>
      </c>
      <c r="I657" t="b">
        <v>1</v>
      </c>
      <c r="J657">
        <v>0</v>
      </c>
      <c r="K657" t="s">
        <v>26</v>
      </c>
      <c r="L657">
        <v>0</v>
      </c>
      <c r="M657">
        <v>0</v>
      </c>
      <c r="N657">
        <v>0</v>
      </c>
    </row>
    <row r="658" spans="1:14" x14ac:dyDescent="0.2">
      <c r="A658" t="s">
        <v>3941</v>
      </c>
      <c r="B658">
        <v>720253</v>
      </c>
      <c r="C658">
        <v>2018</v>
      </c>
      <c r="D658" t="s">
        <v>22</v>
      </c>
      <c r="E658" t="s">
        <v>13</v>
      </c>
      <c r="F658">
        <v>0</v>
      </c>
      <c r="G658">
        <v>1</v>
      </c>
      <c r="H658">
        <v>77.328776486671202</v>
      </c>
      <c r="I658" t="b">
        <v>0</v>
      </c>
      <c r="J658">
        <v>0</v>
      </c>
      <c r="K658" t="s">
        <v>26</v>
      </c>
      <c r="L658">
        <v>0</v>
      </c>
      <c r="M658">
        <v>0</v>
      </c>
      <c r="N658">
        <v>0</v>
      </c>
    </row>
    <row r="659" spans="1:14" x14ac:dyDescent="0.2">
      <c r="A659" t="s">
        <v>3942</v>
      </c>
      <c r="B659">
        <v>720268</v>
      </c>
      <c r="C659">
        <v>2018</v>
      </c>
      <c r="D659" t="s">
        <v>12</v>
      </c>
      <c r="E659" t="s">
        <v>13</v>
      </c>
      <c r="F659">
        <v>0</v>
      </c>
      <c r="G659">
        <v>0</v>
      </c>
      <c r="H659">
        <v>56.787423103212603</v>
      </c>
      <c r="I659" t="b">
        <v>0</v>
      </c>
      <c r="J659" t="s">
        <v>18</v>
      </c>
      <c r="K659" t="s">
        <v>26</v>
      </c>
      <c r="L659">
        <v>0</v>
      </c>
      <c r="M659">
        <v>0</v>
      </c>
      <c r="N659">
        <v>0</v>
      </c>
    </row>
    <row r="660" spans="1:14" x14ac:dyDescent="0.2">
      <c r="A660" t="s">
        <v>3943</v>
      </c>
      <c r="B660">
        <v>720274</v>
      </c>
      <c r="C660">
        <v>2018</v>
      </c>
      <c r="D660" t="s">
        <v>20</v>
      </c>
      <c r="E660" t="s">
        <v>13</v>
      </c>
      <c r="F660">
        <v>0</v>
      </c>
      <c r="G660">
        <v>0</v>
      </c>
      <c r="H660">
        <v>32.746411483253603</v>
      </c>
      <c r="I660" t="b">
        <v>1</v>
      </c>
      <c r="J660">
        <v>0</v>
      </c>
      <c r="K660" t="s">
        <v>26</v>
      </c>
      <c r="L660">
        <v>0</v>
      </c>
      <c r="M660">
        <v>0</v>
      </c>
      <c r="N660">
        <v>1</v>
      </c>
    </row>
    <row r="661" spans="1:14" x14ac:dyDescent="0.2">
      <c r="A661" t="s">
        <v>3944</v>
      </c>
      <c r="B661">
        <v>720282</v>
      </c>
      <c r="C661">
        <v>2018</v>
      </c>
      <c r="D661" t="s">
        <v>12</v>
      </c>
      <c r="E661" t="s">
        <v>13</v>
      </c>
      <c r="F661">
        <v>0</v>
      </c>
      <c r="G661">
        <v>2</v>
      </c>
      <c r="H661">
        <v>81.525632262474403</v>
      </c>
      <c r="I661" t="b">
        <v>0</v>
      </c>
      <c r="J661">
        <v>0</v>
      </c>
      <c r="K661" t="s">
        <v>26</v>
      </c>
      <c r="L661">
        <v>0</v>
      </c>
      <c r="M661">
        <v>0</v>
      </c>
      <c r="N661" t="s">
        <v>18</v>
      </c>
    </row>
    <row r="662" spans="1:14" x14ac:dyDescent="0.2">
      <c r="A662" t="s">
        <v>3945</v>
      </c>
      <c r="B662">
        <v>720285</v>
      </c>
      <c r="C662">
        <v>2018</v>
      </c>
      <c r="D662" t="s">
        <v>20</v>
      </c>
      <c r="E662" t="s">
        <v>13</v>
      </c>
      <c r="F662">
        <v>0</v>
      </c>
      <c r="G662">
        <v>0</v>
      </c>
      <c r="H662">
        <v>33.8291182501709</v>
      </c>
      <c r="I662" t="b">
        <v>0</v>
      </c>
      <c r="J662">
        <v>0</v>
      </c>
      <c r="K662" t="s">
        <v>26</v>
      </c>
      <c r="L662">
        <v>0</v>
      </c>
      <c r="M662">
        <v>0</v>
      </c>
      <c r="N662" t="s">
        <v>18</v>
      </c>
    </row>
    <row r="663" spans="1:14" x14ac:dyDescent="0.2">
      <c r="A663" t="s">
        <v>3946</v>
      </c>
      <c r="B663">
        <v>720289</v>
      </c>
      <c r="C663">
        <v>2018</v>
      </c>
      <c r="D663" t="s">
        <v>22</v>
      </c>
      <c r="E663" t="s">
        <v>13</v>
      </c>
      <c r="F663">
        <v>0</v>
      </c>
      <c r="G663">
        <v>2</v>
      </c>
      <c r="H663">
        <v>68.697197539302806</v>
      </c>
      <c r="I663" t="b">
        <v>0</v>
      </c>
      <c r="J663" t="s">
        <v>18</v>
      </c>
      <c r="K663" t="s">
        <v>26</v>
      </c>
      <c r="L663">
        <v>0</v>
      </c>
      <c r="M663">
        <v>0</v>
      </c>
      <c r="N663">
        <v>0</v>
      </c>
    </row>
    <row r="664" spans="1:14" x14ac:dyDescent="0.2">
      <c r="A664" t="s">
        <v>3947</v>
      </c>
      <c r="B664">
        <v>720296</v>
      </c>
      <c r="C664">
        <v>2018</v>
      </c>
      <c r="D664" t="s">
        <v>12</v>
      </c>
      <c r="E664" t="s">
        <v>13</v>
      </c>
      <c r="F664">
        <v>0</v>
      </c>
      <c r="G664">
        <v>0</v>
      </c>
      <c r="H664">
        <v>42.974709501025302</v>
      </c>
      <c r="I664" t="b">
        <v>0</v>
      </c>
      <c r="J664">
        <v>0</v>
      </c>
      <c r="K664" t="s">
        <v>26</v>
      </c>
      <c r="L664">
        <v>0</v>
      </c>
      <c r="M664">
        <v>0</v>
      </c>
      <c r="N664" t="s">
        <v>18</v>
      </c>
    </row>
    <row r="665" spans="1:14" x14ac:dyDescent="0.2">
      <c r="A665" t="s">
        <v>3948</v>
      </c>
      <c r="B665">
        <v>720299</v>
      </c>
      <c r="C665">
        <v>2018</v>
      </c>
      <c r="D665" t="s">
        <v>12</v>
      </c>
      <c r="E665" t="s">
        <v>13</v>
      </c>
      <c r="F665">
        <v>0</v>
      </c>
      <c r="G665">
        <v>0</v>
      </c>
      <c r="H665">
        <v>34.665755297334201</v>
      </c>
      <c r="I665" t="b">
        <v>1</v>
      </c>
      <c r="J665" t="s">
        <v>18</v>
      </c>
      <c r="K665" t="s">
        <v>26</v>
      </c>
      <c r="L665">
        <v>0</v>
      </c>
      <c r="M665">
        <v>0</v>
      </c>
      <c r="N665" t="s">
        <v>18</v>
      </c>
    </row>
    <row r="666" spans="1:14" x14ac:dyDescent="0.2">
      <c r="A666" t="s">
        <v>3949</v>
      </c>
      <c r="B666">
        <v>720300</v>
      </c>
      <c r="C666">
        <v>2018</v>
      </c>
      <c r="D666" t="s">
        <v>12</v>
      </c>
      <c r="E666" t="s">
        <v>13</v>
      </c>
      <c r="F666">
        <v>0</v>
      </c>
      <c r="G666">
        <v>1</v>
      </c>
      <c r="H666">
        <v>89.566643882433397</v>
      </c>
      <c r="I666" t="b">
        <v>0</v>
      </c>
      <c r="J666">
        <v>0</v>
      </c>
      <c r="K666" t="s">
        <v>26</v>
      </c>
      <c r="L666">
        <v>0</v>
      </c>
      <c r="M666">
        <v>0</v>
      </c>
      <c r="N666">
        <v>0</v>
      </c>
    </row>
    <row r="667" spans="1:14" x14ac:dyDescent="0.2">
      <c r="A667" t="s">
        <v>3950</v>
      </c>
      <c r="B667">
        <v>720307</v>
      </c>
      <c r="C667">
        <v>2018</v>
      </c>
      <c r="D667" t="s">
        <v>12</v>
      </c>
      <c r="E667" t="s">
        <v>13</v>
      </c>
      <c r="F667">
        <v>0</v>
      </c>
      <c r="G667">
        <v>0</v>
      </c>
      <c r="H667">
        <v>81.476418318523599</v>
      </c>
      <c r="I667" t="b">
        <v>0</v>
      </c>
      <c r="J667">
        <v>0</v>
      </c>
      <c r="K667" t="s">
        <v>26</v>
      </c>
      <c r="L667">
        <v>0</v>
      </c>
      <c r="M667">
        <v>0</v>
      </c>
      <c r="N667">
        <v>0</v>
      </c>
    </row>
    <row r="668" spans="1:14" x14ac:dyDescent="0.2">
      <c r="A668" t="s">
        <v>3951</v>
      </c>
      <c r="B668">
        <v>720449</v>
      </c>
      <c r="C668">
        <v>2019</v>
      </c>
      <c r="D668" t="s">
        <v>12</v>
      </c>
      <c r="E668" t="s">
        <v>13</v>
      </c>
      <c r="F668">
        <v>0</v>
      </c>
      <c r="G668">
        <v>6</v>
      </c>
      <c r="H668">
        <v>87.912508544087501</v>
      </c>
      <c r="I668" t="b">
        <v>0</v>
      </c>
      <c r="J668">
        <v>0</v>
      </c>
      <c r="K668" t="s">
        <v>26</v>
      </c>
      <c r="L668">
        <v>0</v>
      </c>
      <c r="M668">
        <v>1</v>
      </c>
      <c r="N668">
        <v>0</v>
      </c>
    </row>
    <row r="669" spans="1:14" x14ac:dyDescent="0.2">
      <c r="A669" t="s">
        <v>3952</v>
      </c>
      <c r="B669">
        <v>720465</v>
      </c>
      <c r="C669">
        <v>2019</v>
      </c>
      <c r="D669" t="s">
        <v>22</v>
      </c>
      <c r="E669" t="s">
        <v>13</v>
      </c>
      <c r="F669">
        <v>0</v>
      </c>
      <c r="G669">
        <v>4</v>
      </c>
      <c r="H669">
        <v>80.913192071086797</v>
      </c>
      <c r="I669" t="b">
        <v>0</v>
      </c>
      <c r="J669">
        <v>0</v>
      </c>
      <c r="K669" t="s">
        <v>26</v>
      </c>
      <c r="L669">
        <v>1</v>
      </c>
      <c r="M669">
        <v>0</v>
      </c>
      <c r="N669">
        <v>0</v>
      </c>
    </row>
    <row r="670" spans="1:14" x14ac:dyDescent="0.2">
      <c r="A670" t="s">
        <v>3953</v>
      </c>
      <c r="B670">
        <v>720493</v>
      </c>
      <c r="C670">
        <v>2019</v>
      </c>
      <c r="D670" t="s">
        <v>22</v>
      </c>
      <c r="E670" t="s">
        <v>13</v>
      </c>
      <c r="F670">
        <v>0</v>
      </c>
      <c r="G670">
        <v>8</v>
      </c>
      <c r="H670">
        <v>81.429938482570094</v>
      </c>
      <c r="I670" t="b">
        <v>0</v>
      </c>
      <c r="J670">
        <v>0</v>
      </c>
      <c r="K670" t="s">
        <v>26</v>
      </c>
      <c r="L670">
        <v>1</v>
      </c>
      <c r="M670">
        <v>0</v>
      </c>
      <c r="N670">
        <v>0</v>
      </c>
    </row>
    <row r="671" spans="1:14" x14ac:dyDescent="0.2">
      <c r="A671" t="s">
        <v>3954</v>
      </c>
      <c r="B671">
        <v>720498</v>
      </c>
      <c r="C671">
        <v>2018</v>
      </c>
      <c r="D671" t="s">
        <v>12</v>
      </c>
      <c r="E671" t="s">
        <v>13</v>
      </c>
      <c r="F671">
        <v>1</v>
      </c>
      <c r="G671">
        <v>7</v>
      </c>
      <c r="H671">
        <v>76.951469583048507</v>
      </c>
      <c r="I671" t="b">
        <v>0</v>
      </c>
      <c r="J671">
        <v>0</v>
      </c>
      <c r="K671" t="s">
        <v>26</v>
      </c>
      <c r="L671">
        <v>0</v>
      </c>
      <c r="M671">
        <v>0</v>
      </c>
      <c r="N671">
        <v>0</v>
      </c>
    </row>
    <row r="672" spans="1:14" x14ac:dyDescent="0.2">
      <c r="A672" t="s">
        <v>3955</v>
      </c>
      <c r="B672">
        <v>720555</v>
      </c>
      <c r="C672">
        <v>2018</v>
      </c>
      <c r="D672" t="s">
        <v>20</v>
      </c>
      <c r="E672" t="s">
        <v>13</v>
      </c>
      <c r="F672">
        <v>0</v>
      </c>
      <c r="G672">
        <v>3</v>
      </c>
      <c r="H672">
        <v>82.695830485304199</v>
      </c>
      <c r="I672" t="b">
        <v>0</v>
      </c>
      <c r="J672">
        <v>0</v>
      </c>
      <c r="K672" t="s">
        <v>26</v>
      </c>
      <c r="L672">
        <v>1</v>
      </c>
      <c r="M672">
        <v>0</v>
      </c>
      <c r="N672">
        <v>0</v>
      </c>
    </row>
    <row r="673" spans="1:14" x14ac:dyDescent="0.2">
      <c r="A673" t="s">
        <v>3956</v>
      </c>
      <c r="B673">
        <v>720559</v>
      </c>
      <c r="C673">
        <v>2019</v>
      </c>
      <c r="D673" t="s">
        <v>21</v>
      </c>
      <c r="E673" t="s">
        <v>13</v>
      </c>
      <c r="F673">
        <v>0</v>
      </c>
      <c r="G673">
        <v>0</v>
      </c>
      <c r="H673">
        <v>80.806561859193394</v>
      </c>
      <c r="I673" t="b">
        <v>0</v>
      </c>
      <c r="J673">
        <v>0</v>
      </c>
      <c r="K673" t="s">
        <v>26</v>
      </c>
      <c r="L673">
        <v>0</v>
      </c>
      <c r="M673">
        <v>0</v>
      </c>
      <c r="N673">
        <v>1</v>
      </c>
    </row>
    <row r="674" spans="1:14" x14ac:dyDescent="0.2">
      <c r="A674" t="s">
        <v>3957</v>
      </c>
      <c r="B674">
        <v>720569</v>
      </c>
      <c r="C674">
        <v>2019</v>
      </c>
      <c r="D674" t="s">
        <v>12</v>
      </c>
      <c r="E674" t="s">
        <v>13</v>
      </c>
      <c r="F674">
        <v>0</v>
      </c>
      <c r="G674">
        <v>1</v>
      </c>
      <c r="H674">
        <v>95.196172248803805</v>
      </c>
      <c r="I674" t="b">
        <v>0</v>
      </c>
      <c r="J674">
        <v>0</v>
      </c>
      <c r="K674" t="s">
        <v>26</v>
      </c>
      <c r="L674">
        <v>0</v>
      </c>
      <c r="M674">
        <v>0</v>
      </c>
      <c r="N674">
        <v>0</v>
      </c>
    </row>
    <row r="675" spans="1:14" x14ac:dyDescent="0.2">
      <c r="A675" t="s">
        <v>3958</v>
      </c>
      <c r="B675">
        <v>720573</v>
      </c>
      <c r="C675">
        <v>2018</v>
      </c>
      <c r="D675" t="s">
        <v>12</v>
      </c>
      <c r="E675" t="s">
        <v>13</v>
      </c>
      <c r="F675">
        <v>0</v>
      </c>
      <c r="G675">
        <v>2</v>
      </c>
      <c r="H675">
        <v>58.162679425837297</v>
      </c>
      <c r="I675" t="b">
        <v>1</v>
      </c>
      <c r="J675">
        <v>0</v>
      </c>
      <c r="K675" t="s">
        <v>26</v>
      </c>
      <c r="L675">
        <v>0</v>
      </c>
      <c r="M675">
        <v>0</v>
      </c>
      <c r="N675">
        <v>0</v>
      </c>
    </row>
    <row r="676" spans="1:14" x14ac:dyDescent="0.2">
      <c r="A676" t="s">
        <v>3959</v>
      </c>
      <c r="B676">
        <v>720580</v>
      </c>
      <c r="C676">
        <v>2019</v>
      </c>
      <c r="D676" t="s">
        <v>21</v>
      </c>
      <c r="E676" t="s">
        <v>16</v>
      </c>
      <c r="F676">
        <v>0</v>
      </c>
      <c r="G676">
        <v>6</v>
      </c>
      <c r="H676">
        <v>85.345181134654794</v>
      </c>
      <c r="I676" t="b">
        <v>0</v>
      </c>
      <c r="J676">
        <v>1</v>
      </c>
      <c r="K676" t="s">
        <v>26</v>
      </c>
      <c r="L676">
        <v>0</v>
      </c>
      <c r="M676">
        <v>0</v>
      </c>
      <c r="N676">
        <v>0</v>
      </c>
    </row>
    <row r="677" spans="1:14" x14ac:dyDescent="0.2">
      <c r="A677" t="s">
        <v>3960</v>
      </c>
      <c r="B677">
        <v>720581</v>
      </c>
      <c r="C677">
        <v>2018</v>
      </c>
      <c r="D677" t="s">
        <v>21</v>
      </c>
      <c r="E677" t="s">
        <v>16</v>
      </c>
      <c r="F677">
        <v>0</v>
      </c>
      <c r="G677">
        <v>7</v>
      </c>
      <c r="H677">
        <v>71.890635680109398</v>
      </c>
      <c r="I677" t="b">
        <v>0</v>
      </c>
      <c r="J677">
        <v>1</v>
      </c>
      <c r="K677" t="s">
        <v>26</v>
      </c>
      <c r="L677">
        <v>0</v>
      </c>
      <c r="M677">
        <v>0</v>
      </c>
      <c r="N677">
        <v>0</v>
      </c>
    </row>
    <row r="678" spans="1:14" x14ac:dyDescent="0.2">
      <c r="A678" t="s">
        <v>3961</v>
      </c>
      <c r="B678">
        <v>720592</v>
      </c>
      <c r="C678">
        <v>2018</v>
      </c>
      <c r="D678" t="s">
        <v>21</v>
      </c>
      <c r="E678" t="s">
        <v>13</v>
      </c>
      <c r="F678">
        <v>0</v>
      </c>
      <c r="G678">
        <v>0</v>
      </c>
      <c r="H678">
        <v>90.570061517429906</v>
      </c>
      <c r="I678" t="b">
        <v>0</v>
      </c>
      <c r="J678">
        <v>0</v>
      </c>
      <c r="K678" t="s">
        <v>26</v>
      </c>
      <c r="L678">
        <v>0</v>
      </c>
      <c r="M678">
        <v>0</v>
      </c>
      <c r="N678">
        <v>1</v>
      </c>
    </row>
    <row r="679" spans="1:14" x14ac:dyDescent="0.2">
      <c r="A679" t="s">
        <v>3962</v>
      </c>
      <c r="B679">
        <v>720599</v>
      </c>
      <c r="C679">
        <v>2019</v>
      </c>
      <c r="D679" t="s">
        <v>20</v>
      </c>
      <c r="E679" t="s">
        <v>13</v>
      </c>
      <c r="F679">
        <v>0</v>
      </c>
      <c r="G679">
        <v>0</v>
      </c>
      <c r="H679">
        <v>87.395762132604204</v>
      </c>
      <c r="I679" t="b">
        <v>0</v>
      </c>
      <c r="J679">
        <v>0</v>
      </c>
      <c r="K679" t="s">
        <v>26</v>
      </c>
      <c r="L679">
        <v>0</v>
      </c>
      <c r="M679">
        <v>0</v>
      </c>
      <c r="N679">
        <v>0</v>
      </c>
    </row>
    <row r="680" spans="1:14" x14ac:dyDescent="0.2">
      <c r="A680" t="s">
        <v>3963</v>
      </c>
      <c r="B680">
        <v>720602</v>
      </c>
      <c r="C680">
        <v>2018</v>
      </c>
      <c r="D680" t="s">
        <v>12</v>
      </c>
      <c r="E680" t="s">
        <v>16</v>
      </c>
      <c r="F680">
        <v>0</v>
      </c>
      <c r="G680">
        <v>1</v>
      </c>
      <c r="H680">
        <v>53.766233766233803</v>
      </c>
      <c r="I680" t="b">
        <v>0</v>
      </c>
      <c r="J680">
        <v>0</v>
      </c>
      <c r="K680" t="s">
        <v>26</v>
      </c>
      <c r="L680">
        <v>0</v>
      </c>
      <c r="M680">
        <v>0</v>
      </c>
      <c r="N680">
        <v>1</v>
      </c>
    </row>
    <row r="681" spans="1:14" x14ac:dyDescent="0.2">
      <c r="A681" t="s">
        <v>3964</v>
      </c>
      <c r="B681">
        <v>720603</v>
      </c>
      <c r="C681">
        <v>2019</v>
      </c>
      <c r="D681" t="s">
        <v>20</v>
      </c>
      <c r="E681" t="s">
        <v>13</v>
      </c>
      <c r="F681">
        <v>0</v>
      </c>
      <c r="G681">
        <v>0</v>
      </c>
      <c r="H681">
        <v>71.349282296650699</v>
      </c>
      <c r="I681" t="b">
        <v>0</v>
      </c>
      <c r="J681">
        <v>0</v>
      </c>
      <c r="K681" t="s">
        <v>26</v>
      </c>
      <c r="L681">
        <v>1</v>
      </c>
      <c r="M681">
        <v>0</v>
      </c>
      <c r="N681">
        <v>1</v>
      </c>
    </row>
    <row r="682" spans="1:14" x14ac:dyDescent="0.2">
      <c r="A682" t="s">
        <v>3965</v>
      </c>
      <c r="B682">
        <v>720606</v>
      </c>
      <c r="C682">
        <v>2018</v>
      </c>
      <c r="D682" t="s">
        <v>21</v>
      </c>
      <c r="E682" t="s">
        <v>13</v>
      </c>
      <c r="F682">
        <v>0</v>
      </c>
      <c r="G682">
        <v>0</v>
      </c>
      <c r="H682">
        <v>46.406015037594003</v>
      </c>
      <c r="I682" t="b">
        <v>0</v>
      </c>
      <c r="J682">
        <v>1</v>
      </c>
      <c r="K682" t="s">
        <v>26</v>
      </c>
      <c r="L682">
        <v>0</v>
      </c>
      <c r="M682">
        <v>0</v>
      </c>
      <c r="N682">
        <v>1</v>
      </c>
    </row>
    <row r="683" spans="1:14" x14ac:dyDescent="0.2">
      <c r="A683" t="s">
        <v>3966</v>
      </c>
      <c r="B683">
        <v>720635</v>
      </c>
      <c r="C683">
        <v>2018</v>
      </c>
      <c r="D683" t="s">
        <v>19</v>
      </c>
      <c r="E683" t="s">
        <v>13</v>
      </c>
      <c r="F683">
        <v>0</v>
      </c>
      <c r="G683">
        <v>3</v>
      </c>
      <c r="H683">
        <v>64.306220095693803</v>
      </c>
      <c r="I683" t="b">
        <v>0</v>
      </c>
      <c r="J683">
        <v>0</v>
      </c>
      <c r="K683" t="s">
        <v>26</v>
      </c>
      <c r="L683">
        <v>0</v>
      </c>
      <c r="M683">
        <v>0</v>
      </c>
      <c r="N683" t="s">
        <v>18</v>
      </c>
    </row>
    <row r="684" spans="1:14" x14ac:dyDescent="0.2">
      <c r="A684" t="s">
        <v>3967</v>
      </c>
      <c r="B684">
        <v>720636</v>
      </c>
      <c r="C684">
        <v>2018</v>
      </c>
      <c r="D684" t="s">
        <v>21</v>
      </c>
      <c r="E684" t="s">
        <v>16</v>
      </c>
      <c r="F684">
        <v>0</v>
      </c>
      <c r="G684">
        <v>2</v>
      </c>
      <c r="H684">
        <v>55.868762816131202</v>
      </c>
      <c r="I684" t="b">
        <v>0</v>
      </c>
      <c r="J684">
        <v>0</v>
      </c>
      <c r="K684" t="s">
        <v>26</v>
      </c>
      <c r="L684">
        <v>1</v>
      </c>
      <c r="M684">
        <v>0</v>
      </c>
      <c r="N684">
        <v>0</v>
      </c>
    </row>
    <row r="685" spans="1:14" x14ac:dyDescent="0.2">
      <c r="A685" t="s">
        <v>3968</v>
      </c>
      <c r="B685">
        <v>720638</v>
      </c>
      <c r="C685">
        <v>2019</v>
      </c>
      <c r="D685" t="s">
        <v>12</v>
      </c>
      <c r="E685" t="s">
        <v>13</v>
      </c>
      <c r="F685">
        <v>0</v>
      </c>
      <c r="G685">
        <v>0</v>
      </c>
      <c r="H685">
        <v>87.436773752563198</v>
      </c>
      <c r="I685" t="b">
        <v>0</v>
      </c>
      <c r="J685">
        <v>0</v>
      </c>
      <c r="K685" t="s">
        <v>26</v>
      </c>
      <c r="L685">
        <v>0</v>
      </c>
      <c r="M685">
        <v>0</v>
      </c>
      <c r="N685">
        <v>0</v>
      </c>
    </row>
    <row r="686" spans="1:14" x14ac:dyDescent="0.2">
      <c r="A686" t="s">
        <v>3969</v>
      </c>
      <c r="B686">
        <v>720648</v>
      </c>
      <c r="C686">
        <v>2019</v>
      </c>
      <c r="D686" t="s">
        <v>20</v>
      </c>
      <c r="E686" t="s">
        <v>13</v>
      </c>
      <c r="F686">
        <v>0</v>
      </c>
      <c r="G686">
        <v>0</v>
      </c>
      <c r="H686">
        <v>93.030758714969295</v>
      </c>
      <c r="I686" t="b">
        <v>0</v>
      </c>
      <c r="J686">
        <v>0</v>
      </c>
      <c r="K686" t="s">
        <v>26</v>
      </c>
      <c r="L686">
        <v>0</v>
      </c>
      <c r="M686">
        <v>0</v>
      </c>
      <c r="N686">
        <v>0</v>
      </c>
    </row>
    <row r="687" spans="1:14" x14ac:dyDescent="0.2">
      <c r="A687" t="s">
        <v>3970</v>
      </c>
      <c r="B687">
        <v>720660</v>
      </c>
      <c r="C687">
        <v>2018</v>
      </c>
      <c r="D687" t="s">
        <v>12</v>
      </c>
      <c r="E687" t="s">
        <v>16</v>
      </c>
      <c r="F687">
        <v>0</v>
      </c>
      <c r="G687">
        <v>0</v>
      </c>
      <c r="H687">
        <v>78.425153793574793</v>
      </c>
      <c r="I687" t="b">
        <v>0</v>
      </c>
      <c r="J687">
        <v>0</v>
      </c>
      <c r="K687" t="s">
        <v>26</v>
      </c>
      <c r="L687">
        <v>0</v>
      </c>
      <c r="M687">
        <v>0</v>
      </c>
      <c r="N687" t="s">
        <v>18</v>
      </c>
    </row>
    <row r="688" spans="1:14" x14ac:dyDescent="0.2">
      <c r="A688" t="s">
        <v>3971</v>
      </c>
      <c r="B688">
        <v>720661</v>
      </c>
      <c r="C688">
        <v>2018</v>
      </c>
      <c r="D688" t="s">
        <v>21</v>
      </c>
      <c r="E688" t="s">
        <v>13</v>
      </c>
      <c r="F688">
        <v>0</v>
      </c>
      <c r="G688">
        <v>0</v>
      </c>
      <c r="H688">
        <v>79.075871496924094</v>
      </c>
      <c r="I688" t="b">
        <v>0</v>
      </c>
      <c r="J688">
        <v>1</v>
      </c>
      <c r="K688" t="s">
        <v>26</v>
      </c>
      <c r="L688">
        <v>0</v>
      </c>
      <c r="M688">
        <v>0</v>
      </c>
      <c r="N688" t="s">
        <v>18</v>
      </c>
    </row>
    <row r="689" spans="1:14" x14ac:dyDescent="0.2">
      <c r="A689" t="s">
        <v>3972</v>
      </c>
      <c r="B689">
        <v>720666</v>
      </c>
      <c r="C689">
        <v>2019</v>
      </c>
      <c r="D689" t="s">
        <v>21</v>
      </c>
      <c r="E689" t="s">
        <v>13</v>
      </c>
      <c r="F689">
        <v>0</v>
      </c>
      <c r="G689">
        <v>1</v>
      </c>
      <c r="H689">
        <v>77.755297334244702</v>
      </c>
      <c r="I689" t="b">
        <v>0</v>
      </c>
      <c r="J689">
        <v>0</v>
      </c>
      <c r="K689" t="s">
        <v>26</v>
      </c>
      <c r="L689">
        <v>1</v>
      </c>
      <c r="M689">
        <v>0</v>
      </c>
      <c r="N689">
        <v>0</v>
      </c>
    </row>
    <row r="690" spans="1:14" x14ac:dyDescent="0.2">
      <c r="A690" t="s">
        <v>3973</v>
      </c>
      <c r="B690">
        <v>720675</v>
      </c>
      <c r="C690">
        <v>2019</v>
      </c>
      <c r="D690" t="s">
        <v>12</v>
      </c>
      <c r="E690" t="s">
        <v>13</v>
      </c>
      <c r="F690">
        <v>0</v>
      </c>
      <c r="G690">
        <v>3</v>
      </c>
      <c r="H690">
        <v>88.374572795625397</v>
      </c>
      <c r="I690" t="b">
        <v>0</v>
      </c>
      <c r="J690">
        <v>0</v>
      </c>
      <c r="K690" t="s">
        <v>26</v>
      </c>
      <c r="L690">
        <v>0</v>
      </c>
      <c r="M690">
        <v>0</v>
      </c>
      <c r="N690">
        <v>1</v>
      </c>
    </row>
    <row r="691" spans="1:14" x14ac:dyDescent="0.2">
      <c r="A691" t="s">
        <v>3974</v>
      </c>
      <c r="B691">
        <v>720707</v>
      </c>
      <c r="C691">
        <v>2018</v>
      </c>
      <c r="D691" t="s">
        <v>12</v>
      </c>
      <c r="E691" t="s">
        <v>13</v>
      </c>
      <c r="F691">
        <v>0</v>
      </c>
      <c r="G691">
        <v>0</v>
      </c>
      <c r="H691">
        <v>32.196855775803101</v>
      </c>
      <c r="I691" t="b">
        <v>0</v>
      </c>
      <c r="J691">
        <v>0</v>
      </c>
      <c r="K691" t="s">
        <v>26</v>
      </c>
      <c r="L691">
        <v>0</v>
      </c>
      <c r="M691">
        <v>0</v>
      </c>
      <c r="N691">
        <v>1</v>
      </c>
    </row>
    <row r="692" spans="1:14" x14ac:dyDescent="0.2">
      <c r="A692" t="s">
        <v>3975</v>
      </c>
      <c r="B692">
        <v>720708</v>
      </c>
      <c r="C692">
        <v>2018</v>
      </c>
      <c r="D692" t="s">
        <v>12</v>
      </c>
      <c r="E692" t="s">
        <v>16</v>
      </c>
      <c r="F692">
        <v>0</v>
      </c>
      <c r="G692">
        <v>0</v>
      </c>
      <c r="H692">
        <v>71.784005468215994</v>
      </c>
      <c r="I692" t="b">
        <v>0</v>
      </c>
      <c r="J692">
        <v>0</v>
      </c>
      <c r="K692" t="s">
        <v>26</v>
      </c>
      <c r="L692">
        <v>1</v>
      </c>
      <c r="M692">
        <v>0</v>
      </c>
      <c r="N692">
        <v>0</v>
      </c>
    </row>
    <row r="693" spans="1:14" x14ac:dyDescent="0.2">
      <c r="A693" t="s">
        <v>3976</v>
      </c>
      <c r="B693">
        <v>720711</v>
      </c>
      <c r="C693">
        <v>2018</v>
      </c>
      <c r="D693" t="s">
        <v>12</v>
      </c>
      <c r="E693" t="s">
        <v>13</v>
      </c>
      <c r="F693" t="s">
        <v>18</v>
      </c>
      <c r="G693">
        <v>0</v>
      </c>
      <c r="H693">
        <v>28.948735475051301</v>
      </c>
      <c r="I693" t="b">
        <v>1</v>
      </c>
      <c r="J693">
        <v>0</v>
      </c>
      <c r="K693" t="s">
        <v>26</v>
      </c>
      <c r="L693">
        <v>0</v>
      </c>
      <c r="M693">
        <v>0</v>
      </c>
      <c r="N693" t="s">
        <v>18</v>
      </c>
    </row>
    <row r="694" spans="1:14" x14ac:dyDescent="0.2">
      <c r="A694" t="s">
        <v>3977</v>
      </c>
      <c r="B694">
        <v>720724</v>
      </c>
      <c r="C694">
        <v>2018</v>
      </c>
      <c r="D694" t="s">
        <v>12</v>
      </c>
      <c r="E694" t="s">
        <v>13</v>
      </c>
      <c r="F694">
        <v>0</v>
      </c>
      <c r="G694">
        <v>6</v>
      </c>
      <c r="H694">
        <v>77.380724538619305</v>
      </c>
      <c r="I694" t="b">
        <v>0</v>
      </c>
      <c r="J694">
        <v>0</v>
      </c>
      <c r="K694" t="s">
        <v>26</v>
      </c>
      <c r="L694">
        <v>0</v>
      </c>
      <c r="M694">
        <v>0</v>
      </c>
      <c r="N694">
        <v>1</v>
      </c>
    </row>
    <row r="695" spans="1:14" x14ac:dyDescent="0.2">
      <c r="A695" t="s">
        <v>3978</v>
      </c>
      <c r="B695">
        <v>720729</v>
      </c>
      <c r="C695">
        <v>2018</v>
      </c>
      <c r="D695" t="s">
        <v>12</v>
      </c>
      <c r="E695" t="s">
        <v>16</v>
      </c>
      <c r="F695">
        <v>0</v>
      </c>
      <c r="G695">
        <v>1</v>
      </c>
      <c r="H695">
        <v>71.373889268626101</v>
      </c>
      <c r="I695" t="b">
        <v>0</v>
      </c>
      <c r="J695">
        <v>0</v>
      </c>
      <c r="K695" t="s">
        <v>26</v>
      </c>
      <c r="L695">
        <v>0</v>
      </c>
      <c r="M695">
        <v>0</v>
      </c>
      <c r="N695">
        <v>0</v>
      </c>
    </row>
    <row r="696" spans="1:14" x14ac:dyDescent="0.2">
      <c r="A696" t="s">
        <v>3979</v>
      </c>
      <c r="B696">
        <v>720748</v>
      </c>
      <c r="C696">
        <v>2018</v>
      </c>
      <c r="D696" t="s">
        <v>12</v>
      </c>
      <c r="E696" t="s">
        <v>13</v>
      </c>
      <c r="F696">
        <v>0</v>
      </c>
      <c r="G696">
        <v>2</v>
      </c>
      <c r="H696">
        <v>75.740259740259702</v>
      </c>
      <c r="I696" t="b">
        <v>0</v>
      </c>
      <c r="J696">
        <v>1</v>
      </c>
      <c r="K696" t="s">
        <v>26</v>
      </c>
      <c r="L696">
        <v>0</v>
      </c>
      <c r="M696">
        <v>0</v>
      </c>
      <c r="N696" t="s">
        <v>18</v>
      </c>
    </row>
    <row r="697" spans="1:14" x14ac:dyDescent="0.2">
      <c r="A697" t="s">
        <v>3980</v>
      </c>
      <c r="B697">
        <v>720753</v>
      </c>
      <c r="C697">
        <v>2018</v>
      </c>
      <c r="D697" t="s">
        <v>12</v>
      </c>
      <c r="E697" t="s">
        <v>13</v>
      </c>
      <c r="F697">
        <v>0</v>
      </c>
      <c r="G697">
        <v>1</v>
      </c>
      <c r="H697">
        <v>84.647983595352002</v>
      </c>
      <c r="I697" t="b">
        <v>0</v>
      </c>
      <c r="J697">
        <v>0</v>
      </c>
      <c r="K697" t="s">
        <v>26</v>
      </c>
      <c r="L697">
        <v>1</v>
      </c>
      <c r="M697">
        <v>0</v>
      </c>
      <c r="N697">
        <v>0</v>
      </c>
    </row>
    <row r="698" spans="1:14" x14ac:dyDescent="0.2">
      <c r="A698" t="s">
        <v>3981</v>
      </c>
      <c r="B698">
        <v>720755</v>
      </c>
      <c r="C698">
        <v>2018</v>
      </c>
      <c r="D698" t="s">
        <v>21</v>
      </c>
      <c r="E698" t="s">
        <v>13</v>
      </c>
      <c r="F698">
        <v>0</v>
      </c>
      <c r="G698">
        <v>1</v>
      </c>
      <c r="H698">
        <v>57.230348598769702</v>
      </c>
      <c r="I698" t="b">
        <v>1</v>
      </c>
      <c r="J698">
        <v>1</v>
      </c>
      <c r="K698" t="s">
        <v>26</v>
      </c>
      <c r="L698">
        <v>0</v>
      </c>
      <c r="M698">
        <v>0</v>
      </c>
      <c r="N698">
        <v>0</v>
      </c>
    </row>
    <row r="699" spans="1:14" x14ac:dyDescent="0.2">
      <c r="A699" t="s">
        <v>3982</v>
      </c>
      <c r="B699">
        <v>720761</v>
      </c>
      <c r="C699">
        <v>2018</v>
      </c>
      <c r="D699" t="s">
        <v>12</v>
      </c>
      <c r="E699" t="s">
        <v>16</v>
      </c>
      <c r="F699">
        <v>0</v>
      </c>
      <c r="G699">
        <v>0</v>
      </c>
      <c r="H699">
        <v>76.095693779904295</v>
      </c>
      <c r="I699" t="b">
        <v>0</v>
      </c>
      <c r="J699">
        <v>0</v>
      </c>
      <c r="K699" t="s">
        <v>26</v>
      </c>
      <c r="L699">
        <v>0</v>
      </c>
      <c r="M699">
        <v>0</v>
      </c>
      <c r="N699" t="s">
        <v>18</v>
      </c>
    </row>
    <row r="700" spans="1:14" x14ac:dyDescent="0.2">
      <c r="A700" t="s">
        <v>3983</v>
      </c>
      <c r="B700">
        <v>720762</v>
      </c>
      <c r="C700">
        <v>2018</v>
      </c>
      <c r="D700" t="s">
        <v>22</v>
      </c>
      <c r="E700" t="s">
        <v>16</v>
      </c>
      <c r="F700">
        <v>0</v>
      </c>
      <c r="G700">
        <v>2</v>
      </c>
      <c r="H700">
        <v>73.998632946001393</v>
      </c>
      <c r="I700" t="b">
        <v>0</v>
      </c>
      <c r="J700" t="s">
        <v>18</v>
      </c>
      <c r="K700" t="s">
        <v>26</v>
      </c>
      <c r="L700">
        <v>1</v>
      </c>
      <c r="M700">
        <v>0</v>
      </c>
      <c r="N700">
        <v>0</v>
      </c>
    </row>
    <row r="701" spans="1:14" x14ac:dyDescent="0.2">
      <c r="A701" t="s">
        <v>3984</v>
      </c>
      <c r="B701">
        <v>720783</v>
      </c>
      <c r="C701">
        <v>2018</v>
      </c>
      <c r="D701" t="s">
        <v>21</v>
      </c>
      <c r="E701" t="s">
        <v>16</v>
      </c>
      <c r="F701">
        <v>0</v>
      </c>
      <c r="G701">
        <v>0</v>
      </c>
      <c r="H701">
        <v>73.3889268626111</v>
      </c>
      <c r="I701" t="b">
        <v>0</v>
      </c>
      <c r="J701">
        <v>1</v>
      </c>
      <c r="K701" t="s">
        <v>26</v>
      </c>
      <c r="L701">
        <v>0</v>
      </c>
      <c r="M701">
        <v>0</v>
      </c>
      <c r="N701" t="s">
        <v>18</v>
      </c>
    </row>
    <row r="702" spans="1:14" x14ac:dyDescent="0.2">
      <c r="A702" t="s">
        <v>3985</v>
      </c>
      <c r="B702">
        <v>720805</v>
      </c>
      <c r="C702">
        <v>2018</v>
      </c>
      <c r="D702" t="s">
        <v>12</v>
      </c>
      <c r="E702" t="s">
        <v>13</v>
      </c>
      <c r="F702">
        <v>0</v>
      </c>
      <c r="G702">
        <v>0</v>
      </c>
      <c r="H702">
        <v>83.138755980861205</v>
      </c>
      <c r="I702" t="b">
        <v>0</v>
      </c>
      <c r="J702">
        <v>0</v>
      </c>
      <c r="K702" t="s">
        <v>26</v>
      </c>
      <c r="L702">
        <v>0</v>
      </c>
      <c r="M702">
        <v>0</v>
      </c>
      <c r="N702" t="s">
        <v>18</v>
      </c>
    </row>
    <row r="703" spans="1:14" x14ac:dyDescent="0.2">
      <c r="A703" t="s">
        <v>3986</v>
      </c>
      <c r="B703">
        <v>720812</v>
      </c>
      <c r="C703">
        <v>2018</v>
      </c>
      <c r="D703" t="s">
        <v>20</v>
      </c>
      <c r="E703" t="s">
        <v>13</v>
      </c>
      <c r="F703">
        <v>0</v>
      </c>
      <c r="G703">
        <v>0</v>
      </c>
      <c r="H703">
        <v>47.991797676008197</v>
      </c>
      <c r="I703" t="b">
        <v>1</v>
      </c>
      <c r="J703">
        <v>0</v>
      </c>
      <c r="K703" t="s">
        <v>26</v>
      </c>
      <c r="L703">
        <v>0</v>
      </c>
      <c r="M703">
        <v>0</v>
      </c>
      <c r="N703">
        <v>0</v>
      </c>
    </row>
    <row r="704" spans="1:14" x14ac:dyDescent="0.2">
      <c r="A704" t="s">
        <v>3987</v>
      </c>
      <c r="B704">
        <v>720815</v>
      </c>
      <c r="C704">
        <v>2018</v>
      </c>
      <c r="D704" t="s">
        <v>22</v>
      </c>
      <c r="E704" t="s">
        <v>13</v>
      </c>
      <c r="F704">
        <v>0</v>
      </c>
      <c r="G704">
        <v>0</v>
      </c>
      <c r="H704">
        <v>71.097744360902297</v>
      </c>
      <c r="I704" t="b">
        <v>0</v>
      </c>
      <c r="J704">
        <v>0</v>
      </c>
      <c r="K704" t="s">
        <v>26</v>
      </c>
      <c r="L704">
        <v>0</v>
      </c>
      <c r="M704">
        <v>0</v>
      </c>
      <c r="N704">
        <v>1</v>
      </c>
    </row>
    <row r="705" spans="1:14" x14ac:dyDescent="0.2">
      <c r="A705" t="s">
        <v>3988</v>
      </c>
      <c r="B705">
        <v>720824</v>
      </c>
      <c r="C705">
        <v>2018</v>
      </c>
      <c r="D705" t="s">
        <v>21</v>
      </c>
      <c r="E705" t="s">
        <v>16</v>
      </c>
      <c r="F705">
        <v>0</v>
      </c>
      <c r="G705">
        <v>8</v>
      </c>
      <c r="H705">
        <v>82.149008885851003</v>
      </c>
      <c r="I705" t="b">
        <v>1</v>
      </c>
      <c r="J705" t="s">
        <v>18</v>
      </c>
      <c r="K705" t="s">
        <v>26</v>
      </c>
      <c r="L705">
        <v>0</v>
      </c>
      <c r="M705">
        <v>0</v>
      </c>
      <c r="N705">
        <v>0</v>
      </c>
    </row>
    <row r="706" spans="1:14" x14ac:dyDescent="0.2">
      <c r="A706" t="s">
        <v>3989</v>
      </c>
      <c r="B706">
        <v>720829</v>
      </c>
      <c r="C706">
        <v>2018</v>
      </c>
      <c r="D706" t="s">
        <v>15</v>
      </c>
      <c r="E706" t="s">
        <v>13</v>
      </c>
      <c r="F706">
        <v>0</v>
      </c>
      <c r="G706">
        <v>0</v>
      </c>
      <c r="H706">
        <v>24.349965823649999</v>
      </c>
      <c r="I706" t="b">
        <v>0</v>
      </c>
      <c r="J706">
        <v>1</v>
      </c>
      <c r="K706" t="s">
        <v>26</v>
      </c>
      <c r="L706">
        <v>0</v>
      </c>
      <c r="M706">
        <v>0</v>
      </c>
      <c r="N706">
        <v>1</v>
      </c>
    </row>
    <row r="707" spans="1:14" x14ac:dyDescent="0.2">
      <c r="A707" t="s">
        <v>3990</v>
      </c>
      <c r="B707">
        <v>720834</v>
      </c>
      <c r="C707">
        <v>2018</v>
      </c>
      <c r="D707" t="s">
        <v>21</v>
      </c>
      <c r="E707" t="s">
        <v>16</v>
      </c>
      <c r="F707">
        <v>0</v>
      </c>
      <c r="G707">
        <v>3</v>
      </c>
      <c r="H707">
        <v>73.328776486671202</v>
      </c>
      <c r="I707" t="b">
        <v>0</v>
      </c>
      <c r="J707">
        <v>0</v>
      </c>
      <c r="K707" t="s">
        <v>26</v>
      </c>
      <c r="L707">
        <v>0</v>
      </c>
      <c r="M707">
        <v>0</v>
      </c>
      <c r="N707">
        <v>0</v>
      </c>
    </row>
    <row r="708" spans="1:14" x14ac:dyDescent="0.2">
      <c r="A708" t="s">
        <v>3991</v>
      </c>
      <c r="B708">
        <v>720836</v>
      </c>
      <c r="C708">
        <v>2018</v>
      </c>
      <c r="D708" t="s">
        <v>12</v>
      </c>
      <c r="E708" t="s">
        <v>13</v>
      </c>
      <c r="F708">
        <v>0</v>
      </c>
      <c r="G708">
        <v>8</v>
      </c>
      <c r="H708">
        <v>70.263841421736203</v>
      </c>
      <c r="I708" t="b">
        <v>0</v>
      </c>
      <c r="J708">
        <v>0</v>
      </c>
      <c r="K708" t="s">
        <v>26</v>
      </c>
      <c r="L708">
        <v>0</v>
      </c>
      <c r="M708">
        <v>0</v>
      </c>
      <c r="N708" t="s">
        <v>18</v>
      </c>
    </row>
    <row r="709" spans="1:14" x14ac:dyDescent="0.2">
      <c r="A709" t="s">
        <v>3992</v>
      </c>
      <c r="B709">
        <v>720844</v>
      </c>
      <c r="C709">
        <v>2018</v>
      </c>
      <c r="D709" t="s">
        <v>21</v>
      </c>
      <c r="E709" t="s">
        <v>13</v>
      </c>
      <c r="F709">
        <v>0</v>
      </c>
      <c r="G709">
        <v>0</v>
      </c>
      <c r="H709">
        <v>47.1907040328093</v>
      </c>
      <c r="I709" t="b">
        <v>0</v>
      </c>
      <c r="J709">
        <v>0</v>
      </c>
      <c r="K709" t="s">
        <v>26</v>
      </c>
      <c r="L709">
        <v>0</v>
      </c>
      <c r="M709">
        <v>0</v>
      </c>
      <c r="N709">
        <v>0</v>
      </c>
    </row>
    <row r="710" spans="1:14" x14ac:dyDescent="0.2">
      <c r="A710" t="s">
        <v>3993</v>
      </c>
      <c r="B710">
        <v>720848</v>
      </c>
      <c r="C710">
        <v>2018</v>
      </c>
      <c r="D710" t="s">
        <v>17</v>
      </c>
      <c r="E710" t="s">
        <v>13</v>
      </c>
      <c r="F710">
        <v>0</v>
      </c>
      <c r="G710">
        <v>2</v>
      </c>
      <c r="H710">
        <v>77.982228298017802</v>
      </c>
      <c r="I710" t="b">
        <v>0</v>
      </c>
      <c r="J710">
        <v>0</v>
      </c>
      <c r="K710" t="s">
        <v>26</v>
      </c>
      <c r="L710">
        <v>0</v>
      </c>
      <c r="M710">
        <v>0</v>
      </c>
      <c r="N710">
        <v>0</v>
      </c>
    </row>
    <row r="711" spans="1:14" x14ac:dyDescent="0.2">
      <c r="A711" t="s">
        <v>3994</v>
      </c>
      <c r="B711">
        <v>720854</v>
      </c>
      <c r="C711">
        <v>2019</v>
      </c>
      <c r="D711" t="s">
        <v>12</v>
      </c>
      <c r="E711" t="s">
        <v>13</v>
      </c>
      <c r="F711">
        <v>0</v>
      </c>
      <c r="G711">
        <v>0</v>
      </c>
      <c r="H711">
        <v>33.747095010252899</v>
      </c>
      <c r="I711" t="b">
        <v>1</v>
      </c>
      <c r="J711">
        <v>0</v>
      </c>
      <c r="K711" t="s">
        <v>26</v>
      </c>
      <c r="L711">
        <v>0</v>
      </c>
      <c r="M711">
        <v>0</v>
      </c>
      <c r="N711">
        <v>1</v>
      </c>
    </row>
    <row r="712" spans="1:14" x14ac:dyDescent="0.2">
      <c r="A712" t="s">
        <v>3995</v>
      </c>
      <c r="B712">
        <v>720875</v>
      </c>
      <c r="C712">
        <v>2018</v>
      </c>
      <c r="D712" t="s">
        <v>24</v>
      </c>
      <c r="E712" t="s">
        <v>13</v>
      </c>
      <c r="F712">
        <v>0</v>
      </c>
      <c r="G712">
        <v>3</v>
      </c>
      <c r="H712">
        <v>73.115516062884495</v>
      </c>
      <c r="I712" t="b">
        <v>0</v>
      </c>
      <c r="J712" t="s">
        <v>18</v>
      </c>
      <c r="K712" t="s">
        <v>26</v>
      </c>
      <c r="L712">
        <v>0</v>
      </c>
      <c r="M712">
        <v>0</v>
      </c>
      <c r="N712">
        <v>0</v>
      </c>
    </row>
    <row r="713" spans="1:14" x14ac:dyDescent="0.2">
      <c r="A713" t="s">
        <v>3996</v>
      </c>
      <c r="B713">
        <v>720876</v>
      </c>
      <c r="C713">
        <v>2018</v>
      </c>
      <c r="D713" t="s">
        <v>12</v>
      </c>
      <c r="E713" t="s">
        <v>13</v>
      </c>
      <c r="F713">
        <v>0</v>
      </c>
      <c r="G713">
        <v>1</v>
      </c>
      <c r="H713">
        <v>74.838004101161999</v>
      </c>
      <c r="I713" t="b">
        <v>0</v>
      </c>
      <c r="J713">
        <v>0</v>
      </c>
      <c r="K713" t="s">
        <v>26</v>
      </c>
      <c r="L713">
        <v>0</v>
      </c>
      <c r="M713">
        <v>0</v>
      </c>
      <c r="N713">
        <v>0</v>
      </c>
    </row>
    <row r="714" spans="1:14" x14ac:dyDescent="0.2">
      <c r="A714" t="s">
        <v>3997</v>
      </c>
      <c r="B714">
        <v>720883</v>
      </c>
      <c r="C714">
        <v>2019</v>
      </c>
      <c r="D714" t="s">
        <v>12</v>
      </c>
      <c r="E714" t="s">
        <v>13</v>
      </c>
      <c r="F714">
        <v>0</v>
      </c>
      <c r="G714">
        <v>1</v>
      </c>
      <c r="H714">
        <v>80.650717703349301</v>
      </c>
      <c r="I714" t="b">
        <v>1</v>
      </c>
      <c r="J714">
        <v>0</v>
      </c>
      <c r="K714" t="s">
        <v>26</v>
      </c>
      <c r="L714">
        <v>1</v>
      </c>
      <c r="M714">
        <v>0</v>
      </c>
      <c r="N714">
        <v>1</v>
      </c>
    </row>
    <row r="715" spans="1:14" x14ac:dyDescent="0.2">
      <c r="A715" t="s">
        <v>3998</v>
      </c>
      <c r="B715">
        <v>720890</v>
      </c>
      <c r="C715">
        <v>2018</v>
      </c>
      <c r="D715" t="s">
        <v>21</v>
      </c>
      <c r="E715" t="s">
        <v>13</v>
      </c>
      <c r="F715">
        <v>0</v>
      </c>
      <c r="G715">
        <v>0</v>
      </c>
      <c r="H715">
        <v>25.058099794941899</v>
      </c>
      <c r="I715" t="b">
        <v>0</v>
      </c>
      <c r="J715">
        <v>1</v>
      </c>
      <c r="K715" t="s">
        <v>26</v>
      </c>
      <c r="L715">
        <v>0</v>
      </c>
      <c r="M715">
        <v>0</v>
      </c>
      <c r="N715">
        <v>1</v>
      </c>
    </row>
    <row r="716" spans="1:14" x14ac:dyDescent="0.2">
      <c r="A716" t="s">
        <v>3999</v>
      </c>
      <c r="B716">
        <v>720895</v>
      </c>
      <c r="C716">
        <v>2019</v>
      </c>
      <c r="D716" t="s">
        <v>17</v>
      </c>
      <c r="E716" t="s">
        <v>13</v>
      </c>
      <c r="F716">
        <v>0</v>
      </c>
      <c r="G716">
        <v>2</v>
      </c>
      <c r="H716">
        <v>82.427887901572106</v>
      </c>
      <c r="I716" t="b">
        <v>0</v>
      </c>
      <c r="J716">
        <v>0</v>
      </c>
      <c r="K716" t="s">
        <v>26</v>
      </c>
      <c r="L716">
        <v>0</v>
      </c>
      <c r="M716">
        <v>0</v>
      </c>
      <c r="N716">
        <v>0</v>
      </c>
    </row>
    <row r="717" spans="1:14" x14ac:dyDescent="0.2">
      <c r="A717" t="s">
        <v>4000</v>
      </c>
      <c r="B717">
        <v>720899</v>
      </c>
      <c r="C717">
        <v>2019</v>
      </c>
      <c r="D717" t="s">
        <v>19</v>
      </c>
      <c r="E717" t="s">
        <v>13</v>
      </c>
      <c r="F717">
        <v>1</v>
      </c>
      <c r="G717">
        <v>2</v>
      </c>
      <c r="H717">
        <v>58.840738209159298</v>
      </c>
      <c r="I717" t="b">
        <v>0</v>
      </c>
      <c r="J717">
        <v>0</v>
      </c>
      <c r="K717" t="s">
        <v>26</v>
      </c>
      <c r="L717">
        <v>0</v>
      </c>
      <c r="M717">
        <v>0</v>
      </c>
      <c r="N717">
        <v>1</v>
      </c>
    </row>
    <row r="718" spans="1:14" x14ac:dyDescent="0.2">
      <c r="A718" t="s">
        <v>4001</v>
      </c>
      <c r="B718">
        <v>720902</v>
      </c>
      <c r="C718">
        <v>2018</v>
      </c>
      <c r="D718" t="s">
        <v>21</v>
      </c>
      <c r="E718" t="s">
        <v>13</v>
      </c>
      <c r="F718">
        <v>0</v>
      </c>
      <c r="G718">
        <v>1</v>
      </c>
      <c r="H718">
        <v>70.930963773068996</v>
      </c>
      <c r="I718" t="b">
        <v>0</v>
      </c>
      <c r="J718" t="s">
        <v>18</v>
      </c>
      <c r="K718" t="s">
        <v>26</v>
      </c>
      <c r="L718">
        <v>1</v>
      </c>
      <c r="M718">
        <v>0</v>
      </c>
      <c r="N718">
        <v>0</v>
      </c>
    </row>
    <row r="719" spans="1:14" x14ac:dyDescent="0.2">
      <c r="A719" t="s">
        <v>4002</v>
      </c>
      <c r="B719">
        <v>720916</v>
      </c>
      <c r="C719">
        <v>2018</v>
      </c>
      <c r="D719" t="s">
        <v>21</v>
      </c>
      <c r="E719" t="s">
        <v>16</v>
      </c>
      <c r="F719">
        <v>0</v>
      </c>
      <c r="G719">
        <v>3</v>
      </c>
      <c r="H719">
        <v>79.160628844839394</v>
      </c>
      <c r="I719" t="b">
        <v>0</v>
      </c>
      <c r="J719">
        <v>0</v>
      </c>
      <c r="K719" t="s">
        <v>26</v>
      </c>
      <c r="L719">
        <v>0</v>
      </c>
      <c r="M719">
        <v>0</v>
      </c>
      <c r="N719">
        <v>1</v>
      </c>
    </row>
    <row r="720" spans="1:14" x14ac:dyDescent="0.2">
      <c r="A720" t="s">
        <v>4003</v>
      </c>
      <c r="B720">
        <v>720919</v>
      </c>
      <c r="C720">
        <v>2018</v>
      </c>
      <c r="D720" t="s">
        <v>21</v>
      </c>
      <c r="E720" t="s">
        <v>13</v>
      </c>
      <c r="F720">
        <v>0</v>
      </c>
      <c r="G720">
        <v>2</v>
      </c>
      <c r="H720">
        <v>80.328092959671906</v>
      </c>
      <c r="I720" t="b">
        <v>0</v>
      </c>
      <c r="J720">
        <v>0</v>
      </c>
      <c r="K720" t="s">
        <v>14</v>
      </c>
      <c r="L720">
        <v>0</v>
      </c>
      <c r="M720">
        <v>0</v>
      </c>
      <c r="N720">
        <v>0</v>
      </c>
    </row>
    <row r="721" spans="1:14" x14ac:dyDescent="0.2">
      <c r="A721" t="s">
        <v>4004</v>
      </c>
      <c r="B721">
        <v>720927</v>
      </c>
      <c r="C721">
        <v>2018</v>
      </c>
      <c r="D721" t="s">
        <v>22</v>
      </c>
      <c r="E721" t="s">
        <v>16</v>
      </c>
      <c r="F721">
        <v>0</v>
      </c>
      <c r="G721">
        <v>2</v>
      </c>
      <c r="H721">
        <v>64.380041011619994</v>
      </c>
      <c r="I721" t="b">
        <v>0</v>
      </c>
      <c r="J721">
        <v>0</v>
      </c>
      <c r="K721" t="s">
        <v>26</v>
      </c>
      <c r="L721">
        <v>0</v>
      </c>
      <c r="M721">
        <v>0</v>
      </c>
      <c r="N721">
        <v>0</v>
      </c>
    </row>
    <row r="722" spans="1:14" x14ac:dyDescent="0.2">
      <c r="A722" t="s">
        <v>4005</v>
      </c>
      <c r="B722">
        <v>720933</v>
      </c>
      <c r="C722">
        <v>2018</v>
      </c>
      <c r="D722" t="s">
        <v>12</v>
      </c>
      <c r="E722" t="s">
        <v>13</v>
      </c>
      <c r="F722" t="s">
        <v>18</v>
      </c>
      <c r="G722">
        <v>0</v>
      </c>
      <c r="H722">
        <v>92.467532467532493</v>
      </c>
      <c r="I722" t="b">
        <v>0</v>
      </c>
      <c r="J722">
        <v>0</v>
      </c>
      <c r="K722" t="s">
        <v>26</v>
      </c>
      <c r="L722">
        <v>0</v>
      </c>
      <c r="M722">
        <v>0</v>
      </c>
      <c r="N722" t="s">
        <v>18</v>
      </c>
    </row>
    <row r="723" spans="1:14" x14ac:dyDescent="0.2">
      <c r="A723" t="s">
        <v>4006</v>
      </c>
      <c r="B723">
        <v>720947</v>
      </c>
      <c r="C723">
        <v>2018</v>
      </c>
      <c r="D723" t="s">
        <v>12</v>
      </c>
      <c r="E723" t="s">
        <v>13</v>
      </c>
      <c r="F723">
        <v>0</v>
      </c>
      <c r="G723">
        <v>4</v>
      </c>
      <c r="H723">
        <v>79.904306220095705</v>
      </c>
      <c r="I723" t="b">
        <v>0</v>
      </c>
      <c r="J723">
        <v>0</v>
      </c>
      <c r="K723" t="s">
        <v>14</v>
      </c>
      <c r="L723">
        <v>0</v>
      </c>
      <c r="M723">
        <v>0</v>
      </c>
      <c r="N723">
        <v>0</v>
      </c>
    </row>
    <row r="724" spans="1:14" x14ac:dyDescent="0.2">
      <c r="A724" t="s">
        <v>4007</v>
      </c>
      <c r="B724">
        <v>720950</v>
      </c>
      <c r="C724">
        <v>2018</v>
      </c>
      <c r="D724" t="s">
        <v>12</v>
      </c>
      <c r="E724" t="s">
        <v>13</v>
      </c>
      <c r="F724">
        <v>0</v>
      </c>
      <c r="G724">
        <v>4</v>
      </c>
      <c r="H724">
        <v>92.710868079289099</v>
      </c>
      <c r="I724" t="b">
        <v>0</v>
      </c>
      <c r="J724">
        <v>0</v>
      </c>
      <c r="K724" t="s">
        <v>26</v>
      </c>
      <c r="L724">
        <v>0</v>
      </c>
      <c r="M724">
        <v>1</v>
      </c>
      <c r="N724">
        <v>0</v>
      </c>
    </row>
    <row r="725" spans="1:14" x14ac:dyDescent="0.2">
      <c r="A725" t="s">
        <v>4008</v>
      </c>
      <c r="B725">
        <v>720953</v>
      </c>
      <c r="C725">
        <v>2018</v>
      </c>
      <c r="D725" t="s">
        <v>12</v>
      </c>
      <c r="E725" t="s">
        <v>13</v>
      </c>
      <c r="F725">
        <v>0</v>
      </c>
      <c r="G725">
        <v>6</v>
      </c>
      <c r="H725">
        <v>65.995898838004095</v>
      </c>
      <c r="I725" t="b">
        <v>0</v>
      </c>
      <c r="J725">
        <v>0</v>
      </c>
      <c r="K725" t="s">
        <v>26</v>
      </c>
      <c r="L725">
        <v>0</v>
      </c>
      <c r="M725">
        <v>0</v>
      </c>
      <c r="N725" t="s">
        <v>18</v>
      </c>
    </row>
    <row r="726" spans="1:14" x14ac:dyDescent="0.2">
      <c r="A726" t="s">
        <v>4009</v>
      </c>
      <c r="B726">
        <v>720954</v>
      </c>
      <c r="C726">
        <v>2018</v>
      </c>
      <c r="D726" t="s">
        <v>12</v>
      </c>
      <c r="E726" t="s">
        <v>13</v>
      </c>
      <c r="F726">
        <v>0</v>
      </c>
      <c r="G726">
        <v>0</v>
      </c>
      <c r="H726">
        <v>29.0006835269993</v>
      </c>
      <c r="I726" t="b">
        <v>1</v>
      </c>
      <c r="J726">
        <v>0</v>
      </c>
      <c r="K726" t="s">
        <v>26</v>
      </c>
      <c r="L726">
        <v>0</v>
      </c>
      <c r="M726">
        <v>0</v>
      </c>
      <c r="N726">
        <v>1</v>
      </c>
    </row>
    <row r="727" spans="1:14" x14ac:dyDescent="0.2">
      <c r="A727" t="s">
        <v>4010</v>
      </c>
      <c r="B727">
        <v>720968</v>
      </c>
      <c r="C727">
        <v>2018</v>
      </c>
      <c r="D727" t="s">
        <v>22</v>
      </c>
      <c r="E727" t="s">
        <v>13</v>
      </c>
      <c r="F727">
        <v>0</v>
      </c>
      <c r="G727">
        <v>0</v>
      </c>
      <c r="H727">
        <v>22.239234449760801</v>
      </c>
      <c r="I727" t="b">
        <v>0</v>
      </c>
      <c r="J727">
        <v>0</v>
      </c>
      <c r="K727" t="s">
        <v>26</v>
      </c>
      <c r="L727">
        <v>0</v>
      </c>
      <c r="M727">
        <v>0</v>
      </c>
      <c r="N727">
        <v>0</v>
      </c>
    </row>
    <row r="728" spans="1:14" x14ac:dyDescent="0.2">
      <c r="A728" t="s">
        <v>4011</v>
      </c>
      <c r="B728">
        <v>720974</v>
      </c>
      <c r="C728">
        <v>2019</v>
      </c>
      <c r="D728" t="s">
        <v>20</v>
      </c>
      <c r="E728" t="s">
        <v>13</v>
      </c>
      <c r="F728">
        <v>0</v>
      </c>
      <c r="G728">
        <v>2</v>
      </c>
      <c r="H728">
        <v>82.149008885851003</v>
      </c>
      <c r="I728" t="b">
        <v>0</v>
      </c>
      <c r="J728">
        <v>0</v>
      </c>
      <c r="K728" t="s">
        <v>26</v>
      </c>
      <c r="L728">
        <v>1</v>
      </c>
      <c r="M728">
        <v>1</v>
      </c>
      <c r="N728">
        <v>0</v>
      </c>
    </row>
    <row r="729" spans="1:14" x14ac:dyDescent="0.2">
      <c r="A729" t="s">
        <v>4012</v>
      </c>
      <c r="B729">
        <v>720977</v>
      </c>
      <c r="C729">
        <v>2019</v>
      </c>
      <c r="D729" t="s">
        <v>12</v>
      </c>
      <c r="E729" t="s">
        <v>13</v>
      </c>
      <c r="F729">
        <v>0</v>
      </c>
      <c r="G729">
        <v>1</v>
      </c>
      <c r="H729">
        <v>83.032125768967902</v>
      </c>
      <c r="I729" t="b">
        <v>0</v>
      </c>
      <c r="J729">
        <v>0</v>
      </c>
      <c r="K729" t="s">
        <v>26</v>
      </c>
      <c r="L729">
        <v>1</v>
      </c>
      <c r="M729">
        <v>0</v>
      </c>
      <c r="N729">
        <v>0</v>
      </c>
    </row>
    <row r="730" spans="1:14" x14ac:dyDescent="0.2">
      <c r="A730" t="s">
        <v>4013</v>
      </c>
      <c r="B730">
        <v>720989</v>
      </c>
      <c r="C730">
        <v>2018</v>
      </c>
      <c r="D730" t="s">
        <v>22</v>
      </c>
      <c r="E730" t="s">
        <v>13</v>
      </c>
      <c r="F730">
        <v>0</v>
      </c>
      <c r="G730">
        <v>2</v>
      </c>
      <c r="H730">
        <v>86.7231715652768</v>
      </c>
      <c r="I730" t="b">
        <v>0</v>
      </c>
      <c r="J730">
        <v>0</v>
      </c>
      <c r="K730" t="s">
        <v>26</v>
      </c>
      <c r="L730">
        <v>0</v>
      </c>
      <c r="M730">
        <v>0</v>
      </c>
      <c r="N730">
        <v>0</v>
      </c>
    </row>
    <row r="731" spans="1:14" x14ac:dyDescent="0.2">
      <c r="A731" t="s">
        <v>4014</v>
      </c>
      <c r="B731">
        <v>720999</v>
      </c>
      <c r="C731">
        <v>2019</v>
      </c>
      <c r="D731" t="s">
        <v>12</v>
      </c>
      <c r="E731" t="s">
        <v>16</v>
      </c>
      <c r="F731">
        <v>0</v>
      </c>
      <c r="G731">
        <v>1</v>
      </c>
      <c r="H731">
        <v>69.249487354750499</v>
      </c>
      <c r="I731" t="b">
        <v>0</v>
      </c>
      <c r="J731">
        <v>0</v>
      </c>
      <c r="K731" t="s">
        <v>26</v>
      </c>
      <c r="L731">
        <v>0</v>
      </c>
      <c r="M731">
        <v>0</v>
      </c>
      <c r="N731">
        <v>1</v>
      </c>
    </row>
    <row r="732" spans="1:14" x14ac:dyDescent="0.2">
      <c r="A732" t="s">
        <v>4015</v>
      </c>
      <c r="B732">
        <v>721003</v>
      </c>
      <c r="C732">
        <v>2018</v>
      </c>
      <c r="D732" t="s">
        <v>17</v>
      </c>
      <c r="E732" t="s">
        <v>13</v>
      </c>
      <c r="F732">
        <v>0</v>
      </c>
      <c r="G732">
        <v>0</v>
      </c>
      <c r="H732">
        <v>64.858509911141496</v>
      </c>
      <c r="I732" t="b">
        <v>0</v>
      </c>
      <c r="J732" t="s">
        <v>18</v>
      </c>
      <c r="K732" t="s">
        <v>26</v>
      </c>
      <c r="L732">
        <v>0</v>
      </c>
      <c r="M732">
        <v>0</v>
      </c>
      <c r="N732">
        <v>0</v>
      </c>
    </row>
    <row r="733" spans="1:14" x14ac:dyDescent="0.2">
      <c r="A733" t="s">
        <v>4016</v>
      </c>
      <c r="B733">
        <v>721011</v>
      </c>
      <c r="C733">
        <v>2019</v>
      </c>
      <c r="D733" t="s">
        <v>12</v>
      </c>
      <c r="E733" t="s">
        <v>13</v>
      </c>
      <c r="F733">
        <v>0</v>
      </c>
      <c r="G733">
        <v>4</v>
      </c>
      <c r="H733">
        <v>93.254955570744997</v>
      </c>
      <c r="I733" t="b">
        <v>1</v>
      </c>
      <c r="J733">
        <v>0</v>
      </c>
      <c r="K733" t="s">
        <v>26</v>
      </c>
      <c r="L733">
        <v>0</v>
      </c>
      <c r="M733">
        <v>0</v>
      </c>
      <c r="N733">
        <v>0</v>
      </c>
    </row>
    <row r="734" spans="1:14" x14ac:dyDescent="0.2">
      <c r="A734" t="s">
        <v>4017</v>
      </c>
      <c r="B734">
        <v>721026</v>
      </c>
      <c r="C734">
        <v>2019</v>
      </c>
      <c r="D734" t="s">
        <v>12</v>
      </c>
      <c r="E734" t="s">
        <v>13</v>
      </c>
      <c r="F734">
        <v>0</v>
      </c>
      <c r="G734">
        <v>0</v>
      </c>
      <c r="H734">
        <v>34.605604921394402</v>
      </c>
      <c r="I734" t="b">
        <v>0</v>
      </c>
      <c r="J734">
        <v>0</v>
      </c>
      <c r="K734" t="s">
        <v>26</v>
      </c>
      <c r="L734">
        <v>1</v>
      </c>
      <c r="M734">
        <v>0</v>
      </c>
      <c r="N734">
        <v>0</v>
      </c>
    </row>
    <row r="735" spans="1:14" x14ac:dyDescent="0.2">
      <c r="A735" t="s">
        <v>4018</v>
      </c>
      <c r="B735">
        <v>721159</v>
      </c>
      <c r="C735">
        <v>2018</v>
      </c>
      <c r="D735" t="s">
        <v>24</v>
      </c>
      <c r="E735" t="s">
        <v>13</v>
      </c>
      <c r="F735">
        <v>0</v>
      </c>
      <c r="G735">
        <v>2</v>
      </c>
      <c r="H735">
        <v>43.917976760081999</v>
      </c>
      <c r="I735" t="b">
        <v>0</v>
      </c>
      <c r="J735">
        <v>0</v>
      </c>
      <c r="K735" t="s">
        <v>26</v>
      </c>
      <c r="L735">
        <v>0</v>
      </c>
      <c r="M735">
        <v>0</v>
      </c>
      <c r="N735">
        <v>1</v>
      </c>
    </row>
    <row r="736" spans="1:14" x14ac:dyDescent="0.2">
      <c r="A736" t="s">
        <v>4019</v>
      </c>
      <c r="B736">
        <v>721171</v>
      </c>
      <c r="C736">
        <v>2018</v>
      </c>
      <c r="D736" t="s">
        <v>21</v>
      </c>
      <c r="E736" t="s">
        <v>13</v>
      </c>
      <c r="F736">
        <v>0</v>
      </c>
      <c r="G736">
        <v>1</v>
      </c>
      <c r="H736">
        <v>64.937799043062199</v>
      </c>
      <c r="I736" t="b">
        <v>0</v>
      </c>
      <c r="J736">
        <v>0</v>
      </c>
      <c r="K736" t="s">
        <v>26</v>
      </c>
      <c r="L736">
        <v>0</v>
      </c>
      <c r="M736">
        <v>0</v>
      </c>
      <c r="N736">
        <v>1</v>
      </c>
    </row>
    <row r="737" spans="1:14" x14ac:dyDescent="0.2">
      <c r="A737" t="s">
        <v>4020</v>
      </c>
      <c r="B737">
        <v>721186</v>
      </c>
      <c r="C737">
        <v>2018</v>
      </c>
      <c r="D737" t="s">
        <v>20</v>
      </c>
      <c r="E737" t="s">
        <v>13</v>
      </c>
      <c r="F737">
        <v>1</v>
      </c>
      <c r="G737">
        <v>0</v>
      </c>
      <c r="H737">
        <v>40.390977443609003</v>
      </c>
      <c r="I737" t="b">
        <v>1</v>
      </c>
      <c r="J737">
        <v>0</v>
      </c>
      <c r="K737" t="s">
        <v>26</v>
      </c>
      <c r="L737">
        <v>0</v>
      </c>
      <c r="M737">
        <v>0</v>
      </c>
      <c r="N737">
        <v>1</v>
      </c>
    </row>
    <row r="738" spans="1:14" x14ac:dyDescent="0.2">
      <c r="A738" t="s">
        <v>4021</v>
      </c>
      <c r="B738">
        <v>721189</v>
      </c>
      <c r="C738">
        <v>2018</v>
      </c>
      <c r="D738" t="s">
        <v>12</v>
      </c>
      <c r="E738" t="s">
        <v>13</v>
      </c>
      <c r="F738">
        <v>1</v>
      </c>
      <c r="G738">
        <v>6</v>
      </c>
      <c r="H738">
        <v>52.306220095693803</v>
      </c>
      <c r="I738" t="b">
        <v>0</v>
      </c>
      <c r="J738">
        <v>0</v>
      </c>
      <c r="K738" t="s">
        <v>26</v>
      </c>
      <c r="L738">
        <v>0</v>
      </c>
      <c r="M738">
        <v>0</v>
      </c>
      <c r="N738" t="s">
        <v>18</v>
      </c>
    </row>
    <row r="739" spans="1:14" x14ac:dyDescent="0.2">
      <c r="A739" t="s">
        <v>4022</v>
      </c>
      <c r="B739">
        <v>721192</v>
      </c>
      <c r="C739">
        <v>2018</v>
      </c>
      <c r="D739" t="s">
        <v>20</v>
      </c>
      <c r="E739" t="s">
        <v>13</v>
      </c>
      <c r="F739">
        <v>0</v>
      </c>
      <c r="G739">
        <v>0</v>
      </c>
      <c r="H739">
        <v>44.224196855775801</v>
      </c>
      <c r="I739" t="b">
        <v>1</v>
      </c>
      <c r="J739">
        <v>0</v>
      </c>
      <c r="K739" t="s">
        <v>26</v>
      </c>
      <c r="L739">
        <v>0</v>
      </c>
      <c r="M739">
        <v>0</v>
      </c>
      <c r="N739">
        <v>1</v>
      </c>
    </row>
    <row r="740" spans="1:14" x14ac:dyDescent="0.2">
      <c r="A740" t="s">
        <v>4023</v>
      </c>
      <c r="B740">
        <v>721194</v>
      </c>
      <c r="C740">
        <v>2018</v>
      </c>
      <c r="D740" t="s">
        <v>12</v>
      </c>
      <c r="E740" t="s">
        <v>13</v>
      </c>
      <c r="F740">
        <v>0</v>
      </c>
      <c r="G740">
        <v>2</v>
      </c>
      <c r="H740">
        <v>92.073820915926206</v>
      </c>
      <c r="I740" t="b">
        <v>0</v>
      </c>
      <c r="J740">
        <v>0</v>
      </c>
      <c r="K740" t="s">
        <v>26</v>
      </c>
      <c r="L740">
        <v>0</v>
      </c>
      <c r="M740">
        <v>0</v>
      </c>
      <c r="N740">
        <v>0</v>
      </c>
    </row>
    <row r="741" spans="1:14" x14ac:dyDescent="0.2">
      <c r="A741" t="s">
        <v>4024</v>
      </c>
      <c r="B741">
        <v>721197</v>
      </c>
      <c r="C741">
        <v>2018</v>
      </c>
      <c r="D741" t="s">
        <v>20</v>
      </c>
      <c r="E741" t="s">
        <v>16</v>
      </c>
      <c r="F741">
        <v>0</v>
      </c>
      <c r="G741">
        <v>1</v>
      </c>
      <c r="H741">
        <v>70.4962406015038</v>
      </c>
      <c r="I741" t="b">
        <v>0</v>
      </c>
      <c r="J741">
        <v>0</v>
      </c>
      <c r="K741" t="s">
        <v>26</v>
      </c>
      <c r="L741">
        <v>1</v>
      </c>
      <c r="M741">
        <v>0</v>
      </c>
      <c r="N741">
        <v>0</v>
      </c>
    </row>
    <row r="742" spans="1:14" x14ac:dyDescent="0.2">
      <c r="A742" t="s">
        <v>4025</v>
      </c>
      <c r="B742">
        <v>721199</v>
      </c>
      <c r="C742">
        <v>2018</v>
      </c>
      <c r="D742" t="s">
        <v>22</v>
      </c>
      <c r="E742" t="s">
        <v>13</v>
      </c>
      <c r="F742">
        <v>0</v>
      </c>
      <c r="G742">
        <v>0</v>
      </c>
      <c r="H742">
        <v>89.829118250170893</v>
      </c>
      <c r="I742" t="b">
        <v>0</v>
      </c>
      <c r="J742">
        <v>0</v>
      </c>
      <c r="K742" t="s">
        <v>26</v>
      </c>
      <c r="L742">
        <v>0</v>
      </c>
      <c r="M742">
        <v>0</v>
      </c>
      <c r="N742" t="s">
        <v>18</v>
      </c>
    </row>
    <row r="743" spans="1:14" x14ac:dyDescent="0.2">
      <c r="A743" t="s">
        <v>4026</v>
      </c>
      <c r="B743">
        <v>721211</v>
      </c>
      <c r="C743">
        <v>2018</v>
      </c>
      <c r="D743" t="s">
        <v>15</v>
      </c>
      <c r="E743" t="s">
        <v>13</v>
      </c>
      <c r="F743">
        <v>0</v>
      </c>
      <c r="G743">
        <v>2</v>
      </c>
      <c r="H743">
        <v>79.466848940533097</v>
      </c>
      <c r="I743" t="b">
        <v>0</v>
      </c>
      <c r="J743">
        <v>0</v>
      </c>
      <c r="K743" t="s">
        <v>26</v>
      </c>
      <c r="L743">
        <v>0</v>
      </c>
      <c r="M743">
        <v>0</v>
      </c>
      <c r="N743">
        <v>0</v>
      </c>
    </row>
    <row r="744" spans="1:14" x14ac:dyDescent="0.2">
      <c r="A744" t="s">
        <v>4027</v>
      </c>
      <c r="B744">
        <v>721225</v>
      </c>
      <c r="C744">
        <v>2018</v>
      </c>
      <c r="D744" t="s">
        <v>12</v>
      </c>
      <c r="E744" t="s">
        <v>13</v>
      </c>
      <c r="F744">
        <v>0</v>
      </c>
      <c r="G744">
        <v>1</v>
      </c>
      <c r="H744">
        <v>69.334244702665799</v>
      </c>
      <c r="I744" t="b">
        <v>0</v>
      </c>
      <c r="J744">
        <v>0</v>
      </c>
      <c r="K744" t="s">
        <v>26</v>
      </c>
      <c r="L744">
        <v>0</v>
      </c>
      <c r="M744">
        <v>0</v>
      </c>
      <c r="N744" t="s">
        <v>18</v>
      </c>
    </row>
    <row r="745" spans="1:14" x14ac:dyDescent="0.2">
      <c r="A745" t="s">
        <v>4028</v>
      </c>
      <c r="B745">
        <v>721232</v>
      </c>
      <c r="C745">
        <v>2018</v>
      </c>
      <c r="D745" t="s">
        <v>21</v>
      </c>
      <c r="E745" t="s">
        <v>13</v>
      </c>
      <c r="F745">
        <v>0</v>
      </c>
      <c r="G745">
        <v>0</v>
      </c>
      <c r="H745">
        <v>62.0997949419002</v>
      </c>
      <c r="I745" t="b">
        <v>0</v>
      </c>
      <c r="J745">
        <v>0</v>
      </c>
      <c r="K745" t="s">
        <v>26</v>
      </c>
      <c r="L745">
        <v>0</v>
      </c>
      <c r="M745">
        <v>0</v>
      </c>
      <c r="N745">
        <v>0</v>
      </c>
    </row>
    <row r="746" spans="1:14" x14ac:dyDescent="0.2">
      <c r="A746" t="s">
        <v>4029</v>
      </c>
      <c r="B746">
        <v>721254</v>
      </c>
      <c r="C746">
        <v>2018</v>
      </c>
      <c r="D746" t="s">
        <v>21</v>
      </c>
      <c r="E746" t="s">
        <v>16</v>
      </c>
      <c r="F746">
        <v>0</v>
      </c>
      <c r="G746">
        <v>5</v>
      </c>
      <c r="H746">
        <v>61.5885167464115</v>
      </c>
      <c r="I746" t="b">
        <v>0</v>
      </c>
      <c r="J746">
        <v>0</v>
      </c>
      <c r="K746" t="s">
        <v>26</v>
      </c>
      <c r="L746">
        <v>0</v>
      </c>
      <c r="M746">
        <v>0</v>
      </c>
      <c r="N746" t="s">
        <v>18</v>
      </c>
    </row>
    <row r="747" spans="1:14" x14ac:dyDescent="0.2">
      <c r="A747" t="s">
        <v>4030</v>
      </c>
      <c r="B747">
        <v>721258</v>
      </c>
      <c r="C747">
        <v>2018</v>
      </c>
      <c r="D747" t="s">
        <v>12</v>
      </c>
      <c r="E747" t="s">
        <v>16</v>
      </c>
      <c r="F747">
        <v>0</v>
      </c>
      <c r="G747">
        <v>2</v>
      </c>
      <c r="H747">
        <v>76.776486671223495</v>
      </c>
      <c r="I747" t="b">
        <v>0</v>
      </c>
      <c r="J747" t="s">
        <v>18</v>
      </c>
      <c r="K747" t="s">
        <v>26</v>
      </c>
      <c r="L747">
        <v>0</v>
      </c>
      <c r="M747">
        <v>0</v>
      </c>
      <c r="N747">
        <v>0</v>
      </c>
    </row>
    <row r="748" spans="1:14" x14ac:dyDescent="0.2">
      <c r="A748" t="s">
        <v>4031</v>
      </c>
      <c r="B748">
        <v>721260</v>
      </c>
      <c r="C748">
        <v>2018</v>
      </c>
      <c r="D748" t="s">
        <v>21</v>
      </c>
      <c r="E748" t="s">
        <v>16</v>
      </c>
      <c r="F748">
        <v>0</v>
      </c>
      <c r="G748">
        <v>0</v>
      </c>
      <c r="H748">
        <v>61.465481886534498</v>
      </c>
      <c r="I748" t="b">
        <v>0</v>
      </c>
      <c r="J748">
        <v>0</v>
      </c>
      <c r="K748" t="s">
        <v>26</v>
      </c>
      <c r="L748">
        <v>0</v>
      </c>
      <c r="M748">
        <v>0</v>
      </c>
      <c r="N748">
        <v>0</v>
      </c>
    </row>
    <row r="749" spans="1:14" x14ac:dyDescent="0.2">
      <c r="A749" t="s">
        <v>4032</v>
      </c>
      <c r="B749">
        <v>721264</v>
      </c>
      <c r="C749">
        <v>2018</v>
      </c>
      <c r="D749" t="s">
        <v>17</v>
      </c>
      <c r="E749" t="s">
        <v>13</v>
      </c>
      <c r="F749">
        <v>0</v>
      </c>
      <c r="G749">
        <v>0</v>
      </c>
      <c r="H749">
        <v>91.384825700615195</v>
      </c>
      <c r="I749" t="b">
        <v>0</v>
      </c>
      <c r="J749">
        <v>0</v>
      </c>
      <c r="K749" t="s">
        <v>26</v>
      </c>
      <c r="L749">
        <v>0</v>
      </c>
      <c r="M749">
        <v>0</v>
      </c>
      <c r="N749">
        <v>0</v>
      </c>
    </row>
    <row r="750" spans="1:14" x14ac:dyDescent="0.2">
      <c r="A750" t="s">
        <v>4033</v>
      </c>
      <c r="B750">
        <v>721272</v>
      </c>
      <c r="C750">
        <v>2018</v>
      </c>
      <c r="D750" t="s">
        <v>12</v>
      </c>
      <c r="E750" t="s">
        <v>13</v>
      </c>
      <c r="F750">
        <v>0</v>
      </c>
      <c r="G750">
        <v>0</v>
      </c>
      <c r="H750">
        <v>84.489405331510596</v>
      </c>
      <c r="I750" t="b">
        <v>0</v>
      </c>
      <c r="J750">
        <v>0</v>
      </c>
      <c r="K750" t="s">
        <v>26</v>
      </c>
      <c r="L750">
        <v>0</v>
      </c>
      <c r="M750">
        <v>0</v>
      </c>
      <c r="N750">
        <v>0</v>
      </c>
    </row>
    <row r="751" spans="1:14" x14ac:dyDescent="0.2">
      <c r="A751" t="s">
        <v>4034</v>
      </c>
      <c r="B751">
        <v>721291</v>
      </c>
      <c r="C751">
        <v>2018</v>
      </c>
      <c r="D751" t="s">
        <v>12</v>
      </c>
      <c r="E751" t="s">
        <v>13</v>
      </c>
      <c r="F751">
        <v>0</v>
      </c>
      <c r="G751">
        <v>0</v>
      </c>
      <c r="H751">
        <v>78.698564593301398</v>
      </c>
      <c r="I751" t="b">
        <v>0</v>
      </c>
      <c r="J751">
        <v>0</v>
      </c>
      <c r="K751" t="s">
        <v>26</v>
      </c>
      <c r="L751">
        <v>0</v>
      </c>
      <c r="M751">
        <v>0</v>
      </c>
      <c r="N751">
        <v>0</v>
      </c>
    </row>
    <row r="752" spans="1:14" x14ac:dyDescent="0.2">
      <c r="A752" t="s">
        <v>4035</v>
      </c>
      <c r="B752">
        <v>721293</v>
      </c>
      <c r="C752">
        <v>2018</v>
      </c>
      <c r="D752" t="s">
        <v>12</v>
      </c>
      <c r="E752" t="s">
        <v>13</v>
      </c>
      <c r="F752">
        <v>0</v>
      </c>
      <c r="G752">
        <v>1</v>
      </c>
      <c r="H752">
        <v>91.2344497607656</v>
      </c>
      <c r="I752" t="b">
        <v>0</v>
      </c>
      <c r="J752">
        <v>0</v>
      </c>
      <c r="K752" t="s">
        <v>26</v>
      </c>
      <c r="L752">
        <v>0</v>
      </c>
      <c r="M752">
        <v>0</v>
      </c>
      <c r="N752">
        <v>0</v>
      </c>
    </row>
    <row r="753" spans="1:14" x14ac:dyDescent="0.2">
      <c r="A753" t="s">
        <v>4036</v>
      </c>
      <c r="B753">
        <v>721294</v>
      </c>
      <c r="C753">
        <v>2018</v>
      </c>
      <c r="D753" t="s">
        <v>12</v>
      </c>
      <c r="E753" t="s">
        <v>13</v>
      </c>
      <c r="F753">
        <v>0</v>
      </c>
      <c r="G753">
        <v>0</v>
      </c>
      <c r="H753">
        <v>57.419002050581</v>
      </c>
      <c r="I753" t="b">
        <v>0</v>
      </c>
      <c r="J753">
        <v>0</v>
      </c>
      <c r="K753" t="s">
        <v>26</v>
      </c>
      <c r="L753">
        <v>0</v>
      </c>
      <c r="M753">
        <v>0</v>
      </c>
      <c r="N753">
        <v>1</v>
      </c>
    </row>
    <row r="754" spans="1:14" x14ac:dyDescent="0.2">
      <c r="A754" t="s">
        <v>4037</v>
      </c>
      <c r="B754">
        <v>721296</v>
      </c>
      <c r="C754">
        <v>2018</v>
      </c>
      <c r="D754" t="s">
        <v>12</v>
      </c>
      <c r="E754" t="s">
        <v>13</v>
      </c>
      <c r="F754">
        <v>0</v>
      </c>
      <c r="G754">
        <v>0</v>
      </c>
      <c r="H754">
        <v>20.194121667805899</v>
      </c>
      <c r="I754" t="b">
        <v>0</v>
      </c>
      <c r="J754">
        <v>0</v>
      </c>
      <c r="K754" t="s">
        <v>26</v>
      </c>
      <c r="L754">
        <v>0</v>
      </c>
      <c r="M754">
        <v>0</v>
      </c>
      <c r="N754">
        <v>1</v>
      </c>
    </row>
    <row r="755" spans="1:14" x14ac:dyDescent="0.2">
      <c r="A755" t="s">
        <v>4038</v>
      </c>
      <c r="B755">
        <v>721304</v>
      </c>
      <c r="C755">
        <v>2018</v>
      </c>
      <c r="D755" t="s">
        <v>12</v>
      </c>
      <c r="E755" t="s">
        <v>13</v>
      </c>
      <c r="F755" t="s">
        <v>18</v>
      </c>
      <c r="G755" t="s">
        <v>18</v>
      </c>
      <c r="H755">
        <v>40.675324675324703</v>
      </c>
      <c r="I755" t="b">
        <v>0</v>
      </c>
      <c r="J755">
        <v>0</v>
      </c>
      <c r="K755" t="s">
        <v>26</v>
      </c>
      <c r="L755" t="s">
        <v>18</v>
      </c>
      <c r="M755" t="s">
        <v>18</v>
      </c>
      <c r="N755" t="s">
        <v>18</v>
      </c>
    </row>
    <row r="756" spans="1:14" x14ac:dyDescent="0.2">
      <c r="A756" t="s">
        <v>4039</v>
      </c>
      <c r="B756">
        <v>721318</v>
      </c>
      <c r="C756">
        <v>2018</v>
      </c>
      <c r="D756" t="s">
        <v>22</v>
      </c>
      <c r="E756" t="s">
        <v>13</v>
      </c>
      <c r="F756">
        <v>0</v>
      </c>
      <c r="G756">
        <v>9</v>
      </c>
      <c r="H756">
        <v>80.087491455912499</v>
      </c>
      <c r="I756" t="b">
        <v>0</v>
      </c>
      <c r="J756">
        <v>0</v>
      </c>
      <c r="K756" t="s">
        <v>26</v>
      </c>
      <c r="L756">
        <v>0</v>
      </c>
      <c r="M756">
        <v>0</v>
      </c>
      <c r="N756" t="s">
        <v>18</v>
      </c>
    </row>
    <row r="757" spans="1:14" x14ac:dyDescent="0.2">
      <c r="A757" t="s">
        <v>4040</v>
      </c>
      <c r="B757">
        <v>721334</v>
      </c>
      <c r="C757">
        <v>2018</v>
      </c>
      <c r="D757" t="s">
        <v>12</v>
      </c>
      <c r="E757" t="s">
        <v>13</v>
      </c>
      <c r="F757">
        <v>0</v>
      </c>
      <c r="G757">
        <v>1</v>
      </c>
      <c r="H757">
        <v>87.155160628844797</v>
      </c>
      <c r="I757" t="b">
        <v>0</v>
      </c>
      <c r="J757">
        <v>0</v>
      </c>
      <c r="K757" t="s">
        <v>26</v>
      </c>
      <c r="L757">
        <v>0</v>
      </c>
      <c r="M757">
        <v>0</v>
      </c>
      <c r="N757">
        <v>0</v>
      </c>
    </row>
    <row r="758" spans="1:14" x14ac:dyDescent="0.2">
      <c r="A758" t="s">
        <v>4041</v>
      </c>
      <c r="B758">
        <v>721335</v>
      </c>
      <c r="C758">
        <v>2018</v>
      </c>
      <c r="D758" t="s">
        <v>24</v>
      </c>
      <c r="E758" t="s">
        <v>13</v>
      </c>
      <c r="F758">
        <v>0</v>
      </c>
      <c r="G758">
        <v>0</v>
      </c>
      <c r="H758">
        <v>90.9501025290499</v>
      </c>
      <c r="I758" t="b">
        <v>0</v>
      </c>
      <c r="J758">
        <v>0</v>
      </c>
      <c r="K758" t="s">
        <v>26</v>
      </c>
      <c r="L758">
        <v>0</v>
      </c>
      <c r="M758">
        <v>0</v>
      </c>
      <c r="N758">
        <v>0</v>
      </c>
    </row>
    <row r="759" spans="1:14" x14ac:dyDescent="0.2">
      <c r="A759" t="s">
        <v>4042</v>
      </c>
      <c r="B759">
        <v>721342</v>
      </c>
      <c r="C759">
        <v>2018</v>
      </c>
      <c r="D759" t="s">
        <v>12</v>
      </c>
      <c r="E759" t="s">
        <v>16</v>
      </c>
      <c r="F759">
        <v>0</v>
      </c>
      <c r="G759">
        <v>4</v>
      </c>
      <c r="H759">
        <v>66.416951469583097</v>
      </c>
      <c r="I759" t="b">
        <v>0</v>
      </c>
      <c r="J759">
        <v>0</v>
      </c>
      <c r="K759" t="s">
        <v>26</v>
      </c>
      <c r="L759">
        <v>0</v>
      </c>
      <c r="M759">
        <v>0</v>
      </c>
      <c r="N759">
        <v>0</v>
      </c>
    </row>
    <row r="760" spans="1:14" x14ac:dyDescent="0.2">
      <c r="A760" t="s">
        <v>4043</v>
      </c>
      <c r="B760">
        <v>721343</v>
      </c>
      <c r="C760">
        <v>2018</v>
      </c>
      <c r="D760" t="s">
        <v>12</v>
      </c>
      <c r="E760" t="s">
        <v>13</v>
      </c>
      <c r="F760">
        <v>0</v>
      </c>
      <c r="G760">
        <v>3</v>
      </c>
      <c r="H760">
        <v>66.734107997265895</v>
      </c>
      <c r="I760" t="b">
        <v>0</v>
      </c>
      <c r="J760">
        <v>0</v>
      </c>
      <c r="K760" t="s">
        <v>26</v>
      </c>
      <c r="L760">
        <v>0</v>
      </c>
      <c r="M760">
        <v>0</v>
      </c>
      <c r="N760">
        <v>0</v>
      </c>
    </row>
    <row r="761" spans="1:14" x14ac:dyDescent="0.2">
      <c r="A761" t="s">
        <v>4044</v>
      </c>
      <c r="B761">
        <v>721369</v>
      </c>
      <c r="C761">
        <v>2018</v>
      </c>
      <c r="D761" t="s">
        <v>20</v>
      </c>
      <c r="E761" t="s">
        <v>13</v>
      </c>
      <c r="F761">
        <v>0</v>
      </c>
      <c r="G761">
        <v>0</v>
      </c>
      <c r="H761">
        <v>46.619275461380703</v>
      </c>
      <c r="I761" t="b">
        <v>0</v>
      </c>
      <c r="J761">
        <v>0</v>
      </c>
      <c r="K761" t="s">
        <v>26</v>
      </c>
      <c r="L761">
        <v>0</v>
      </c>
      <c r="M761">
        <v>0</v>
      </c>
      <c r="N761">
        <v>1</v>
      </c>
    </row>
    <row r="762" spans="1:14" x14ac:dyDescent="0.2">
      <c r="A762" t="s">
        <v>4045</v>
      </c>
      <c r="B762">
        <v>721373</v>
      </c>
      <c r="C762">
        <v>2018</v>
      </c>
      <c r="D762" t="s">
        <v>12</v>
      </c>
      <c r="E762" t="s">
        <v>13</v>
      </c>
      <c r="F762" t="s">
        <v>18</v>
      </c>
      <c r="G762">
        <v>0</v>
      </c>
      <c r="H762">
        <v>27.177033492823</v>
      </c>
      <c r="I762" t="b">
        <v>1</v>
      </c>
      <c r="J762">
        <v>0</v>
      </c>
      <c r="K762" t="s">
        <v>26</v>
      </c>
      <c r="L762">
        <v>0</v>
      </c>
      <c r="M762">
        <v>0</v>
      </c>
      <c r="N762" t="s">
        <v>18</v>
      </c>
    </row>
    <row r="763" spans="1:14" x14ac:dyDescent="0.2">
      <c r="A763" t="s">
        <v>4046</v>
      </c>
      <c r="B763">
        <v>721402</v>
      </c>
      <c r="C763">
        <v>2018</v>
      </c>
      <c r="D763" t="s">
        <v>17</v>
      </c>
      <c r="E763" t="s">
        <v>13</v>
      </c>
      <c r="F763">
        <v>0</v>
      </c>
      <c r="G763">
        <v>0</v>
      </c>
      <c r="H763">
        <v>57.170198222829796</v>
      </c>
      <c r="I763" t="b">
        <v>0</v>
      </c>
      <c r="J763">
        <v>0</v>
      </c>
      <c r="K763" t="s">
        <v>26</v>
      </c>
      <c r="L763">
        <v>0</v>
      </c>
      <c r="M763">
        <v>0</v>
      </c>
      <c r="N763">
        <v>1</v>
      </c>
    </row>
    <row r="764" spans="1:14" x14ac:dyDescent="0.2">
      <c r="A764" t="s">
        <v>4047</v>
      </c>
      <c r="B764">
        <v>721428</v>
      </c>
      <c r="C764">
        <v>2018</v>
      </c>
      <c r="D764" t="s">
        <v>20</v>
      </c>
      <c r="E764" t="s">
        <v>13</v>
      </c>
      <c r="F764">
        <v>0</v>
      </c>
      <c r="G764">
        <v>0</v>
      </c>
      <c r="H764">
        <v>31.1059466848941</v>
      </c>
      <c r="I764" t="b">
        <v>0</v>
      </c>
      <c r="J764">
        <v>0</v>
      </c>
      <c r="K764" t="s">
        <v>26</v>
      </c>
      <c r="L764">
        <v>0</v>
      </c>
      <c r="M764">
        <v>0</v>
      </c>
      <c r="N764" t="s">
        <v>18</v>
      </c>
    </row>
    <row r="765" spans="1:14" x14ac:dyDescent="0.2">
      <c r="A765" t="s">
        <v>4048</v>
      </c>
      <c r="B765">
        <v>721440</v>
      </c>
      <c r="C765">
        <v>2018</v>
      </c>
      <c r="D765" t="s">
        <v>15</v>
      </c>
      <c r="E765" t="s">
        <v>13</v>
      </c>
      <c r="F765">
        <v>0</v>
      </c>
      <c r="G765">
        <v>3</v>
      </c>
      <c r="H765">
        <v>77.110047846889998</v>
      </c>
      <c r="I765" t="b">
        <v>0</v>
      </c>
      <c r="J765">
        <v>0</v>
      </c>
      <c r="K765" t="s">
        <v>26</v>
      </c>
      <c r="L765">
        <v>0</v>
      </c>
      <c r="M765">
        <v>0</v>
      </c>
      <c r="N765">
        <v>0</v>
      </c>
    </row>
    <row r="766" spans="1:14" x14ac:dyDescent="0.2">
      <c r="A766" t="s">
        <v>4049</v>
      </c>
      <c r="B766">
        <v>721443</v>
      </c>
      <c r="C766">
        <v>2018</v>
      </c>
      <c r="D766" t="s">
        <v>22</v>
      </c>
      <c r="E766" t="s">
        <v>16</v>
      </c>
      <c r="F766">
        <v>0</v>
      </c>
      <c r="G766">
        <v>3</v>
      </c>
      <c r="H766">
        <v>87.138755980861205</v>
      </c>
      <c r="I766" t="b">
        <v>0</v>
      </c>
      <c r="J766">
        <v>0</v>
      </c>
      <c r="K766" t="s">
        <v>26</v>
      </c>
      <c r="L766">
        <v>0</v>
      </c>
      <c r="M766">
        <v>0</v>
      </c>
      <c r="N766">
        <v>0</v>
      </c>
    </row>
    <row r="767" spans="1:14" x14ac:dyDescent="0.2">
      <c r="A767" t="s">
        <v>4050</v>
      </c>
      <c r="B767">
        <v>721446</v>
      </c>
      <c r="C767">
        <v>2018</v>
      </c>
      <c r="D767" t="s">
        <v>12</v>
      </c>
      <c r="E767" t="s">
        <v>13</v>
      </c>
      <c r="F767">
        <v>1</v>
      </c>
      <c r="G767">
        <v>1</v>
      </c>
      <c r="H767">
        <v>84.246069719753905</v>
      </c>
      <c r="I767" t="b">
        <v>0</v>
      </c>
      <c r="J767">
        <v>0</v>
      </c>
      <c r="K767" t="s">
        <v>26</v>
      </c>
      <c r="L767">
        <v>1</v>
      </c>
      <c r="M767">
        <v>1</v>
      </c>
      <c r="N767">
        <v>0</v>
      </c>
    </row>
    <row r="768" spans="1:14" x14ac:dyDescent="0.2">
      <c r="A768" t="s">
        <v>4051</v>
      </c>
      <c r="B768">
        <v>721454</v>
      </c>
      <c r="C768">
        <v>2018</v>
      </c>
      <c r="D768" t="s">
        <v>21</v>
      </c>
      <c r="E768" t="s">
        <v>16</v>
      </c>
      <c r="F768">
        <v>0</v>
      </c>
      <c r="G768">
        <v>6</v>
      </c>
      <c r="H768">
        <v>84.371838687628198</v>
      </c>
      <c r="I768" t="b">
        <v>0</v>
      </c>
      <c r="J768">
        <v>1</v>
      </c>
      <c r="K768" t="s">
        <v>26</v>
      </c>
      <c r="L768">
        <v>0</v>
      </c>
      <c r="M768">
        <v>0</v>
      </c>
      <c r="N768">
        <v>0</v>
      </c>
    </row>
    <row r="769" spans="1:14" x14ac:dyDescent="0.2">
      <c r="A769" t="s">
        <v>4052</v>
      </c>
      <c r="B769">
        <v>721467</v>
      </c>
      <c r="C769">
        <v>2018</v>
      </c>
      <c r="D769" t="s">
        <v>12</v>
      </c>
      <c r="E769" t="s">
        <v>13</v>
      </c>
      <c r="F769">
        <v>0</v>
      </c>
      <c r="G769">
        <v>0</v>
      </c>
      <c r="H769">
        <v>22.613807245386202</v>
      </c>
      <c r="I769" t="b">
        <v>1</v>
      </c>
      <c r="J769">
        <v>0</v>
      </c>
      <c r="K769" t="s">
        <v>26</v>
      </c>
      <c r="L769">
        <v>0</v>
      </c>
      <c r="M769">
        <v>0</v>
      </c>
      <c r="N769">
        <v>1</v>
      </c>
    </row>
    <row r="770" spans="1:14" x14ac:dyDescent="0.2">
      <c r="A770" t="s">
        <v>4053</v>
      </c>
      <c r="B770">
        <v>721474</v>
      </c>
      <c r="C770">
        <v>2018</v>
      </c>
      <c r="D770" t="s">
        <v>21</v>
      </c>
      <c r="E770" t="s">
        <v>16</v>
      </c>
      <c r="F770">
        <v>0</v>
      </c>
      <c r="G770">
        <v>0</v>
      </c>
      <c r="H770">
        <v>79.3766233766234</v>
      </c>
      <c r="I770" t="b">
        <v>1</v>
      </c>
      <c r="J770">
        <v>1</v>
      </c>
      <c r="K770" t="s">
        <v>14</v>
      </c>
      <c r="L770">
        <v>0</v>
      </c>
      <c r="M770">
        <v>0</v>
      </c>
      <c r="N770">
        <v>0</v>
      </c>
    </row>
    <row r="771" spans="1:14" x14ac:dyDescent="0.2">
      <c r="A771" t="s">
        <v>4054</v>
      </c>
      <c r="B771">
        <v>721483</v>
      </c>
      <c r="C771">
        <v>2018</v>
      </c>
      <c r="D771" t="s">
        <v>12</v>
      </c>
      <c r="E771" t="s">
        <v>13</v>
      </c>
      <c r="F771">
        <v>0</v>
      </c>
      <c r="G771">
        <v>1</v>
      </c>
      <c r="H771">
        <v>86.963773069036193</v>
      </c>
      <c r="I771" t="b">
        <v>1</v>
      </c>
      <c r="J771">
        <v>0</v>
      </c>
      <c r="K771" t="s">
        <v>26</v>
      </c>
      <c r="L771">
        <v>0</v>
      </c>
      <c r="M771">
        <v>0</v>
      </c>
      <c r="N771">
        <v>1</v>
      </c>
    </row>
    <row r="772" spans="1:14" x14ac:dyDescent="0.2">
      <c r="A772" t="s">
        <v>4055</v>
      </c>
      <c r="B772">
        <v>721487</v>
      </c>
      <c r="C772">
        <v>2018</v>
      </c>
      <c r="D772" t="s">
        <v>22</v>
      </c>
      <c r="E772" t="s">
        <v>13</v>
      </c>
      <c r="F772">
        <v>0</v>
      </c>
      <c r="G772">
        <v>0</v>
      </c>
      <c r="H772">
        <v>71.420369104579606</v>
      </c>
      <c r="I772" t="b">
        <v>0</v>
      </c>
      <c r="J772">
        <v>0</v>
      </c>
      <c r="K772" t="s">
        <v>26</v>
      </c>
      <c r="L772">
        <v>0</v>
      </c>
      <c r="M772">
        <v>0</v>
      </c>
      <c r="N772">
        <v>1</v>
      </c>
    </row>
    <row r="773" spans="1:14" x14ac:dyDescent="0.2">
      <c r="A773" t="s">
        <v>4056</v>
      </c>
      <c r="B773">
        <v>721513</v>
      </c>
      <c r="C773">
        <v>2018</v>
      </c>
      <c r="D773" t="s">
        <v>19</v>
      </c>
      <c r="E773" t="s">
        <v>13</v>
      </c>
      <c r="F773">
        <v>0</v>
      </c>
      <c r="G773">
        <v>6</v>
      </c>
      <c r="H773">
        <v>72.041011619958994</v>
      </c>
      <c r="I773" t="b">
        <v>0</v>
      </c>
      <c r="J773">
        <v>0</v>
      </c>
      <c r="K773" t="s">
        <v>26</v>
      </c>
      <c r="L773">
        <v>0</v>
      </c>
      <c r="M773">
        <v>0</v>
      </c>
      <c r="N773">
        <v>0</v>
      </c>
    </row>
    <row r="774" spans="1:14" x14ac:dyDescent="0.2">
      <c r="A774" t="s">
        <v>4057</v>
      </c>
      <c r="B774">
        <v>721536</v>
      </c>
      <c r="C774">
        <v>2018</v>
      </c>
      <c r="D774" t="s">
        <v>22</v>
      </c>
      <c r="E774" t="s">
        <v>13</v>
      </c>
      <c r="F774">
        <v>0</v>
      </c>
      <c r="G774">
        <v>0</v>
      </c>
      <c r="H774">
        <v>42.906356801093601</v>
      </c>
      <c r="I774" t="b">
        <v>0</v>
      </c>
      <c r="J774">
        <v>0</v>
      </c>
      <c r="K774" t="s">
        <v>26</v>
      </c>
      <c r="L774">
        <v>0</v>
      </c>
      <c r="M774">
        <v>0</v>
      </c>
      <c r="N774">
        <v>1</v>
      </c>
    </row>
    <row r="775" spans="1:14" x14ac:dyDescent="0.2">
      <c r="A775" t="s">
        <v>4058</v>
      </c>
      <c r="B775">
        <v>721547</v>
      </c>
      <c r="C775">
        <v>2018</v>
      </c>
      <c r="D775" t="s">
        <v>15</v>
      </c>
      <c r="E775" t="s">
        <v>16</v>
      </c>
      <c r="F775">
        <v>0</v>
      </c>
      <c r="G775">
        <v>4</v>
      </c>
      <c r="H775">
        <v>69.290498974709493</v>
      </c>
      <c r="I775" t="b">
        <v>0</v>
      </c>
      <c r="J775">
        <v>0</v>
      </c>
      <c r="K775" t="s">
        <v>26</v>
      </c>
      <c r="L775">
        <v>0</v>
      </c>
      <c r="M775">
        <v>0</v>
      </c>
      <c r="N775">
        <v>0</v>
      </c>
    </row>
    <row r="776" spans="1:14" x14ac:dyDescent="0.2">
      <c r="A776" t="s">
        <v>4059</v>
      </c>
      <c r="B776">
        <v>721553</v>
      </c>
      <c r="C776">
        <v>2018</v>
      </c>
      <c r="D776" t="s">
        <v>19</v>
      </c>
      <c r="E776" t="s">
        <v>13</v>
      </c>
      <c r="F776">
        <v>1</v>
      </c>
      <c r="G776">
        <v>3</v>
      </c>
      <c r="H776">
        <v>69.137388926862599</v>
      </c>
      <c r="I776" t="b">
        <v>0</v>
      </c>
      <c r="J776">
        <v>0</v>
      </c>
      <c r="K776" t="s">
        <v>26</v>
      </c>
      <c r="L776">
        <v>0</v>
      </c>
      <c r="M776">
        <v>0</v>
      </c>
      <c r="N776">
        <v>0</v>
      </c>
    </row>
    <row r="777" spans="1:14" x14ac:dyDescent="0.2">
      <c r="A777" t="s">
        <v>4060</v>
      </c>
      <c r="B777">
        <v>721589</v>
      </c>
      <c r="C777">
        <v>2018</v>
      </c>
      <c r="D777" t="s">
        <v>21</v>
      </c>
      <c r="E777" t="s">
        <v>13</v>
      </c>
      <c r="F777">
        <v>0</v>
      </c>
      <c r="G777">
        <v>2</v>
      </c>
      <c r="H777">
        <v>83.103212576896794</v>
      </c>
      <c r="I777" t="b">
        <v>0</v>
      </c>
      <c r="J777">
        <v>0</v>
      </c>
      <c r="K777" t="s">
        <v>26</v>
      </c>
      <c r="L777">
        <v>0</v>
      </c>
      <c r="M777">
        <v>0</v>
      </c>
      <c r="N777">
        <v>0</v>
      </c>
    </row>
    <row r="778" spans="1:14" x14ac:dyDescent="0.2">
      <c r="A778" t="s">
        <v>4061</v>
      </c>
      <c r="B778">
        <v>721595</v>
      </c>
      <c r="C778">
        <v>2018</v>
      </c>
      <c r="D778" t="s">
        <v>21</v>
      </c>
      <c r="E778" t="s">
        <v>16</v>
      </c>
      <c r="F778">
        <v>0</v>
      </c>
      <c r="G778">
        <v>7</v>
      </c>
      <c r="H778">
        <v>93.254955570744997</v>
      </c>
      <c r="I778" t="b">
        <v>0</v>
      </c>
      <c r="J778">
        <v>1</v>
      </c>
      <c r="K778" t="s">
        <v>26</v>
      </c>
      <c r="L778">
        <v>0</v>
      </c>
      <c r="M778">
        <v>0</v>
      </c>
      <c r="N778">
        <v>0</v>
      </c>
    </row>
    <row r="779" spans="1:14" x14ac:dyDescent="0.2">
      <c r="A779" t="s">
        <v>4062</v>
      </c>
      <c r="B779">
        <v>721596</v>
      </c>
      <c r="C779">
        <v>2018</v>
      </c>
      <c r="D779" t="s">
        <v>20</v>
      </c>
      <c r="E779" t="s">
        <v>13</v>
      </c>
      <c r="F779">
        <v>0</v>
      </c>
      <c r="G779">
        <v>0</v>
      </c>
      <c r="H779">
        <v>43.969924812030101</v>
      </c>
      <c r="I779" t="b">
        <v>0</v>
      </c>
      <c r="J779">
        <v>0</v>
      </c>
      <c r="K779" t="s">
        <v>26</v>
      </c>
      <c r="L779">
        <v>0</v>
      </c>
      <c r="M779">
        <v>0</v>
      </c>
      <c r="N779">
        <v>0</v>
      </c>
    </row>
    <row r="780" spans="1:14" x14ac:dyDescent="0.2">
      <c r="A780" t="s">
        <v>4063</v>
      </c>
      <c r="B780">
        <v>721600</v>
      </c>
      <c r="C780">
        <v>2018</v>
      </c>
      <c r="D780" t="s">
        <v>15</v>
      </c>
      <c r="E780" t="s">
        <v>16</v>
      </c>
      <c r="F780">
        <v>0</v>
      </c>
      <c r="G780">
        <v>0</v>
      </c>
      <c r="H780">
        <v>59.330143540669901</v>
      </c>
      <c r="I780" t="b">
        <v>0</v>
      </c>
      <c r="J780" t="s">
        <v>18</v>
      </c>
      <c r="K780" t="s">
        <v>26</v>
      </c>
      <c r="L780">
        <v>0</v>
      </c>
      <c r="M780">
        <v>0</v>
      </c>
      <c r="N780">
        <v>0</v>
      </c>
    </row>
    <row r="781" spans="1:14" x14ac:dyDescent="0.2">
      <c r="A781" t="s">
        <v>4064</v>
      </c>
      <c r="B781">
        <v>721640</v>
      </c>
      <c r="C781">
        <v>2018</v>
      </c>
      <c r="D781" t="s">
        <v>20</v>
      </c>
      <c r="E781" t="s">
        <v>13</v>
      </c>
      <c r="F781">
        <v>0</v>
      </c>
      <c r="G781">
        <v>3</v>
      </c>
      <c r="H781">
        <v>69.290498974709493</v>
      </c>
      <c r="I781" t="b">
        <v>0</v>
      </c>
      <c r="J781">
        <v>0</v>
      </c>
      <c r="K781" t="s">
        <v>26</v>
      </c>
      <c r="L781">
        <v>0</v>
      </c>
      <c r="M781">
        <v>0</v>
      </c>
      <c r="N781" t="s">
        <v>18</v>
      </c>
    </row>
    <row r="782" spans="1:14" x14ac:dyDescent="0.2">
      <c r="A782" t="s">
        <v>4065</v>
      </c>
      <c r="B782">
        <v>721641</v>
      </c>
      <c r="C782">
        <v>2018</v>
      </c>
      <c r="D782" t="s">
        <v>17</v>
      </c>
      <c r="E782" t="s">
        <v>13</v>
      </c>
      <c r="F782">
        <v>0</v>
      </c>
      <c r="G782">
        <v>0</v>
      </c>
      <c r="H782">
        <v>73.727956254272002</v>
      </c>
      <c r="I782" t="b">
        <v>0</v>
      </c>
      <c r="J782">
        <v>0</v>
      </c>
      <c r="K782" t="s">
        <v>26</v>
      </c>
      <c r="L782">
        <v>1</v>
      </c>
      <c r="M782">
        <v>1</v>
      </c>
      <c r="N782">
        <v>0</v>
      </c>
    </row>
    <row r="783" spans="1:14" x14ac:dyDescent="0.2">
      <c r="A783" t="s">
        <v>4066</v>
      </c>
      <c r="B783">
        <v>721644</v>
      </c>
      <c r="C783">
        <v>2018</v>
      </c>
      <c r="D783" t="s">
        <v>12</v>
      </c>
      <c r="E783" t="s">
        <v>13</v>
      </c>
      <c r="F783">
        <v>1</v>
      </c>
      <c r="G783">
        <v>2</v>
      </c>
      <c r="H783">
        <v>45.457279562542702</v>
      </c>
      <c r="I783" t="b">
        <v>0</v>
      </c>
      <c r="J783">
        <v>0</v>
      </c>
      <c r="K783" t="s">
        <v>26</v>
      </c>
      <c r="L783">
        <v>0</v>
      </c>
      <c r="M783">
        <v>0</v>
      </c>
      <c r="N783" t="s">
        <v>18</v>
      </c>
    </row>
    <row r="784" spans="1:14" x14ac:dyDescent="0.2">
      <c r="A784" t="s">
        <v>4067</v>
      </c>
      <c r="B784">
        <v>721649</v>
      </c>
      <c r="C784">
        <v>2018</v>
      </c>
      <c r="D784" t="s">
        <v>12</v>
      </c>
      <c r="E784" t="s">
        <v>13</v>
      </c>
      <c r="F784">
        <v>0</v>
      </c>
      <c r="G784">
        <v>0</v>
      </c>
      <c r="H784">
        <v>76.344497607655498</v>
      </c>
      <c r="I784" t="b">
        <v>0</v>
      </c>
      <c r="J784">
        <v>0</v>
      </c>
      <c r="K784" t="s">
        <v>26</v>
      </c>
      <c r="L784">
        <v>0</v>
      </c>
      <c r="M784">
        <v>0</v>
      </c>
      <c r="N784">
        <v>1</v>
      </c>
    </row>
    <row r="785" spans="1:14" x14ac:dyDescent="0.2">
      <c r="A785" t="s">
        <v>4068</v>
      </c>
      <c r="B785">
        <v>721662</v>
      </c>
      <c r="C785">
        <v>2018</v>
      </c>
      <c r="D785" t="s">
        <v>12</v>
      </c>
      <c r="E785" t="s">
        <v>13</v>
      </c>
      <c r="F785">
        <v>0</v>
      </c>
      <c r="G785">
        <v>0</v>
      </c>
      <c r="H785">
        <v>25.1483253588517</v>
      </c>
      <c r="I785" t="b">
        <v>0</v>
      </c>
      <c r="J785">
        <v>0</v>
      </c>
      <c r="K785" t="s">
        <v>26</v>
      </c>
      <c r="L785">
        <v>0</v>
      </c>
      <c r="M785">
        <v>0</v>
      </c>
      <c r="N785" t="s">
        <v>18</v>
      </c>
    </row>
    <row r="786" spans="1:14" x14ac:dyDescent="0.2">
      <c r="A786" t="s">
        <v>4069</v>
      </c>
      <c r="B786">
        <v>721669</v>
      </c>
      <c r="C786">
        <v>2018</v>
      </c>
      <c r="D786" t="s">
        <v>12</v>
      </c>
      <c r="E786" t="s">
        <v>16</v>
      </c>
      <c r="F786">
        <v>0</v>
      </c>
      <c r="G786">
        <v>3</v>
      </c>
      <c r="H786">
        <v>94.567327409432707</v>
      </c>
      <c r="I786" t="b">
        <v>0</v>
      </c>
      <c r="J786">
        <v>0</v>
      </c>
      <c r="K786" t="s">
        <v>26</v>
      </c>
      <c r="L786">
        <v>0</v>
      </c>
      <c r="M786">
        <v>0</v>
      </c>
      <c r="N786">
        <v>0</v>
      </c>
    </row>
    <row r="787" spans="1:14" x14ac:dyDescent="0.2">
      <c r="A787" t="s">
        <v>4070</v>
      </c>
      <c r="B787">
        <v>721672</v>
      </c>
      <c r="C787">
        <v>2018</v>
      </c>
      <c r="D787" t="s">
        <v>21</v>
      </c>
      <c r="E787" t="s">
        <v>13</v>
      </c>
      <c r="F787">
        <v>0</v>
      </c>
      <c r="G787">
        <v>0</v>
      </c>
      <c r="H787">
        <v>69.115516062884495</v>
      </c>
      <c r="I787" t="b">
        <v>0</v>
      </c>
      <c r="J787">
        <v>0</v>
      </c>
      <c r="K787" t="s">
        <v>26</v>
      </c>
      <c r="L787">
        <v>0</v>
      </c>
      <c r="M787">
        <v>0</v>
      </c>
      <c r="N787">
        <v>1</v>
      </c>
    </row>
    <row r="788" spans="1:14" x14ac:dyDescent="0.2">
      <c r="A788" t="s">
        <v>4071</v>
      </c>
      <c r="B788">
        <v>721681</v>
      </c>
      <c r="C788">
        <v>2018</v>
      </c>
      <c r="D788" t="s">
        <v>20</v>
      </c>
      <c r="E788" t="s">
        <v>13</v>
      </c>
      <c r="F788">
        <v>0</v>
      </c>
      <c r="G788">
        <v>0</v>
      </c>
      <c r="H788">
        <v>76.760082023239903</v>
      </c>
      <c r="I788" t="b">
        <v>0</v>
      </c>
      <c r="J788">
        <v>0</v>
      </c>
      <c r="K788" t="s">
        <v>26</v>
      </c>
      <c r="L788">
        <v>1</v>
      </c>
      <c r="M788">
        <v>0</v>
      </c>
      <c r="N788">
        <v>0</v>
      </c>
    </row>
    <row r="789" spans="1:14" x14ac:dyDescent="0.2">
      <c r="A789" t="s">
        <v>4072</v>
      </c>
      <c r="B789">
        <v>721719</v>
      </c>
      <c r="C789">
        <v>2018</v>
      </c>
      <c r="D789" t="s">
        <v>15</v>
      </c>
      <c r="E789" t="s">
        <v>13</v>
      </c>
      <c r="F789">
        <v>0</v>
      </c>
      <c r="G789">
        <v>0</v>
      </c>
      <c r="H789">
        <v>71.876965140123005</v>
      </c>
      <c r="I789" t="b">
        <v>0</v>
      </c>
      <c r="J789">
        <v>0</v>
      </c>
      <c r="K789" t="s">
        <v>26</v>
      </c>
      <c r="L789">
        <v>0</v>
      </c>
      <c r="M789">
        <v>0</v>
      </c>
      <c r="N789">
        <v>0</v>
      </c>
    </row>
    <row r="790" spans="1:14" x14ac:dyDescent="0.2">
      <c r="A790" t="s">
        <v>4073</v>
      </c>
      <c r="B790">
        <v>721720</v>
      </c>
      <c r="C790">
        <v>2018</v>
      </c>
      <c r="D790" t="s">
        <v>17</v>
      </c>
      <c r="E790" t="s">
        <v>13</v>
      </c>
      <c r="F790">
        <v>0</v>
      </c>
      <c r="G790">
        <v>2</v>
      </c>
      <c r="H790">
        <v>81.790840738209198</v>
      </c>
      <c r="I790" t="b">
        <v>0</v>
      </c>
      <c r="J790">
        <v>0</v>
      </c>
      <c r="K790" t="s">
        <v>26</v>
      </c>
      <c r="L790">
        <v>0</v>
      </c>
      <c r="M790">
        <v>0</v>
      </c>
      <c r="N790">
        <v>0</v>
      </c>
    </row>
    <row r="791" spans="1:14" x14ac:dyDescent="0.2">
      <c r="A791" t="s">
        <v>4074</v>
      </c>
      <c r="B791">
        <v>721757</v>
      </c>
      <c r="C791">
        <v>2018</v>
      </c>
      <c r="D791" t="s">
        <v>12</v>
      </c>
      <c r="E791" t="s">
        <v>13</v>
      </c>
      <c r="F791">
        <v>0</v>
      </c>
      <c r="G791">
        <v>1</v>
      </c>
      <c r="H791">
        <v>90.851674641148307</v>
      </c>
      <c r="I791" t="b">
        <v>0</v>
      </c>
      <c r="J791">
        <v>0</v>
      </c>
      <c r="K791" t="s">
        <v>26</v>
      </c>
      <c r="L791">
        <v>0</v>
      </c>
      <c r="M791">
        <v>0</v>
      </c>
      <c r="N791">
        <v>0</v>
      </c>
    </row>
    <row r="792" spans="1:14" x14ac:dyDescent="0.2">
      <c r="A792" t="s">
        <v>4075</v>
      </c>
      <c r="B792">
        <v>721759</v>
      </c>
      <c r="C792">
        <v>2018</v>
      </c>
      <c r="D792" t="s">
        <v>20</v>
      </c>
      <c r="E792" t="s">
        <v>13</v>
      </c>
      <c r="F792">
        <v>0</v>
      </c>
      <c r="G792">
        <v>0</v>
      </c>
      <c r="H792">
        <v>29.902939166097099</v>
      </c>
      <c r="I792" t="b">
        <v>0</v>
      </c>
      <c r="J792">
        <v>0</v>
      </c>
      <c r="K792" t="s">
        <v>26</v>
      </c>
      <c r="L792">
        <v>0</v>
      </c>
      <c r="M792">
        <v>0</v>
      </c>
      <c r="N792" t="s">
        <v>18</v>
      </c>
    </row>
    <row r="793" spans="1:14" x14ac:dyDescent="0.2">
      <c r="A793" t="s">
        <v>4076</v>
      </c>
      <c r="B793">
        <v>721786</v>
      </c>
      <c r="C793">
        <v>2018</v>
      </c>
      <c r="D793" t="s">
        <v>27</v>
      </c>
      <c r="E793" t="s">
        <v>13</v>
      </c>
      <c r="F793">
        <v>0</v>
      </c>
      <c r="G793">
        <v>0</v>
      </c>
      <c r="H793">
        <v>85.033492822966494</v>
      </c>
      <c r="I793" t="b">
        <v>0</v>
      </c>
      <c r="J793">
        <v>0</v>
      </c>
      <c r="K793" t="s">
        <v>26</v>
      </c>
      <c r="L793">
        <v>0</v>
      </c>
      <c r="M793">
        <v>0</v>
      </c>
      <c r="N793">
        <v>0</v>
      </c>
    </row>
    <row r="794" spans="1:14" x14ac:dyDescent="0.2">
      <c r="A794" t="s">
        <v>4077</v>
      </c>
      <c r="B794">
        <v>721789</v>
      </c>
      <c r="C794">
        <v>2018</v>
      </c>
      <c r="D794" t="s">
        <v>20</v>
      </c>
      <c r="E794" t="s">
        <v>13</v>
      </c>
      <c r="F794">
        <v>0</v>
      </c>
      <c r="G794">
        <v>1</v>
      </c>
      <c r="H794">
        <v>76.814764183185204</v>
      </c>
      <c r="I794" t="b">
        <v>0</v>
      </c>
      <c r="J794">
        <v>0</v>
      </c>
      <c r="K794" t="s">
        <v>26</v>
      </c>
      <c r="L794">
        <v>0</v>
      </c>
      <c r="M794">
        <v>0</v>
      </c>
      <c r="N794">
        <v>1</v>
      </c>
    </row>
    <row r="795" spans="1:14" x14ac:dyDescent="0.2">
      <c r="A795" t="s">
        <v>4078</v>
      </c>
      <c r="B795">
        <v>721814</v>
      </c>
      <c r="C795">
        <v>2018</v>
      </c>
      <c r="D795" t="s">
        <v>23</v>
      </c>
      <c r="E795" t="s">
        <v>16</v>
      </c>
      <c r="F795">
        <v>0</v>
      </c>
      <c r="G795">
        <v>3</v>
      </c>
      <c r="H795">
        <v>83.029391660970603</v>
      </c>
      <c r="I795" t="b">
        <v>1</v>
      </c>
      <c r="J795">
        <v>0</v>
      </c>
      <c r="K795" t="s">
        <v>26</v>
      </c>
      <c r="L795">
        <v>0</v>
      </c>
      <c r="M795">
        <v>0</v>
      </c>
      <c r="N795" t="s">
        <v>18</v>
      </c>
    </row>
    <row r="796" spans="1:14" x14ac:dyDescent="0.2">
      <c r="A796" t="s">
        <v>4079</v>
      </c>
      <c r="B796">
        <v>721834</v>
      </c>
      <c r="C796">
        <v>2018</v>
      </c>
      <c r="D796" t="s">
        <v>12</v>
      </c>
      <c r="E796" t="s">
        <v>13</v>
      </c>
      <c r="F796">
        <v>0</v>
      </c>
      <c r="G796">
        <v>0</v>
      </c>
      <c r="H796">
        <v>60.051948051948102</v>
      </c>
      <c r="I796" t="b">
        <v>1</v>
      </c>
      <c r="J796">
        <v>0</v>
      </c>
      <c r="K796" t="s">
        <v>26</v>
      </c>
      <c r="L796">
        <v>0</v>
      </c>
      <c r="M796">
        <v>0</v>
      </c>
      <c r="N796">
        <v>1</v>
      </c>
    </row>
    <row r="797" spans="1:14" x14ac:dyDescent="0.2">
      <c r="A797" t="s">
        <v>4080</v>
      </c>
      <c r="B797">
        <v>721837</v>
      </c>
      <c r="C797">
        <v>2018</v>
      </c>
      <c r="D797" t="s">
        <v>12</v>
      </c>
      <c r="E797" t="s">
        <v>13</v>
      </c>
      <c r="F797">
        <v>0</v>
      </c>
      <c r="G797">
        <v>0</v>
      </c>
      <c r="H797">
        <v>77.287764866712195</v>
      </c>
      <c r="I797" t="b">
        <v>0</v>
      </c>
      <c r="J797">
        <v>0</v>
      </c>
      <c r="K797" t="s">
        <v>26</v>
      </c>
      <c r="L797">
        <v>0</v>
      </c>
      <c r="M797">
        <v>0</v>
      </c>
      <c r="N797">
        <v>1</v>
      </c>
    </row>
    <row r="798" spans="1:14" x14ac:dyDescent="0.2">
      <c r="A798" t="s">
        <v>4081</v>
      </c>
      <c r="B798">
        <v>721872</v>
      </c>
      <c r="C798">
        <v>2019</v>
      </c>
      <c r="D798" t="s">
        <v>21</v>
      </c>
      <c r="E798" t="s">
        <v>13</v>
      </c>
      <c r="F798">
        <v>0</v>
      </c>
      <c r="G798">
        <v>1</v>
      </c>
      <c r="H798">
        <v>67.116883116883102</v>
      </c>
      <c r="I798" t="b">
        <v>1</v>
      </c>
      <c r="J798">
        <v>1</v>
      </c>
      <c r="K798" t="s">
        <v>14</v>
      </c>
      <c r="L798">
        <v>1</v>
      </c>
      <c r="M798">
        <v>0</v>
      </c>
      <c r="N798">
        <v>0</v>
      </c>
    </row>
    <row r="799" spans="1:14" x14ac:dyDescent="0.2">
      <c r="A799" t="s">
        <v>4082</v>
      </c>
      <c r="B799">
        <v>721875</v>
      </c>
      <c r="C799">
        <v>2019</v>
      </c>
      <c r="D799" t="s">
        <v>21</v>
      </c>
      <c r="E799" t="s">
        <v>13</v>
      </c>
      <c r="F799">
        <v>0</v>
      </c>
      <c r="G799">
        <v>2</v>
      </c>
      <c r="H799">
        <v>64.699931647300104</v>
      </c>
      <c r="I799" t="b">
        <v>0</v>
      </c>
      <c r="J799">
        <v>0</v>
      </c>
      <c r="K799" t="s">
        <v>26</v>
      </c>
      <c r="L799">
        <v>0</v>
      </c>
      <c r="M799">
        <v>0</v>
      </c>
      <c r="N799">
        <v>0</v>
      </c>
    </row>
    <row r="800" spans="1:14" x14ac:dyDescent="0.2">
      <c r="A800" t="s">
        <v>4083</v>
      </c>
      <c r="B800">
        <v>721878</v>
      </c>
      <c r="C800">
        <v>2019</v>
      </c>
      <c r="D800" t="s">
        <v>12</v>
      </c>
      <c r="E800" t="s">
        <v>13</v>
      </c>
      <c r="F800">
        <v>0</v>
      </c>
      <c r="G800">
        <v>3</v>
      </c>
      <c r="H800">
        <v>80.360902255639104</v>
      </c>
      <c r="I800" t="b">
        <v>0</v>
      </c>
      <c r="J800">
        <v>0</v>
      </c>
      <c r="K800" t="s">
        <v>26</v>
      </c>
      <c r="L800">
        <v>0</v>
      </c>
      <c r="M800">
        <v>0</v>
      </c>
      <c r="N800">
        <v>0</v>
      </c>
    </row>
    <row r="801" spans="1:14" x14ac:dyDescent="0.2">
      <c r="A801" t="s">
        <v>4084</v>
      </c>
      <c r="B801">
        <v>721894</v>
      </c>
      <c r="C801">
        <v>2018</v>
      </c>
      <c r="D801" t="s">
        <v>12</v>
      </c>
      <c r="E801" t="s">
        <v>13</v>
      </c>
      <c r="F801">
        <v>0</v>
      </c>
      <c r="G801">
        <v>1</v>
      </c>
      <c r="H801">
        <v>71.272727272727295</v>
      </c>
      <c r="I801" t="b">
        <v>0</v>
      </c>
      <c r="J801">
        <v>0</v>
      </c>
      <c r="K801" t="s">
        <v>26</v>
      </c>
      <c r="L801">
        <v>0</v>
      </c>
      <c r="M801">
        <v>0</v>
      </c>
      <c r="N801">
        <v>1</v>
      </c>
    </row>
    <row r="802" spans="1:14" x14ac:dyDescent="0.2">
      <c r="A802" t="s">
        <v>4085</v>
      </c>
      <c r="B802">
        <v>721899</v>
      </c>
      <c r="C802">
        <v>2018</v>
      </c>
      <c r="D802" t="s">
        <v>21</v>
      </c>
      <c r="E802" t="s">
        <v>13</v>
      </c>
      <c r="F802">
        <v>0</v>
      </c>
      <c r="G802">
        <v>1</v>
      </c>
      <c r="H802">
        <v>85.697881066302102</v>
      </c>
      <c r="I802" t="b">
        <v>1</v>
      </c>
      <c r="J802">
        <v>1</v>
      </c>
      <c r="K802" t="s">
        <v>26</v>
      </c>
      <c r="L802">
        <v>0</v>
      </c>
      <c r="M802">
        <v>0</v>
      </c>
      <c r="N802">
        <v>0</v>
      </c>
    </row>
    <row r="803" spans="1:14" x14ac:dyDescent="0.2">
      <c r="A803" t="s">
        <v>4086</v>
      </c>
      <c r="B803">
        <v>721901</v>
      </c>
      <c r="C803">
        <v>2018</v>
      </c>
      <c r="D803" t="s">
        <v>17</v>
      </c>
      <c r="E803" t="s">
        <v>13</v>
      </c>
      <c r="F803">
        <v>0</v>
      </c>
      <c r="G803">
        <v>0</v>
      </c>
      <c r="H803">
        <v>59.425837320574203</v>
      </c>
      <c r="I803" t="b">
        <v>0</v>
      </c>
      <c r="J803">
        <v>0</v>
      </c>
      <c r="K803" t="s">
        <v>26</v>
      </c>
      <c r="L803">
        <v>0</v>
      </c>
      <c r="M803">
        <v>0</v>
      </c>
      <c r="N803">
        <v>0</v>
      </c>
    </row>
    <row r="804" spans="1:14" x14ac:dyDescent="0.2">
      <c r="A804" t="s">
        <v>4087</v>
      </c>
      <c r="B804">
        <v>721911</v>
      </c>
      <c r="C804">
        <v>2018</v>
      </c>
      <c r="D804" t="s">
        <v>22</v>
      </c>
      <c r="E804" t="s">
        <v>13</v>
      </c>
      <c r="F804">
        <v>0</v>
      </c>
      <c r="G804">
        <v>0</v>
      </c>
      <c r="H804">
        <v>47.652768284347196</v>
      </c>
      <c r="I804" t="b">
        <v>0</v>
      </c>
      <c r="J804">
        <v>0</v>
      </c>
      <c r="K804" t="s">
        <v>26</v>
      </c>
      <c r="L804">
        <v>0</v>
      </c>
      <c r="M804">
        <v>0</v>
      </c>
      <c r="N804" t="s">
        <v>18</v>
      </c>
    </row>
    <row r="805" spans="1:14" x14ac:dyDescent="0.2">
      <c r="A805" t="s">
        <v>4088</v>
      </c>
      <c r="B805">
        <v>721912</v>
      </c>
      <c r="C805">
        <v>2018</v>
      </c>
      <c r="D805" t="s">
        <v>20</v>
      </c>
      <c r="E805" t="s">
        <v>13</v>
      </c>
      <c r="F805">
        <v>0</v>
      </c>
      <c r="G805">
        <v>0</v>
      </c>
      <c r="H805">
        <v>26.775119617224899</v>
      </c>
      <c r="I805" t="b">
        <v>0</v>
      </c>
      <c r="J805">
        <v>1</v>
      </c>
      <c r="K805" t="s">
        <v>26</v>
      </c>
      <c r="L805">
        <v>0</v>
      </c>
      <c r="M805">
        <v>0</v>
      </c>
      <c r="N805" t="s">
        <v>18</v>
      </c>
    </row>
    <row r="806" spans="1:14" x14ac:dyDescent="0.2">
      <c r="A806" t="s">
        <v>4089</v>
      </c>
      <c r="B806">
        <v>721913</v>
      </c>
      <c r="C806">
        <v>2018</v>
      </c>
      <c r="D806" t="s">
        <v>20</v>
      </c>
      <c r="E806" t="s">
        <v>13</v>
      </c>
      <c r="F806">
        <v>0</v>
      </c>
      <c r="G806">
        <v>0</v>
      </c>
      <c r="H806">
        <v>41.823650034176303</v>
      </c>
      <c r="I806" t="b">
        <v>1</v>
      </c>
      <c r="J806">
        <v>0</v>
      </c>
      <c r="K806" t="s">
        <v>26</v>
      </c>
      <c r="L806">
        <v>0</v>
      </c>
      <c r="M806">
        <v>0</v>
      </c>
      <c r="N806">
        <v>0</v>
      </c>
    </row>
    <row r="807" spans="1:14" x14ac:dyDescent="0.2">
      <c r="A807" t="s">
        <v>4090</v>
      </c>
      <c r="B807">
        <v>721915</v>
      </c>
      <c r="C807">
        <v>2018</v>
      </c>
      <c r="D807" t="s">
        <v>12</v>
      </c>
      <c r="E807" t="s">
        <v>13</v>
      </c>
      <c r="F807">
        <v>0</v>
      </c>
      <c r="G807">
        <v>1</v>
      </c>
      <c r="H807">
        <v>83.018455228981495</v>
      </c>
      <c r="I807" t="b">
        <v>1</v>
      </c>
      <c r="J807">
        <v>0</v>
      </c>
      <c r="K807" t="s">
        <v>26</v>
      </c>
      <c r="L807">
        <v>1</v>
      </c>
      <c r="M807">
        <v>0</v>
      </c>
      <c r="N807">
        <v>1</v>
      </c>
    </row>
    <row r="808" spans="1:14" x14ac:dyDescent="0.2">
      <c r="A808" t="s">
        <v>4091</v>
      </c>
      <c r="B808">
        <v>721916</v>
      </c>
      <c r="C808">
        <v>2018</v>
      </c>
      <c r="D808" t="s">
        <v>12</v>
      </c>
      <c r="E808" t="s">
        <v>16</v>
      </c>
      <c r="F808">
        <v>0</v>
      </c>
      <c r="G808">
        <v>0</v>
      </c>
      <c r="H808">
        <v>58.876281613123702</v>
      </c>
      <c r="I808" t="b">
        <v>0</v>
      </c>
      <c r="J808">
        <v>0</v>
      </c>
      <c r="K808" t="s">
        <v>26</v>
      </c>
      <c r="L808">
        <v>0</v>
      </c>
      <c r="M808">
        <v>0</v>
      </c>
      <c r="N808">
        <v>0</v>
      </c>
    </row>
    <row r="809" spans="1:14" x14ac:dyDescent="0.2">
      <c r="A809" t="s">
        <v>4092</v>
      </c>
      <c r="B809">
        <v>721925</v>
      </c>
      <c r="C809">
        <v>2018</v>
      </c>
      <c r="D809" t="s">
        <v>21</v>
      </c>
      <c r="E809" t="s">
        <v>13</v>
      </c>
      <c r="F809">
        <v>0</v>
      </c>
      <c r="G809">
        <v>3</v>
      </c>
      <c r="H809">
        <v>70.971975393028004</v>
      </c>
      <c r="I809" t="b">
        <v>0</v>
      </c>
      <c r="J809">
        <v>1</v>
      </c>
      <c r="K809" t="s">
        <v>26</v>
      </c>
      <c r="L809">
        <v>0</v>
      </c>
      <c r="M809">
        <v>0</v>
      </c>
      <c r="N809">
        <v>1</v>
      </c>
    </row>
    <row r="810" spans="1:14" x14ac:dyDescent="0.2">
      <c r="A810" t="s">
        <v>4093</v>
      </c>
      <c r="B810">
        <v>721930</v>
      </c>
      <c r="C810">
        <v>2018</v>
      </c>
      <c r="D810" t="s">
        <v>20</v>
      </c>
      <c r="E810" t="s">
        <v>13</v>
      </c>
      <c r="F810">
        <v>0</v>
      </c>
      <c r="G810">
        <v>0</v>
      </c>
      <c r="H810">
        <v>57.2057416267943</v>
      </c>
      <c r="I810" t="b">
        <v>1</v>
      </c>
      <c r="J810">
        <v>0</v>
      </c>
      <c r="K810" t="s">
        <v>26</v>
      </c>
      <c r="L810">
        <v>0</v>
      </c>
      <c r="M810">
        <v>0</v>
      </c>
      <c r="N810">
        <v>0</v>
      </c>
    </row>
    <row r="811" spans="1:14" x14ac:dyDescent="0.2">
      <c r="A811" t="s">
        <v>4094</v>
      </c>
      <c r="B811">
        <v>721930</v>
      </c>
      <c r="C811">
        <v>2019</v>
      </c>
      <c r="D811" t="s">
        <v>12</v>
      </c>
      <c r="E811" t="s">
        <v>13</v>
      </c>
      <c r="F811">
        <v>0</v>
      </c>
      <c r="G811">
        <v>2</v>
      </c>
      <c r="H811">
        <v>75.146958304853001</v>
      </c>
      <c r="I811" t="b">
        <v>0</v>
      </c>
      <c r="J811">
        <v>0</v>
      </c>
      <c r="K811" t="s">
        <v>26</v>
      </c>
      <c r="L811">
        <v>0</v>
      </c>
      <c r="M811">
        <v>0</v>
      </c>
      <c r="N811">
        <v>1</v>
      </c>
    </row>
    <row r="812" spans="1:14" x14ac:dyDescent="0.2">
      <c r="A812" t="s">
        <v>4095</v>
      </c>
      <c r="B812">
        <v>721943</v>
      </c>
      <c r="C812">
        <v>2018</v>
      </c>
      <c r="D812" t="s">
        <v>15</v>
      </c>
      <c r="E812" t="s">
        <v>13</v>
      </c>
      <c r="F812">
        <v>0</v>
      </c>
      <c r="G812">
        <v>2</v>
      </c>
      <c r="H812">
        <v>86.088858509911105</v>
      </c>
      <c r="I812" t="b">
        <v>0</v>
      </c>
      <c r="J812">
        <v>0</v>
      </c>
      <c r="K812" t="s">
        <v>26</v>
      </c>
      <c r="L812">
        <v>0</v>
      </c>
      <c r="M812">
        <v>0</v>
      </c>
      <c r="N812">
        <v>0</v>
      </c>
    </row>
    <row r="813" spans="1:14" x14ac:dyDescent="0.2">
      <c r="A813" t="s">
        <v>4096</v>
      </c>
      <c r="B813">
        <v>721944</v>
      </c>
      <c r="C813">
        <v>2019</v>
      </c>
      <c r="D813" t="s">
        <v>21</v>
      </c>
      <c r="E813" t="s">
        <v>16</v>
      </c>
      <c r="F813">
        <v>0</v>
      </c>
      <c r="G813">
        <v>0</v>
      </c>
      <c r="H813">
        <v>69.695146958304804</v>
      </c>
      <c r="I813" t="b">
        <v>0</v>
      </c>
      <c r="J813">
        <v>0</v>
      </c>
      <c r="K813" t="s">
        <v>26</v>
      </c>
      <c r="L813">
        <v>0</v>
      </c>
      <c r="M813">
        <v>0</v>
      </c>
      <c r="N813">
        <v>0</v>
      </c>
    </row>
    <row r="814" spans="1:14" x14ac:dyDescent="0.2">
      <c r="A814" t="s">
        <v>4097</v>
      </c>
      <c r="B814">
        <v>721950</v>
      </c>
      <c r="C814">
        <v>2018</v>
      </c>
      <c r="D814" t="s">
        <v>12</v>
      </c>
      <c r="E814" t="s">
        <v>16</v>
      </c>
      <c r="F814">
        <v>0</v>
      </c>
      <c r="G814">
        <v>0</v>
      </c>
      <c r="H814">
        <v>42.537252221462701</v>
      </c>
      <c r="I814" t="b">
        <v>1</v>
      </c>
      <c r="J814">
        <v>0</v>
      </c>
      <c r="K814" t="s">
        <v>26</v>
      </c>
      <c r="L814">
        <v>0</v>
      </c>
      <c r="M814">
        <v>0</v>
      </c>
      <c r="N814">
        <v>1</v>
      </c>
    </row>
    <row r="815" spans="1:14" x14ac:dyDescent="0.2">
      <c r="A815" t="s">
        <v>4098</v>
      </c>
      <c r="B815">
        <v>721956</v>
      </c>
      <c r="C815">
        <v>2018</v>
      </c>
      <c r="D815" t="s">
        <v>12</v>
      </c>
      <c r="E815" t="s">
        <v>13</v>
      </c>
      <c r="F815">
        <v>0</v>
      </c>
      <c r="G815">
        <v>0</v>
      </c>
      <c r="H815">
        <v>36.106630211893403</v>
      </c>
      <c r="I815" t="b">
        <v>0</v>
      </c>
      <c r="J815">
        <v>0</v>
      </c>
      <c r="K815" t="s">
        <v>26</v>
      </c>
      <c r="L815">
        <v>0</v>
      </c>
      <c r="M815">
        <v>0</v>
      </c>
      <c r="N815" t="s">
        <v>18</v>
      </c>
    </row>
    <row r="816" spans="1:14" x14ac:dyDescent="0.2">
      <c r="A816" t="s">
        <v>4099</v>
      </c>
      <c r="B816">
        <v>721961</v>
      </c>
      <c r="C816">
        <v>2018</v>
      </c>
      <c r="D816" t="s">
        <v>17</v>
      </c>
      <c r="E816" t="s">
        <v>13</v>
      </c>
      <c r="F816">
        <v>0</v>
      </c>
      <c r="G816">
        <v>0</v>
      </c>
      <c r="H816">
        <v>79.220779220779207</v>
      </c>
      <c r="I816" t="b">
        <v>0</v>
      </c>
      <c r="J816">
        <v>0</v>
      </c>
      <c r="K816" t="s">
        <v>26</v>
      </c>
      <c r="L816">
        <v>0</v>
      </c>
      <c r="M816">
        <v>0</v>
      </c>
      <c r="N816" t="s">
        <v>18</v>
      </c>
    </row>
    <row r="817" spans="1:14" x14ac:dyDescent="0.2">
      <c r="A817" t="s">
        <v>4100</v>
      </c>
      <c r="B817">
        <v>721965</v>
      </c>
      <c r="C817">
        <v>2018</v>
      </c>
      <c r="D817" t="s">
        <v>12</v>
      </c>
      <c r="E817" t="s">
        <v>13</v>
      </c>
      <c r="F817">
        <v>0</v>
      </c>
      <c r="G817">
        <v>2</v>
      </c>
      <c r="H817">
        <v>92.388243335611804</v>
      </c>
      <c r="I817" t="b">
        <v>0</v>
      </c>
      <c r="J817">
        <v>0</v>
      </c>
      <c r="K817" t="s">
        <v>26</v>
      </c>
      <c r="L817">
        <v>0</v>
      </c>
      <c r="M817">
        <v>0</v>
      </c>
      <c r="N817">
        <v>0</v>
      </c>
    </row>
    <row r="818" spans="1:14" x14ac:dyDescent="0.2">
      <c r="A818" t="s">
        <v>4101</v>
      </c>
      <c r="B818">
        <v>721985</v>
      </c>
      <c r="C818">
        <v>2018</v>
      </c>
      <c r="D818" t="s">
        <v>12</v>
      </c>
      <c r="E818" t="s">
        <v>13</v>
      </c>
      <c r="F818">
        <v>0</v>
      </c>
      <c r="G818">
        <v>2</v>
      </c>
      <c r="H818">
        <v>54.6384142173616</v>
      </c>
      <c r="I818" t="b">
        <v>0</v>
      </c>
      <c r="J818">
        <v>0</v>
      </c>
      <c r="K818" t="s">
        <v>26</v>
      </c>
      <c r="L818">
        <v>0</v>
      </c>
      <c r="M818">
        <v>0</v>
      </c>
      <c r="N818">
        <v>1</v>
      </c>
    </row>
    <row r="819" spans="1:14" x14ac:dyDescent="0.2">
      <c r="A819" t="s">
        <v>4102</v>
      </c>
      <c r="B819">
        <v>721990</v>
      </c>
      <c r="C819">
        <v>2018</v>
      </c>
      <c r="D819" t="s">
        <v>12</v>
      </c>
      <c r="E819" t="s">
        <v>13</v>
      </c>
      <c r="F819">
        <v>0</v>
      </c>
      <c r="G819">
        <v>0</v>
      </c>
      <c r="H819">
        <v>28.7081339712919</v>
      </c>
      <c r="I819" t="b">
        <v>0</v>
      </c>
      <c r="J819">
        <v>0</v>
      </c>
      <c r="K819" t="s">
        <v>26</v>
      </c>
      <c r="L819">
        <v>0</v>
      </c>
      <c r="M819">
        <v>0</v>
      </c>
      <c r="N819">
        <v>0</v>
      </c>
    </row>
    <row r="820" spans="1:14" x14ac:dyDescent="0.2">
      <c r="A820" t="s">
        <v>4103</v>
      </c>
      <c r="B820">
        <v>722009</v>
      </c>
      <c r="C820">
        <v>2018</v>
      </c>
      <c r="D820" t="s">
        <v>20</v>
      </c>
      <c r="E820" t="s">
        <v>13</v>
      </c>
      <c r="F820">
        <v>0</v>
      </c>
      <c r="G820">
        <v>1</v>
      </c>
      <c r="H820">
        <v>78.941900205058104</v>
      </c>
      <c r="I820" t="b">
        <v>0</v>
      </c>
      <c r="J820">
        <v>0</v>
      </c>
      <c r="K820" t="s">
        <v>26</v>
      </c>
      <c r="L820">
        <v>0</v>
      </c>
      <c r="M820">
        <v>0</v>
      </c>
      <c r="N820">
        <v>1</v>
      </c>
    </row>
    <row r="821" spans="1:14" x14ac:dyDescent="0.2">
      <c r="A821" t="s">
        <v>4104</v>
      </c>
      <c r="B821">
        <v>722011</v>
      </c>
      <c r="C821">
        <v>2018</v>
      </c>
      <c r="D821" t="s">
        <v>17</v>
      </c>
      <c r="E821" t="s">
        <v>13</v>
      </c>
      <c r="F821">
        <v>0</v>
      </c>
      <c r="G821">
        <v>0</v>
      </c>
      <c r="H821">
        <v>36.300751879699199</v>
      </c>
      <c r="I821" t="b">
        <v>0</v>
      </c>
      <c r="J821">
        <v>0</v>
      </c>
      <c r="K821" t="s">
        <v>26</v>
      </c>
      <c r="L821">
        <v>0</v>
      </c>
      <c r="M821">
        <v>0</v>
      </c>
      <c r="N821">
        <v>1</v>
      </c>
    </row>
    <row r="822" spans="1:14" x14ac:dyDescent="0.2">
      <c r="A822" t="s">
        <v>4105</v>
      </c>
      <c r="B822">
        <v>722018</v>
      </c>
      <c r="C822">
        <v>2018</v>
      </c>
      <c r="D822" t="s">
        <v>21</v>
      </c>
      <c r="E822" t="s">
        <v>13</v>
      </c>
      <c r="F822">
        <v>0</v>
      </c>
      <c r="G822">
        <v>3</v>
      </c>
      <c r="H822">
        <v>76.158578263841406</v>
      </c>
      <c r="I822" t="b">
        <v>0</v>
      </c>
      <c r="J822">
        <v>0</v>
      </c>
      <c r="K822" t="s">
        <v>26</v>
      </c>
      <c r="L822">
        <v>0</v>
      </c>
      <c r="M822">
        <v>0</v>
      </c>
      <c r="N822">
        <v>0</v>
      </c>
    </row>
    <row r="823" spans="1:14" x14ac:dyDescent="0.2">
      <c r="A823" t="s">
        <v>4106</v>
      </c>
      <c r="B823">
        <v>722035</v>
      </c>
      <c r="C823">
        <v>2018</v>
      </c>
      <c r="D823" t="s">
        <v>21</v>
      </c>
      <c r="E823" t="s">
        <v>16</v>
      </c>
      <c r="F823">
        <v>0</v>
      </c>
      <c r="G823">
        <v>3</v>
      </c>
      <c r="H823">
        <v>84.9924812030075</v>
      </c>
      <c r="I823" t="b">
        <v>0</v>
      </c>
      <c r="J823">
        <v>0</v>
      </c>
      <c r="K823" t="s">
        <v>26</v>
      </c>
      <c r="L823">
        <v>0</v>
      </c>
      <c r="M823">
        <v>0</v>
      </c>
      <c r="N823">
        <v>1</v>
      </c>
    </row>
    <row r="824" spans="1:14" x14ac:dyDescent="0.2">
      <c r="A824" t="s">
        <v>4107</v>
      </c>
      <c r="B824">
        <v>722066</v>
      </c>
      <c r="C824">
        <v>2018</v>
      </c>
      <c r="D824" t="s">
        <v>22</v>
      </c>
      <c r="E824" t="s">
        <v>13</v>
      </c>
      <c r="F824">
        <v>0</v>
      </c>
      <c r="G824">
        <v>0</v>
      </c>
      <c r="H824">
        <v>32.166780587833202</v>
      </c>
      <c r="I824" t="b">
        <v>0</v>
      </c>
      <c r="J824">
        <v>0</v>
      </c>
      <c r="K824" t="s">
        <v>26</v>
      </c>
      <c r="L824">
        <v>0</v>
      </c>
      <c r="M824">
        <v>0</v>
      </c>
      <c r="N824" t="s">
        <v>18</v>
      </c>
    </row>
    <row r="825" spans="1:14" x14ac:dyDescent="0.2">
      <c r="A825" t="s">
        <v>4108</v>
      </c>
      <c r="B825">
        <v>722072</v>
      </c>
      <c r="C825">
        <v>2018</v>
      </c>
      <c r="D825" t="s">
        <v>12</v>
      </c>
      <c r="E825" t="s">
        <v>16</v>
      </c>
      <c r="F825">
        <v>0</v>
      </c>
      <c r="G825">
        <v>0</v>
      </c>
      <c r="H825">
        <v>55.053998632945998</v>
      </c>
      <c r="I825" t="b">
        <v>0</v>
      </c>
      <c r="J825">
        <v>0</v>
      </c>
      <c r="K825" t="s">
        <v>26</v>
      </c>
      <c r="L825">
        <v>0</v>
      </c>
      <c r="M825">
        <v>0</v>
      </c>
      <c r="N825">
        <v>1</v>
      </c>
    </row>
    <row r="826" spans="1:14" x14ac:dyDescent="0.2">
      <c r="A826" t="s">
        <v>4109</v>
      </c>
      <c r="B826">
        <v>722099</v>
      </c>
      <c r="C826">
        <v>2018</v>
      </c>
      <c r="D826" t="s">
        <v>12</v>
      </c>
      <c r="E826" t="s">
        <v>13</v>
      </c>
      <c r="F826">
        <v>0</v>
      </c>
      <c r="G826">
        <v>1</v>
      </c>
      <c r="H826">
        <v>92.721804511278194</v>
      </c>
      <c r="I826" t="b">
        <v>0</v>
      </c>
      <c r="J826">
        <v>0</v>
      </c>
      <c r="K826" t="s">
        <v>26</v>
      </c>
      <c r="L826">
        <v>1</v>
      </c>
      <c r="M826">
        <v>0</v>
      </c>
      <c r="N826">
        <v>0</v>
      </c>
    </row>
  </sheetData>
  <sortState xmlns:xlrd2="http://schemas.microsoft.com/office/spreadsheetml/2017/richdata2" ref="B2:N826">
    <sortCondition ref="B2:B8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015D-4E30-4D2F-A693-CF199DE024DF}">
  <dimension ref="A1:E17"/>
  <sheetViews>
    <sheetView tabSelected="1" workbookViewId="0"/>
  </sheetViews>
  <sheetFormatPr baseColWidth="10" defaultColWidth="8.83203125" defaultRowHeight="15" x14ac:dyDescent="0.2"/>
  <cols>
    <col min="1" max="1" width="16.33203125" customWidth="1"/>
  </cols>
  <sheetData>
    <row r="1" spans="1:5" x14ac:dyDescent="0.2">
      <c r="A1" t="s">
        <v>30</v>
      </c>
      <c r="B1" t="s">
        <v>31</v>
      </c>
    </row>
    <row r="2" spans="1:5" x14ac:dyDescent="0.2">
      <c r="A2" t="s">
        <v>32</v>
      </c>
    </row>
    <row r="3" spans="1:5" x14ac:dyDescent="0.2">
      <c r="A3" t="s">
        <v>33</v>
      </c>
    </row>
    <row r="4" spans="1:5" x14ac:dyDescent="0.2">
      <c r="A4" t="s">
        <v>34</v>
      </c>
      <c r="B4" t="s">
        <v>35</v>
      </c>
    </row>
    <row r="5" spans="1:5" x14ac:dyDescent="0.2">
      <c r="A5" t="s">
        <v>36</v>
      </c>
    </row>
    <row r="6" spans="1:5" x14ac:dyDescent="0.2">
      <c r="A6" t="s">
        <v>37</v>
      </c>
    </row>
    <row r="7" spans="1:5" x14ac:dyDescent="0.2">
      <c r="A7" t="s">
        <v>38</v>
      </c>
    </row>
    <row r="8" spans="1:5" x14ac:dyDescent="0.2">
      <c r="A8" t="s">
        <v>39</v>
      </c>
    </row>
    <row r="9" spans="1:5" x14ac:dyDescent="0.2">
      <c r="A9" t="s">
        <v>40</v>
      </c>
    </row>
    <row r="10" spans="1:5" x14ac:dyDescent="0.2">
      <c r="A10" t="s">
        <v>41</v>
      </c>
      <c r="B10" t="s">
        <v>42</v>
      </c>
    </row>
    <row r="11" spans="1:5" x14ac:dyDescent="0.2">
      <c r="A11" t="s">
        <v>43</v>
      </c>
    </row>
    <row r="12" spans="1:5" x14ac:dyDescent="0.2">
      <c r="A12" t="s">
        <v>44</v>
      </c>
    </row>
    <row r="13" spans="1:5" x14ac:dyDescent="0.2">
      <c r="A13" t="s">
        <v>45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2">
      <c r="A14" t="s">
        <v>50</v>
      </c>
    </row>
    <row r="17" spans="1:1" x14ac:dyDescent="0.2">
      <c r="A17" t="s">
        <v>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seq-metadata_constructed</vt:lpstr>
      <vt:lpstr>accession_map_downloaded</vt:lpstr>
      <vt:lpstr>Egli_UPEC_metadata_provided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Keys</dc:creator>
  <cp:lastModifiedBy>Elisabetta Cacace</cp:lastModifiedBy>
  <dcterms:created xsi:type="dcterms:W3CDTF">2024-10-21T07:42:09Z</dcterms:created>
  <dcterms:modified xsi:type="dcterms:W3CDTF">2025-03-07T11:42:52Z</dcterms:modified>
</cp:coreProperties>
</file>